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fileSharing readOnlyRecommended="1"/>
  <workbookPr filterPrivacy="1" defaultThemeVersion="166925"/>
  <xr:revisionPtr revIDLastSave="0" documentId="8_{CA154501-E729-4CCA-A749-B512F5AC8BED}" xr6:coauthVersionLast="47" xr6:coauthVersionMax="47" xr10:uidLastSave="{00000000-0000-0000-0000-000000000000}"/>
  <workbookProtection workbookAlgorithmName="SHA-512" workbookHashValue="YBAlND0VVFjDxR9TKPXf7u1nrECJ2GEdcnSb44ghcL1V3VbBDpPbKy7pL0oQ3pVDItyOdGHGnQfMH1cdWcjKOw==" workbookSaltValue="pDaoN2Q1HG5IN6fjDxY3YQ==" workbookSpinCount="100000" lockStructure="1"/>
  <bookViews>
    <workbookView xWindow="28680" yWindow="-120" windowWidth="29040" windowHeight="15840" tabRatio="906" xr2:uid="{846B4E6D-49CC-4848-8B44-63E457A5A7D9}"/>
  </bookViews>
  <sheets>
    <sheet name="Índice" sheetId="1" r:id="rId1"/>
    <sheet name="BALBP4795" sheetId="2" r:id="rId2"/>
    <sheet name="Sm4795" sheetId="3" r:id="rId3"/>
    <sheet name="TJURO4775" sheetId="4" r:id="rId4"/>
    <sheet name="TXJUA9095" sheetId="5" r:id="rId5"/>
    <sheet name="TXJUP9095" sheetId="6" r:id="rId6"/>
    <sheet name="DIVLONG1" sheetId="7" r:id="rId7"/>
    <sheet name="DIVLONG2" sheetId="8" r:id="rId8"/>
    <sheet name="TAXASDIV" sheetId="9" r:id="rId9"/>
    <sheet name="Quadro resumo" sheetId="10" r:id="rId10"/>
    <sheet name="btc" sheetId="11" r:id="rId11"/>
    <sheet name="BCNM" sheetId="12" r:id="rId12"/>
    <sheet name="RESERVAS" sheetId="13" r:id="rId13"/>
    <sheet name="ULTRAMAR" sheetId="14" r:id="rId14"/>
    <sheet name="RDAP" sheetId="15" r:id="rId15"/>
    <sheet name="RDAC" sheetId="16" r:id="rId16"/>
    <sheet name="RDE" sheetId="17" r:id="rId17"/>
    <sheet name="RDSA" sheetId="18" r:id="rId18"/>
    <sheet name="RDSS" sheetId="19" r:id="rId19"/>
    <sheet name="RDFA" sheetId="20" r:id="rId20"/>
    <sheet name="RDIPSFL" sheetId="21" r:id="rId21"/>
    <sheet name="RDARL" sheetId="22" r:id="rId22"/>
    <sheet name="RDAR" sheetId="23" r:id="rId23"/>
    <sheet name="RDAL" sheetId="24" r:id="rId24"/>
    <sheet name="ICSRP" sheetId="25" r:id="rId25"/>
    <sheet name="ILPI" sheetId="26" r:id="rId26"/>
    <sheet name="CSF" sheetId="27" r:id="rId27"/>
    <sheet name="TRK" sheetId="28" r:id="rId28"/>
    <sheet name="PopEmpDes" sheetId="29" r:id="rId29"/>
    <sheet name="emprego_total" sheetId="30" r:id="rId30"/>
    <sheet name="TCO" sheetId="31" r:id="rId31"/>
    <sheet name="PIBpm" sheetId="32" r:id="rId32"/>
    <sheet name="PIBpc" sheetId="33" r:id="rId33"/>
    <sheet name="Despesa_Nacional" sheetId="34" r:id="rId34"/>
    <sheet name="Despesa_Nacional_p" sheetId="35" r:id="rId35"/>
    <sheet name="Consumo_Privado" sheetId="36" r:id="rId36"/>
    <sheet name="Consumo_Privado_p" sheetId="37" r:id="rId37"/>
    <sheet name="FBCF" sheetId="38" r:id="rId38"/>
    <sheet name="FBCF_p" sheetId="39" r:id="rId39"/>
    <sheet name="Export" sheetId="40" r:id="rId40"/>
    <sheet name="Export_p" sheetId="41" r:id="rId41"/>
    <sheet name="Import" sheetId="42" r:id="rId42"/>
    <sheet name="Import_p" sheetId="43" r:id="rId43"/>
    <sheet name="Rend_nacional" sheetId="44" r:id="rId44"/>
    <sheet name="Rend_poup" sheetId="45" r:id="rId45"/>
    <sheet name="poup_inv" sheetId="46" r:id="rId46"/>
  </sheets>
  <externalReferences>
    <externalReference r:id="rId47"/>
    <externalReference r:id="rId48"/>
    <externalReference r:id="rId49"/>
  </externalReferences>
  <definedNames>
    <definedName name="_xlnm._FilterDatabase" localSheetId="0" hidden="1">Índice!$A$1:$A$28</definedName>
    <definedName name="_Regression_Int" localSheetId="6" hidden="1">1</definedName>
    <definedName name="_Regression_Int" localSheetId="7" hidden="1">1</definedName>
    <definedName name="_Regression_Int" localSheetId="8" hidden="1">1</definedName>
    <definedName name="_xlnm.Print_Area" localSheetId="11">BCNM!$A$1:$CP$47</definedName>
    <definedName name="_xlnm.Print_Area" localSheetId="10">btc!$A$2:$EO$32</definedName>
    <definedName name="_xlnm.Print_Area" localSheetId="35">Consumo_Privado!$A$1:$AR$20</definedName>
    <definedName name="_xlnm.Print_Area" localSheetId="26">CSF!$A$1:$AX$14</definedName>
    <definedName name="_xlnm.Print_Area" localSheetId="33">Despesa_Nacional!$A$1:$AR$22</definedName>
    <definedName name="_xlnm.Print_Area" localSheetId="6">DIVLONG1!$A$1:$H$32</definedName>
    <definedName name="_xlnm.Print_Area" localSheetId="7">DIVLONG2!#REF!</definedName>
    <definedName name="_xlnm.Print_Area" localSheetId="39">[1]Sheet1!$A$1:$AX$34</definedName>
    <definedName name="_xlnm.Print_Area" localSheetId="37">FBCF!$A$1:$AR$14</definedName>
    <definedName name="_xlnm.Print_Area" localSheetId="24">ICSRP!$A$1:$AX$16</definedName>
    <definedName name="_xlnm.Print_Area" localSheetId="25">ILPI!$A$1:$AX$11</definedName>
    <definedName name="_xlnm.Print_Area" localSheetId="41">[2]Sheet1!$A$1:$AX$34</definedName>
    <definedName name="_xlnm.Print_Area" localSheetId="31">[3]Sheet1!$A$1:$AS$39</definedName>
    <definedName name="_xlnm.Print_Area" localSheetId="45">poup_inv!$AL$4:$AR$10</definedName>
    <definedName name="_xlnm.Print_Area" localSheetId="9">'Quadro resumo'!$A$2:$BD$22</definedName>
    <definedName name="_xlnm.Print_Area" localSheetId="15">RDAC!$A$1:$AX$41</definedName>
    <definedName name="_xlnm.Print_Area" localSheetId="23">RDAL!$A$1:$AX$41</definedName>
    <definedName name="_xlnm.Print_Area" localSheetId="14">RDAP!$AQ$5:$AX$37</definedName>
    <definedName name="_xlnm.Print_Area" localSheetId="22">RDAR!$A$1:$T$41</definedName>
    <definedName name="_xlnm.Print_Area" localSheetId="21">RDARL!$A$1:$AX$41</definedName>
    <definedName name="_xlnm.Print_Area" localSheetId="16">RDE!$A$1:$AX$41</definedName>
    <definedName name="_xlnm.Print_Area" localSheetId="19">RDFA!$A$1:$AX$41</definedName>
    <definedName name="_xlnm.Print_Area" localSheetId="20">RDIPSFL!$A$1:$T$41</definedName>
    <definedName name="_xlnm.Print_Area" localSheetId="17">RDSA!$A$1:$AX$41</definedName>
    <definedName name="_xlnm.Print_Area" localSheetId="18">RDSS!$A$1:$AX$45</definedName>
    <definedName name="_xlnm.Print_Area" localSheetId="43">Rend_nacional!$AL$4:$AR$20</definedName>
    <definedName name="_xlnm.Print_Area" localSheetId="44">Rend_poup!$AL$4:$AR$36</definedName>
    <definedName name="_xlnm.Print_Area" localSheetId="12">RESERVAS!$A$3:$AW$21</definedName>
    <definedName name="_xlnm.Print_Area" localSheetId="8">TAXASDIV!$A$1:$E$58</definedName>
    <definedName name="_xlnm.Print_Area" localSheetId="3">TJURO4775!$A$1:$R$40</definedName>
    <definedName name="_xlnm.Print_Area" localSheetId="27">TRK!$A$1:$AX$13</definedName>
    <definedName name="Print_Area_MI" localSheetId="7">DIVLONG2!#REF!</definedName>
    <definedName name="Print_Area_MI" localSheetId="8">TAXASDIV!$A$1:$E$58</definedName>
    <definedName name="Print_Area_MI">DIVLONG1!$A$1:$H$32</definedName>
    <definedName name="_xlnm.Print_Titles" localSheetId="1">BALBP4795!$A:$A</definedName>
    <definedName name="_xlnm.Print_Titles" localSheetId="35">Consumo_Privado!$A:$A</definedName>
    <definedName name="_xlnm.Print_Titles" localSheetId="26">CSF!$A:$A</definedName>
    <definedName name="_xlnm.Print_Titles" localSheetId="33">Despesa_Nacional!$A:$A,Despesa_Nacional!$1:$6</definedName>
    <definedName name="_xlnm.Print_Titles" localSheetId="39">Export!$A:$A,[1]Sheet1!$1:$6</definedName>
    <definedName name="_xlnm.Print_Titles" localSheetId="37">FBCF!$A:$A</definedName>
    <definedName name="_xlnm.Print_Titles" localSheetId="24">ICSRP!$A:$A</definedName>
    <definedName name="_xlnm.Print_Titles" localSheetId="25">ILPI!$A:$A</definedName>
    <definedName name="_xlnm.Print_Titles" localSheetId="41">Import!$A:$A,[2]Sheet1!$1:$6</definedName>
    <definedName name="_xlnm.Print_Titles" localSheetId="31">PIBpm!$A:$B,[3]Sheet1!$1:$5</definedName>
    <definedName name="_xlnm.Print_Titles" localSheetId="45">poup_inv!$A:$A,poup_inv!$1:$4</definedName>
    <definedName name="_xlnm.Print_Titles" localSheetId="14">RDAP!$A:$A,RDAP!$1:$4</definedName>
    <definedName name="_xlnm.Print_Titles" localSheetId="43">Rend_nacional!$A:$A,Rend_nacional!$1:$4</definedName>
    <definedName name="_xlnm.Print_Titles" localSheetId="44">Rend_poup!$A:$A,Rend_poup!$1:$4</definedName>
    <definedName name="_xlnm.Print_Titles" localSheetId="2">'Sm4795'!$A:$A</definedName>
    <definedName name="_xlnm.Print_Titles" localSheetId="27">TRK!$A:$A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3" i="13" l="1"/>
  <c r="AV13" i="13"/>
  <c r="AW12" i="13"/>
  <c r="AV12" i="13"/>
  <c r="AW10" i="13"/>
  <c r="AV10" i="13"/>
  <c r="AW9" i="13"/>
  <c r="AV9" i="13"/>
  <c r="G36" i="8"/>
  <c r="D31" i="8"/>
  <c r="G27" i="8"/>
  <c r="D25" i="8"/>
  <c r="D23" i="8"/>
  <c r="D11" i="8"/>
  <c r="D10" i="8"/>
  <c r="D9" i="8"/>
</calcChain>
</file>

<file path=xl/sharedStrings.xml><?xml version="1.0" encoding="utf-8"?>
<sst xmlns="http://schemas.openxmlformats.org/spreadsheetml/2006/main" count="4356" uniqueCount="1104">
  <si>
    <t> Parte I - Estatísticas monetárias e financeiras - Balanço do Banco de Portugal</t>
  </si>
  <si>
    <t> Parte I - Estatísticas monetárias e financeiras - Síntese Monetária</t>
  </si>
  <si>
    <t> Parte I - Estatísticas monetárias e financeiras - Quadros de Taxas de Juro</t>
  </si>
  <si>
    <t> Parte I - Estatísticas monetárias e financeiras - Quadros de Emissão de Dívida</t>
  </si>
  <si>
    <t> Parte II - Balança de pagamentos - Balança de Pagamentos Externos de Portugal</t>
  </si>
  <si>
    <t> Parte II - Balança de pagamentos - Balança de Transações Correntes</t>
  </si>
  <si>
    <t> Parte II - Balança de pagamentos - Balança de Capitais Não Monetários</t>
  </si>
  <si>
    <t> Parte II - Balança de pagamentos - Reservas Oficiais Líquidas</t>
  </si>
  <si>
    <t> Parte II - Balança de pagamentos - Balança de Pagamentos da Metrópole com o Ultramar</t>
  </si>
  <si>
    <t> Parte III - Contas do setor público administrativo - Receitas e Despesas das Administrações Públicas, Central, Estado e Segurança Social</t>
  </si>
  <si>
    <t> Parte III - Contas do setor público administrativo - Receitas e Despesas das Administrações Regional e Local, Fundos Autónomos e Instituições Particulares sem fim Lucrativo</t>
  </si>
  <si>
    <t> Parte III - Contas do setor público administrativo - Impostos Correntes e Contribuições Sociais Efetivas</t>
  </si>
  <si>
    <t> Parte III - Contas do setor público administrativo - Impostos Ligados à Produção e Importação e Remunerações dos Ramos não Mercantis</t>
  </si>
  <si>
    <t> Parte III - Contas do setor público administrativo - Transferências Correntes e Contribuições Sociais Fictícias</t>
  </si>
  <si>
    <t> Parte III - Contas do setor público administrativo - Transferências de Capital; Formação Bruta de Capital Fixo e Aquisição Líquida de Terrenos</t>
  </si>
  <si>
    <t> Parte IV - População, emprego e desemprego - População, Emprego e Desemprego</t>
  </si>
  <si>
    <t> Parte IV - População, emprego e desemprego - Emprego Total</t>
  </si>
  <si>
    <t> Parte IV - População, emprego e desemprego - Trabalhadores por Conta de Outrem</t>
  </si>
  <si>
    <t> Parte V - Produção, despesa e rendimento - Produto Interno Bruto</t>
  </si>
  <si>
    <t> Parte V - Produção, despesa e rendimento - Despesa Nacional</t>
  </si>
  <si>
    <t> Parte V - Produção, despesa e rendimento - Consumo Privado</t>
  </si>
  <si>
    <t> Parte V - Produção, despesa e rendimento - Formação Bruta de Capital Fixo</t>
  </si>
  <si>
    <t> Parte V - Produção, despesa e rendimento - Exportações de Mercadorias</t>
  </si>
  <si>
    <t> Parte V - Produção, despesa e rendimento - Importações de Mercadorias</t>
  </si>
  <si>
    <t> Parte V - Produção, despesa e rendimento - Repartição do Rendimento Nacional</t>
  </si>
  <si>
    <t> Parte V - Produção, despesa e rendimento - Rendimento e Poupança das Famílias e Adm. Privadas</t>
  </si>
  <si>
    <t> Parte V - Produção, despesa e rendimento - Poupança e Investimento</t>
  </si>
  <si>
    <t> Séries longas para a economia portuguesa: versão revista e prolongada para 1994 e 1995</t>
  </si>
  <si>
    <t>(2)  Inclui a moeda metálica emitida, abatida da existente em caixa no Banco de Portugal.</t>
  </si>
  <si>
    <t>remanescente foi aplicado num fundo especial de reserva .</t>
  </si>
  <si>
    <t xml:space="preserve">alteração do valor do ouro foi utilizada para saldar a dívida do Estado para com o Banco de Portugal. Em 1980 e em 1988, a mais valia resultante da alteração da cotação do ouro foi utilizada em cerca de 75 por cento no pagamento de dívida pública e o </t>
  </si>
  <si>
    <t>(1)  Activo do Banco de Portugal expresso ao valor contabilístico. Desde 1947 procedeu-se a três revalorizações das reservas de ouro com efeitos, respectivamente, a partir de Julho de 1962, Janeiro de 1980 e Maio de 1988. Em 1962 a diferença resultante da</t>
  </si>
  <si>
    <t>Total</t>
  </si>
  <si>
    <t>Outras responsabilidades (líquidas)</t>
  </si>
  <si>
    <t>Recursos próprios e resultados</t>
  </si>
  <si>
    <t>Contrapartida de flutuações cambiais</t>
  </si>
  <si>
    <t>Depósitos do Sector Público Administrativo</t>
  </si>
  <si>
    <t>Operações de absorção de liquidez com o sistema financeiro</t>
  </si>
  <si>
    <t xml:space="preserve">  Depósitos de instituições financeiras</t>
  </si>
  <si>
    <t xml:space="preserve">  Notas e moedas</t>
  </si>
  <si>
    <t>Base monetária</t>
  </si>
  <si>
    <t>Dez 1995</t>
  </si>
  <si>
    <t>Set 1995</t>
  </si>
  <si>
    <t>Jun 1995</t>
  </si>
  <si>
    <t>Mar 1995</t>
  </si>
  <si>
    <t>Dez 1994</t>
  </si>
  <si>
    <t>Set 1994</t>
  </si>
  <si>
    <t>Jun 1994</t>
  </si>
  <si>
    <t>Mar 1994</t>
  </si>
  <si>
    <t>Dez 1993</t>
  </si>
  <si>
    <t>Set 1993</t>
  </si>
  <si>
    <t>Jun 1993</t>
  </si>
  <si>
    <t>Mar 1993</t>
  </si>
  <si>
    <t>Dez 1992</t>
  </si>
  <si>
    <t>Set 1992</t>
  </si>
  <si>
    <t>Jun 1992</t>
  </si>
  <si>
    <t>Mar 1992</t>
  </si>
  <si>
    <t>Dez 1991</t>
  </si>
  <si>
    <t>Set 1991</t>
  </si>
  <si>
    <t>Jun 1991</t>
  </si>
  <si>
    <t>Mar 1991</t>
  </si>
  <si>
    <t>Dez 1990</t>
  </si>
  <si>
    <t>Set 1990</t>
  </si>
  <si>
    <t>Jun 1990</t>
  </si>
  <si>
    <t>Mar 1990</t>
  </si>
  <si>
    <t>Dez 1989</t>
  </si>
  <si>
    <t>Set 1989</t>
  </si>
  <si>
    <t>Jun 1989</t>
  </si>
  <si>
    <t>Mar 1989</t>
  </si>
  <si>
    <t>Dez 1988</t>
  </si>
  <si>
    <t xml:space="preserve"> Set 1988</t>
  </si>
  <si>
    <t>Jun 1988</t>
  </si>
  <si>
    <t>Mar 1988</t>
  </si>
  <si>
    <t>Dez 1987</t>
  </si>
  <si>
    <t xml:space="preserve">Set 1987 </t>
  </si>
  <si>
    <t>Jun 1987</t>
  </si>
  <si>
    <t>Mar 1987</t>
  </si>
  <si>
    <t xml:space="preserve">Dez 1986 </t>
  </si>
  <si>
    <t>Set 1986</t>
  </si>
  <si>
    <t>Jun 1986</t>
  </si>
  <si>
    <t>Mar 1986</t>
  </si>
  <si>
    <t>Dez 1985</t>
  </si>
  <si>
    <t>Set 1985</t>
  </si>
  <si>
    <t>Jun 1985</t>
  </si>
  <si>
    <t>Mar 1985</t>
  </si>
  <si>
    <t>Dez 1984</t>
  </si>
  <si>
    <t>Set 1984</t>
  </si>
  <si>
    <t>Jun 1984</t>
  </si>
  <si>
    <t>Mar 1984</t>
  </si>
  <si>
    <t>Dez 1983</t>
  </si>
  <si>
    <t>Set 1983</t>
  </si>
  <si>
    <t>Jun 1983</t>
  </si>
  <si>
    <t>Mar 1983</t>
  </si>
  <si>
    <t>Dez 1982</t>
  </si>
  <si>
    <t>Set 1982</t>
  </si>
  <si>
    <t>Jun 1982</t>
  </si>
  <si>
    <t>Mar1982</t>
  </si>
  <si>
    <t>Dez 1981</t>
  </si>
  <si>
    <t>Set 1981</t>
  </si>
  <si>
    <t>Jun 1981</t>
  </si>
  <si>
    <t>Mar 1981</t>
  </si>
  <si>
    <t>Dez 1980</t>
  </si>
  <si>
    <t>Set 1980</t>
  </si>
  <si>
    <t>Jun 1980</t>
  </si>
  <si>
    <t>Mar 1980</t>
  </si>
  <si>
    <t>Dez 1979</t>
  </si>
  <si>
    <t>Set 1979</t>
  </si>
  <si>
    <t>Jun 1979</t>
  </si>
  <si>
    <t>Mar 1979</t>
  </si>
  <si>
    <t>Dez 1978</t>
  </si>
  <si>
    <t>Set 1978</t>
  </si>
  <si>
    <t>Jun 1978</t>
  </si>
  <si>
    <t>Mar 1978</t>
  </si>
  <si>
    <t>Dez 1977</t>
  </si>
  <si>
    <t>Set 1977</t>
  </si>
  <si>
    <t>Jun 1977</t>
  </si>
  <si>
    <t>Mar 1977</t>
  </si>
  <si>
    <t>Dez 1976</t>
  </si>
  <si>
    <t>Set 1976</t>
  </si>
  <si>
    <t>Jun 1976</t>
  </si>
  <si>
    <t>Mar 1976</t>
  </si>
  <si>
    <t>Dez 1975</t>
  </si>
  <si>
    <t>Set 1975</t>
  </si>
  <si>
    <t>Jun 1975</t>
  </si>
  <si>
    <t>Mar 1975</t>
  </si>
  <si>
    <t>Dez 1974</t>
  </si>
  <si>
    <t>Set 1974</t>
  </si>
  <si>
    <t>Jun 1974</t>
  </si>
  <si>
    <t>Mar 1974</t>
  </si>
  <si>
    <t>Dez 1973</t>
  </si>
  <si>
    <t>Set 1973</t>
  </si>
  <si>
    <t>Jun 1973</t>
  </si>
  <si>
    <t>Mar 1973</t>
  </si>
  <si>
    <t>Dez 1972</t>
  </si>
  <si>
    <t>Set 1972</t>
  </si>
  <si>
    <t>Jun 1972</t>
  </si>
  <si>
    <t>Mar 1972</t>
  </si>
  <si>
    <t>Dez 1971</t>
  </si>
  <si>
    <t>Set 1971</t>
  </si>
  <si>
    <t>Jun 1971</t>
  </si>
  <si>
    <t>Mar 1971</t>
  </si>
  <si>
    <t>Dez 1970</t>
  </si>
  <si>
    <t>Set 1970</t>
  </si>
  <si>
    <t>Jun 1970</t>
  </si>
  <si>
    <t>Mar 1970</t>
  </si>
  <si>
    <t>Dez 1969</t>
  </si>
  <si>
    <t>Set 1969</t>
  </si>
  <si>
    <t>Jun 1969</t>
  </si>
  <si>
    <t>Mar 1969</t>
  </si>
  <si>
    <t>Dez 1968</t>
  </si>
  <si>
    <t>Set 1968</t>
  </si>
  <si>
    <t>Jun 1968</t>
  </si>
  <si>
    <t>Mar 1968</t>
  </si>
  <si>
    <t>Dez 1967</t>
  </si>
  <si>
    <t>Set 1967</t>
  </si>
  <si>
    <t>Jun 1967</t>
  </si>
  <si>
    <t>Mar 1967</t>
  </si>
  <si>
    <t>Dez 1966</t>
  </si>
  <si>
    <t>Set 1966</t>
  </si>
  <si>
    <t>Jun 1966</t>
  </si>
  <si>
    <t>Mar 1966</t>
  </si>
  <si>
    <t>Dez 1965</t>
  </si>
  <si>
    <t>Dez 1964</t>
  </si>
  <si>
    <t>Dez 1963</t>
  </si>
  <si>
    <t>Dez 1962</t>
  </si>
  <si>
    <t>Dez 1961</t>
  </si>
  <si>
    <t>Dez 1960</t>
  </si>
  <si>
    <t>Dez 1959</t>
  </si>
  <si>
    <t>Dez 1958</t>
  </si>
  <si>
    <t>Dez 1957</t>
  </si>
  <si>
    <t>Dez 1956</t>
  </si>
  <si>
    <t>Dez 1955</t>
  </si>
  <si>
    <t>Dez 1954</t>
  </si>
  <si>
    <t>Dez 1953</t>
  </si>
  <si>
    <t>Dez 1952</t>
  </si>
  <si>
    <t>Dez 1951</t>
  </si>
  <si>
    <t>Dez 1950</t>
  </si>
  <si>
    <t>Dez 1949</t>
  </si>
  <si>
    <t>Dez 1948</t>
  </si>
  <si>
    <t>Dez 1947</t>
  </si>
  <si>
    <t>Passivo</t>
  </si>
  <si>
    <t>Crédito a empresas e particulares</t>
  </si>
  <si>
    <t>Crédito a instituições financeiras</t>
  </si>
  <si>
    <t xml:space="preserve">  Títulos de Dívida Pública</t>
  </si>
  <si>
    <t xml:space="preserve">  Crédito (2)</t>
  </si>
  <si>
    <t>Crédito ao Sector Público Administrativo</t>
  </si>
  <si>
    <t xml:space="preserve">  Responsabilidades para com o exterior</t>
  </si>
  <si>
    <t xml:space="preserve">     Outras</t>
  </si>
  <si>
    <t xml:space="preserve">     Ouro (1)</t>
  </si>
  <si>
    <t xml:space="preserve">  Disponibilidades sobre o exterior</t>
  </si>
  <si>
    <t>Disponibilidades líquidas sobre o exterior</t>
  </si>
  <si>
    <t>Activo</t>
  </si>
  <si>
    <t>Milhões de escudos</t>
  </si>
  <si>
    <t>BALANÇO DO BANCO DE PORTUGAL</t>
  </si>
  <si>
    <t>SÍNTESE MONETÁRIA</t>
  </si>
  <si>
    <t xml:space="preserve"> Dez 1976</t>
  </si>
  <si>
    <t>Activos líquidos sobre o exterior</t>
  </si>
  <si>
    <t xml:space="preserve">  Disponibilidades líquidas sobre o exterior (curto prazo)</t>
  </si>
  <si>
    <t xml:space="preserve">    Banco de Portugal</t>
  </si>
  <si>
    <t xml:space="preserve">    Bancos (1)</t>
  </si>
  <si>
    <t xml:space="preserve">  Outros activos líquidos sobre o exterior (médio e longo prazos)</t>
  </si>
  <si>
    <t xml:space="preserve">    Bancos </t>
  </si>
  <si>
    <t>Crédito interno total</t>
  </si>
  <si>
    <t xml:space="preserve">  Crédito líquido ao Sector Público Administrativo</t>
  </si>
  <si>
    <t xml:space="preserve">      Crédito</t>
  </si>
  <si>
    <t xml:space="preserve">      Depósitos</t>
  </si>
  <si>
    <t xml:space="preserve">    Bilhetes do Tesouro e CLIP na posse de residentes</t>
  </si>
  <si>
    <t xml:space="preserve">  Crédito a empresas não financeiras e particulares</t>
  </si>
  <si>
    <t xml:space="preserve">    Carteira comercial, empréstimos e outros créditos</t>
  </si>
  <si>
    <t xml:space="preserve">    Aplicações financeiras</t>
  </si>
  <si>
    <t xml:space="preserve">  Crédito a instituições financeiras não monetárias (2)</t>
  </si>
  <si>
    <t>L (activos líquidos na posse do público) (3)</t>
  </si>
  <si>
    <t xml:space="preserve">  L- (activos líquidos do sector residente não financeiro)(4)</t>
  </si>
  <si>
    <t xml:space="preserve">    M2-</t>
  </si>
  <si>
    <t xml:space="preserve">      M1-</t>
  </si>
  <si>
    <t xml:space="preserve">        Circulação monetária</t>
  </si>
  <si>
    <t xml:space="preserve">        Depósitos à ordem</t>
  </si>
  <si>
    <t xml:space="preserve">      Quase-moeda (sector residente não financeiro)</t>
  </si>
  <si>
    <t xml:space="preserve">        Depósitos a prazo, com pré-aviso e de poupança</t>
  </si>
  <si>
    <t xml:space="preserve">        Outras responsabilidades quase-monetárias</t>
  </si>
  <si>
    <t xml:space="preserve">    Bilhetes do Tesouro e CLIP cedidos sem recurso</t>
  </si>
  <si>
    <t xml:space="preserve">  Depósitos e outras aplicações de emigrantes</t>
  </si>
  <si>
    <t xml:space="preserve">  Aplicações de instituições financeiras não monetárias</t>
  </si>
  <si>
    <t>Responsabilidades não monetárias</t>
  </si>
  <si>
    <t>Recursos próprios, equiparados e resultados</t>
  </si>
  <si>
    <t>Diversos líquidos</t>
  </si>
  <si>
    <t>(1)  Designam-se por "Bancos" as instituições monetárias incluídas na elaboração da Síntese Monetária.</t>
  </si>
  <si>
    <t>(2)  Designam-se por "Instituições Financeiras não Monetárias" os Intermediários Financeiros, os Auxiliares Financeiros, as Companhias de Seguro e os Fundos de Pensões .</t>
  </si>
  <si>
    <t>(3)  Até 1966, este agregado é idêntico aos activos líquidos na posse do sector residente não financeiro (agregado L-) e à moeda em sentido lato (agregado M2-).</t>
  </si>
  <si>
    <t>(4)  Até 1985, este agregado é idêntico à moeda em sentido lato (agregado M2-).</t>
  </si>
  <si>
    <t>* taxas em vigor desde Setembro de 1944.</t>
  </si>
  <si>
    <t>-  operações não identificadas.</t>
  </si>
  <si>
    <t>(3)  Até 1975 estas taxas variaram inversamente ao montante do depósito.</t>
  </si>
  <si>
    <t>(2)  São indicados os intervalos de variação quando se verificam taxas diferenciadas para o mesmo tipo de operações.</t>
  </si>
  <si>
    <t>(1)  Taxas estabelecidas através de Avisos. Estas taxas variaram entre 1950 e 1964 em função do local da operação.</t>
  </si>
  <si>
    <t>9,5-10,5</t>
  </si>
  <si>
    <t>3,5 - 9,5</t>
  </si>
  <si>
    <t>2 - 4</t>
  </si>
  <si>
    <t>6,5 - 10,5</t>
  </si>
  <si>
    <t>4,5</t>
  </si>
  <si>
    <t xml:space="preserve">1 </t>
  </si>
  <si>
    <t>6,5 - 12,5</t>
  </si>
  <si>
    <t>6 - 11,75</t>
  </si>
  <si>
    <t>5,5 - 10</t>
  </si>
  <si>
    <t>-</t>
  </si>
  <si>
    <t>7,75 - 8,75</t>
  </si>
  <si>
    <t>7,75 - 12,75</t>
  </si>
  <si>
    <t>5 - 12,75</t>
  </si>
  <si>
    <t>6,5</t>
  </si>
  <si>
    <t>Dezembro</t>
  </si>
  <si>
    <t>6,5 - 9,5</t>
  </si>
  <si>
    <t>1 - 3</t>
  </si>
  <si>
    <t>6,5 - 9</t>
  </si>
  <si>
    <t xml:space="preserve">0,5 </t>
  </si>
  <si>
    <t>5 - 11,5</t>
  </si>
  <si>
    <t>5,75 - 9,75</t>
  </si>
  <si>
    <t>4 - 8,25</t>
  </si>
  <si>
    <t>7,25 - 7,75</t>
  </si>
  <si>
    <t>5,75 - 7,75</t>
  </si>
  <si>
    <t>6,75 - 12,5</t>
  </si>
  <si>
    <t>4,5 - 7,5</t>
  </si>
  <si>
    <t>7,5</t>
  </si>
  <si>
    <t>5,75 - 6,5</t>
  </si>
  <si>
    <t>3,25 - 5</t>
  </si>
  <si>
    <t>1,5 - 3</t>
  </si>
  <si>
    <t>4,5 - 6</t>
  </si>
  <si>
    <t>3,5</t>
  </si>
  <si>
    <t>4 - 7,75</t>
  </si>
  <si>
    <t>7,25</t>
  </si>
  <si>
    <t>5,25</t>
  </si>
  <si>
    <t>2,75 - 9</t>
  </si>
  <si>
    <t>3 - 9</t>
  </si>
  <si>
    <t>3 - 5</t>
  </si>
  <si>
    <t>5</t>
  </si>
  <si>
    <t>3,25 - 5,75</t>
  </si>
  <si>
    <t>4,25 - 5,25</t>
  </si>
  <si>
    <t>3,25</t>
  </si>
  <si>
    <t>4,375 -8</t>
  </si>
  <si>
    <t>5,25 - 7,75</t>
  </si>
  <si>
    <t>4 - 6,25</t>
  </si>
  <si>
    <t>7</t>
  </si>
  <si>
    <t>2,5 - 8,25</t>
  </si>
  <si>
    <t>3 - 8,25</t>
  </si>
  <si>
    <t>4</t>
  </si>
  <si>
    <t>3 - 5,75</t>
  </si>
  <si>
    <t>5 - 8</t>
  </si>
  <si>
    <t>5 - 7,5</t>
  </si>
  <si>
    <t>4 - 6,75</t>
  </si>
  <si>
    <t>6,5 - 7</t>
  </si>
  <si>
    <t>5 - 5,25</t>
  </si>
  <si>
    <t>2,5 - 7,5</t>
  </si>
  <si>
    <t>2 - 3,75</t>
  </si>
  <si>
    <t>3,75</t>
  </si>
  <si>
    <t>Fevereiro</t>
  </si>
  <si>
    <t>4,5 - 5,5</t>
  </si>
  <si>
    <t>4 - 5</t>
  </si>
  <si>
    <t>3</t>
  </si>
  <si>
    <t>5,5 - 7,25</t>
  </si>
  <si>
    <t>5,5</t>
  </si>
  <si>
    <t>3,5 - 7,25</t>
  </si>
  <si>
    <t>2,5 - 7,25</t>
  </si>
  <si>
    <t>2 - 3,5</t>
  </si>
  <si>
    <t>Abril</t>
  </si>
  <si>
    <t>2,5 - 4</t>
  </si>
  <si>
    <t>0,25 - 2</t>
  </si>
  <si>
    <t>3 - 4</t>
  </si>
  <si>
    <t>2,5 - 3</t>
  </si>
  <si>
    <t>0,5 - 1</t>
  </si>
  <si>
    <t>5,5 - 6</t>
  </si>
  <si>
    <t>5 - 6</t>
  </si>
  <si>
    <t>4,5 - 5</t>
  </si>
  <si>
    <t>5 - 5,5</t>
  </si>
  <si>
    <t>3 - 6,5</t>
  </si>
  <si>
    <t>2,5 - 6,5</t>
  </si>
  <si>
    <t>2,25 - 2,75</t>
  </si>
  <si>
    <t>Janeiro</t>
  </si>
  <si>
    <t>2,5</t>
  </si>
  <si>
    <t>0 - 2</t>
  </si>
  <si>
    <t>1,25</t>
  </si>
  <si>
    <t>2 - 2,5</t>
  </si>
  <si>
    <t>0,125 - 0,5</t>
  </si>
  <si>
    <t>4,5 - 5,25</t>
  </si>
  <si>
    <t>2 - 6,5</t>
  </si>
  <si>
    <t>3,75 - 4,5</t>
  </si>
  <si>
    <t>3 - 3,5</t>
  </si>
  <si>
    <t>2,5 - 5,5</t>
  </si>
  <si>
    <t>Setembro</t>
  </si>
  <si>
    <t>1,5 - 3,75</t>
  </si>
  <si>
    <t>1,25 - 3,5</t>
  </si>
  <si>
    <t>0,1 - 2</t>
  </si>
  <si>
    <t>3,75 - 4</t>
  </si>
  <si>
    <t>2 - 4,5</t>
  </si>
  <si>
    <t>2,0625 - 4,5</t>
  </si>
  <si>
    <t>1,25 - 3</t>
  </si>
  <si>
    <t>0,1 - 1</t>
  </si>
  <si>
    <t>1,5 - 2,5</t>
  </si>
  <si>
    <t>1 - 2,5</t>
  </si>
  <si>
    <t>1,25 - 2,5</t>
  </si>
  <si>
    <t>1,5 - 2,75</t>
  </si>
  <si>
    <t>1,25 - 2</t>
  </si>
  <si>
    <t>1 - 2</t>
  </si>
  <si>
    <t>1,5 - 2</t>
  </si>
  <si>
    <t>1 - 1,75</t>
  </si>
  <si>
    <t>1 - 4</t>
  </si>
  <si>
    <t>1 - 1,5</t>
  </si>
  <si>
    <t>1 - 1,25</t>
  </si>
  <si>
    <t>4,25</t>
  </si>
  <si>
    <t>1</t>
  </si>
  <si>
    <t>2</t>
  </si>
  <si>
    <t>1,75 - 4</t>
  </si>
  <si>
    <t>*</t>
  </si>
  <si>
    <t>Poupança</t>
  </si>
  <si>
    <t>Prazo</t>
  </si>
  <si>
    <t>Ordem (3)</t>
  </si>
  <si>
    <t>12 meses</t>
  </si>
  <si>
    <t>6 meses</t>
  </si>
  <si>
    <t>3 meses</t>
  </si>
  <si>
    <t>L.Prazo</t>
  </si>
  <si>
    <t>M.Prazo</t>
  </si>
  <si>
    <t>C.Prazo</t>
  </si>
  <si>
    <t>C/corrente</t>
  </si>
  <si>
    <t>Caucionados</t>
  </si>
  <si>
    <t>Depósitos de</t>
  </si>
  <si>
    <t>Depósitos a</t>
  </si>
  <si>
    <t>Depósitos à</t>
  </si>
  <si>
    <t xml:space="preserve">                          Depósitos a Prazo</t>
  </si>
  <si>
    <t xml:space="preserve">                                           Empréstimos</t>
  </si>
  <si>
    <t>Desconto</t>
  </si>
  <si>
    <t>Empréstimos</t>
  </si>
  <si>
    <t>Redesconto</t>
  </si>
  <si>
    <t>Data</t>
  </si>
  <si>
    <t xml:space="preserve">                     Caixa Geral de Depósitos</t>
  </si>
  <si>
    <t xml:space="preserve">                                      Bancos Comerciais</t>
  </si>
  <si>
    <t xml:space="preserve">                                                Caixa Geral de Depósitos</t>
  </si>
  <si>
    <t xml:space="preserve">             Bancos Comerciais</t>
  </si>
  <si>
    <t>Anos</t>
  </si>
  <si>
    <t xml:space="preserve">                                                                                  Taxas de juro passivas</t>
  </si>
  <si>
    <t xml:space="preserve">                                                                            Taxas de juro activas (2)</t>
  </si>
  <si>
    <t xml:space="preserve">                    Banco de Portugal (1)</t>
  </si>
  <si>
    <t>Em percentagem</t>
  </si>
  <si>
    <t>TAXAS DE JURO DO SISTEMA BANCÁRIO EM FIM DE ANO</t>
  </si>
  <si>
    <t xml:space="preserve">TAXAS DE JURO ACTIVAS PRATICADAS APÓS 1990                                                                                                 </t>
  </si>
  <si>
    <t>B A N C O S</t>
  </si>
  <si>
    <t>BANCO DE</t>
  </si>
  <si>
    <t xml:space="preserve">                Operações de 91 a 180 dias                      </t>
  </si>
  <si>
    <t xml:space="preserve">        Operações de 181 dias a 1 ano                </t>
  </si>
  <si>
    <t xml:space="preserve">Operações de 2 a 5 anos </t>
  </si>
  <si>
    <t xml:space="preserve"> Operações a mais de 5 anos</t>
  </si>
  <si>
    <t xml:space="preserve">    </t>
  </si>
  <si>
    <t>PORTUGAL</t>
  </si>
  <si>
    <t>Carteira Comercial</t>
  </si>
  <si>
    <t xml:space="preserve">    Empréstimos e outros créditos   </t>
  </si>
  <si>
    <t xml:space="preserve">   Carteira comercial   </t>
  </si>
  <si>
    <t xml:space="preserve">   Empréstimos e outros créditos    </t>
  </si>
  <si>
    <t xml:space="preserve">  Empréstimos e outros  </t>
  </si>
  <si>
    <t xml:space="preserve">  Empréstimos e outros     </t>
  </si>
  <si>
    <t xml:space="preserve"> Ano</t>
  </si>
  <si>
    <t xml:space="preserve"> Mês</t>
  </si>
  <si>
    <t xml:space="preserve">  Empresas  </t>
  </si>
  <si>
    <t>Particulares</t>
  </si>
  <si>
    <t xml:space="preserve">Particulares   </t>
  </si>
  <si>
    <t>privadas  não</t>
  </si>
  <si>
    <t xml:space="preserve">            </t>
  </si>
  <si>
    <t>públicas não</t>
  </si>
  <si>
    <t>privadas não</t>
  </si>
  <si>
    <t xml:space="preserve">               </t>
  </si>
  <si>
    <t xml:space="preserve">financeiras </t>
  </si>
  <si>
    <t xml:space="preserve">  Mar</t>
  </si>
  <si>
    <t xml:space="preserve">  Jun</t>
  </si>
  <si>
    <t xml:space="preserve">  Set</t>
  </si>
  <si>
    <t xml:space="preserve">  Dez</t>
  </si>
  <si>
    <t xml:space="preserve">  </t>
  </si>
  <si>
    <t xml:space="preserve">          </t>
  </si>
  <si>
    <t>habitação</t>
  </si>
  <si>
    <t xml:space="preserve">         </t>
  </si>
  <si>
    <t>reformado</t>
  </si>
  <si>
    <t>emigrantes</t>
  </si>
  <si>
    <t xml:space="preserve">poupança </t>
  </si>
  <si>
    <t xml:space="preserve">   de     </t>
  </si>
  <si>
    <t xml:space="preserve">   de    </t>
  </si>
  <si>
    <t xml:space="preserve"> a prazo </t>
  </si>
  <si>
    <t xml:space="preserve">de depósito </t>
  </si>
  <si>
    <t xml:space="preserve">180 dias </t>
  </si>
  <si>
    <t xml:space="preserve"> 90 dias </t>
  </si>
  <si>
    <t xml:space="preserve">Depósitos </t>
  </si>
  <si>
    <t>Depósitos</t>
  </si>
  <si>
    <t>Certificados</t>
  </si>
  <si>
    <t xml:space="preserve"> de 91 a </t>
  </si>
  <si>
    <t xml:space="preserve"> de 31 a </t>
  </si>
  <si>
    <t xml:space="preserve">             </t>
  </si>
  <si>
    <t xml:space="preserve"> Operações a mais de 1 ano  </t>
  </si>
  <si>
    <t xml:space="preserve">   Operações de 181 dias a 1 ano        </t>
  </si>
  <si>
    <t xml:space="preserve">TAXAS DE JURO PASSIVAS PRATICADAS APÓS 1990 </t>
  </si>
  <si>
    <t>EMISSÃO DE OBRIGAÇÕES DO TESOURO - DÍVIDA INTERNA AMORTIZÁVEL</t>
  </si>
  <si>
    <t>Data de</t>
  </si>
  <si>
    <t>Montante emitido</t>
  </si>
  <si>
    <t>Taxa de juro</t>
  </si>
  <si>
    <t>Data do</t>
  </si>
  <si>
    <t>Maturidade</t>
  </si>
  <si>
    <t>Ano</t>
  </si>
  <si>
    <t>Designação</t>
  </si>
  <si>
    <t>emissão</t>
  </si>
  <si>
    <t>reembolso</t>
  </si>
  <si>
    <t>dia-mês</t>
  </si>
  <si>
    <t>milhões de escudos</t>
  </si>
  <si>
    <t>%</t>
  </si>
  <si>
    <t>anos,meses</t>
  </si>
  <si>
    <t>Amortizável de 1950</t>
  </si>
  <si>
    <t>20-05</t>
  </si>
  <si>
    <t>15-04-70</t>
  </si>
  <si>
    <t>Amortizável de 1951</t>
  </si>
  <si>
    <t>27-03</t>
  </si>
  <si>
    <t>15-04-76</t>
  </si>
  <si>
    <t>Amortizável de 1952</t>
  </si>
  <si>
    <t>22-07</t>
  </si>
  <si>
    <t>15-07-77</t>
  </si>
  <si>
    <t>Amortizável de 1954</t>
  </si>
  <si>
    <t>03-07</t>
  </si>
  <si>
    <t>15-07-79</t>
  </si>
  <si>
    <t>II Plano de Fomento</t>
  </si>
  <si>
    <t>24-06</t>
  </si>
  <si>
    <t>15-07-84</t>
  </si>
  <si>
    <t>V Centenário Infante D.Henrique</t>
  </si>
  <si>
    <t>29-06</t>
  </si>
  <si>
    <t>24-01</t>
  </si>
  <si>
    <t>15-04-85</t>
  </si>
  <si>
    <t>16-06</t>
  </si>
  <si>
    <t>01-10-83</t>
  </si>
  <si>
    <t>Amortizável de 1963</t>
  </si>
  <si>
    <t>17-07</t>
  </si>
  <si>
    <t>15-10-84</t>
  </si>
  <si>
    <t>Plano Intercalar de Fomento</t>
  </si>
  <si>
    <t>05-08</t>
  </si>
  <si>
    <t>15-10-85</t>
  </si>
  <si>
    <t>09-09</t>
  </si>
  <si>
    <t>15-11-86</t>
  </si>
  <si>
    <t>Fomento Económico</t>
  </si>
  <si>
    <t>27-02</t>
  </si>
  <si>
    <t>15-01-82</t>
  </si>
  <si>
    <t>III Plano de Fomento</t>
  </si>
  <si>
    <t>08-05</t>
  </si>
  <si>
    <t>15-11-83</t>
  </si>
  <si>
    <t>21-05</t>
  </si>
  <si>
    <t>15-06-85</t>
  </si>
  <si>
    <t>15-11</t>
  </si>
  <si>
    <t>15-11-87</t>
  </si>
  <si>
    <t>IV Plano de Fomento</t>
  </si>
  <si>
    <t>26-12</t>
  </si>
  <si>
    <t>11-03-89</t>
  </si>
  <si>
    <t>Plano Investimentos Públicos</t>
  </si>
  <si>
    <t>10-01</t>
  </si>
  <si>
    <t>01-01-83</t>
  </si>
  <si>
    <t>05-09</t>
  </si>
  <si>
    <t>15-09-84</t>
  </si>
  <si>
    <t>Apoio aos Retornados</t>
  </si>
  <si>
    <t>03-11</t>
  </si>
  <si>
    <t>15-03-90</t>
  </si>
  <si>
    <t>Plano Invest. Públicos (2ªemissão)</t>
  </si>
  <si>
    <t>15-03-81</t>
  </si>
  <si>
    <t>Obrigações do Tesouro</t>
  </si>
  <si>
    <t>10-05</t>
  </si>
  <si>
    <t>15-05-84</t>
  </si>
  <si>
    <t>18-06</t>
  </si>
  <si>
    <t>23-06-96</t>
  </si>
  <si>
    <t>29-12</t>
  </si>
  <si>
    <t>23-12-97</t>
  </si>
  <si>
    <t>21-01</t>
  </si>
  <si>
    <t>04-02</t>
  </si>
  <si>
    <t>23-01-98</t>
  </si>
  <si>
    <t>30-04</t>
  </si>
  <si>
    <t>23-04-00</t>
  </si>
  <si>
    <t>08-07</t>
  </si>
  <si>
    <t>23-06-03</t>
  </si>
  <si>
    <t>21-01-97</t>
  </si>
  <si>
    <t>27-01</t>
  </si>
  <si>
    <t>23-01-99</t>
  </si>
  <si>
    <t>23-01-04</t>
  </si>
  <si>
    <t>17-11</t>
  </si>
  <si>
    <t>Lisbor6m</t>
  </si>
  <si>
    <t>17-11-99</t>
  </si>
  <si>
    <t>16-02</t>
  </si>
  <si>
    <t>23-02-99</t>
  </si>
  <si>
    <t>03-03</t>
  </si>
  <si>
    <t>23-02-00</t>
  </si>
  <si>
    <t>02-02</t>
  </si>
  <si>
    <t>23-02-05</t>
  </si>
  <si>
    <t>30-06</t>
  </si>
  <si>
    <t>15-07-01</t>
  </si>
  <si>
    <t>EMISSÃO DE EMPRÉSTIMOS AMORTIZÁVEIS COM AVAL DO ESTADO</t>
  </si>
  <si>
    <t>F. Renovação Marinha Mercante</t>
  </si>
  <si>
    <t>19-05</t>
  </si>
  <si>
    <t>01-10-71</t>
  </si>
  <si>
    <t>20-09</t>
  </si>
  <si>
    <t>01-04-73</t>
  </si>
  <si>
    <t>22-09</t>
  </si>
  <si>
    <t>01-10-73</t>
  </si>
  <si>
    <t>31-03</t>
  </si>
  <si>
    <t>01-10-74</t>
  </si>
  <si>
    <t>12-06</t>
  </si>
  <si>
    <t>01-10-75</t>
  </si>
  <si>
    <t>04-09</t>
  </si>
  <si>
    <t>01-04-77</t>
  </si>
  <si>
    <t>F. Renov.Apetrecha. Ind.Pesca</t>
  </si>
  <si>
    <t>27-11</t>
  </si>
  <si>
    <t>01-04-68</t>
  </si>
  <si>
    <t>25-08</t>
  </si>
  <si>
    <t>01-10-68</t>
  </si>
  <si>
    <t>25-11</t>
  </si>
  <si>
    <t>01-04-70</t>
  </si>
  <si>
    <t>06-09</t>
  </si>
  <si>
    <t>01-10-70</t>
  </si>
  <si>
    <t>24-05</t>
  </si>
  <si>
    <t>09-06</t>
  </si>
  <si>
    <t>01-10-72</t>
  </si>
  <si>
    <t>F.R.M.M.(II Plano de Fomento)</t>
  </si>
  <si>
    <t>06-11</t>
  </si>
  <si>
    <t>01-04-84</t>
  </si>
  <si>
    <t>F.R.A.I.P.(II Plano de Fomento)</t>
  </si>
  <si>
    <t>01-04-74</t>
  </si>
  <si>
    <t>08-04</t>
  </si>
  <si>
    <t>27-04</t>
  </si>
  <si>
    <t>30-01</t>
  </si>
  <si>
    <t>01-04-85</t>
  </si>
  <si>
    <t>28-01</t>
  </si>
  <si>
    <t>01-04-75</t>
  </si>
  <si>
    <t>01-02</t>
  </si>
  <si>
    <t>24-11</t>
  </si>
  <si>
    <t>01-10-77</t>
  </si>
  <si>
    <t>05-04</t>
  </si>
  <si>
    <t>20-03</t>
  </si>
  <si>
    <t>01-10-78</t>
  </si>
  <si>
    <t>F.R.A.I.P.(P.Int.Fomento)</t>
  </si>
  <si>
    <t>22-12</t>
  </si>
  <si>
    <t>01-04-80</t>
  </si>
  <si>
    <t>Fundo de Transportes Terrestres</t>
  </si>
  <si>
    <t>30-07-86</t>
  </si>
  <si>
    <t>01-04-81</t>
  </si>
  <si>
    <t>01-03</t>
  </si>
  <si>
    <t>01-09-86</t>
  </si>
  <si>
    <t>28-08</t>
  </si>
  <si>
    <t>01-10-81</t>
  </si>
  <si>
    <t>F.R.M.M.(III Plano Fomento)</t>
  </si>
  <si>
    <t>05-11</t>
  </si>
  <si>
    <t>01-10-82</t>
  </si>
  <si>
    <t>F.R.A.I.P.(III Plano Fomento)</t>
  </si>
  <si>
    <t>Emp.Fom. Tur.(III P.de Fomento)</t>
  </si>
  <si>
    <t>02-06</t>
  </si>
  <si>
    <t>30-06-80</t>
  </si>
  <si>
    <t>Fundo de Turismo</t>
  </si>
  <si>
    <t>30-06-81</t>
  </si>
  <si>
    <t>29-03</t>
  </si>
  <si>
    <t>01-05-88</t>
  </si>
  <si>
    <t>10-12</t>
  </si>
  <si>
    <t>30-11-90</t>
  </si>
  <si>
    <t>F. Especial Transportes Terrestres</t>
  </si>
  <si>
    <t>16-12</t>
  </si>
  <si>
    <t>31-12-01</t>
  </si>
  <si>
    <t>Junta Autónoma das Estradas</t>
  </si>
  <si>
    <t>29-05</t>
  </si>
  <si>
    <t>15-03-92</t>
  </si>
  <si>
    <t>Fundo de Abastecimento</t>
  </si>
  <si>
    <t>04-07</t>
  </si>
  <si>
    <t>30-01-00</t>
  </si>
  <si>
    <t>04-08</t>
  </si>
  <si>
    <t>30-02-00</t>
  </si>
  <si>
    <t>30-03-00</t>
  </si>
  <si>
    <t>04-10</t>
  </si>
  <si>
    <t>30-04-00</t>
  </si>
  <si>
    <t>04-11</t>
  </si>
  <si>
    <t>30-05-00</t>
  </si>
  <si>
    <t>04-12</t>
  </si>
  <si>
    <t>30-06-00</t>
  </si>
  <si>
    <t>20-02</t>
  </si>
  <si>
    <t>01-03-92</t>
  </si>
  <si>
    <t>31-12</t>
  </si>
  <si>
    <t>30-12-95</t>
  </si>
  <si>
    <t>30-12-96</t>
  </si>
  <si>
    <t>30-12-97</t>
  </si>
  <si>
    <t>16-11</t>
  </si>
  <si>
    <t>16-11-99</t>
  </si>
  <si>
    <t>TAXAS DE JURO DE TÍTULOS DE DíVIDA PÚBLICA/EMPRÉSTIMOS COM AVAL DO ESTADO</t>
  </si>
  <si>
    <t xml:space="preserve">                              Mercado primário</t>
  </si>
  <si>
    <t xml:space="preserve">                            Mercado secundário</t>
  </si>
  <si>
    <t xml:space="preserve">                                   (Fim de Ano)(1)</t>
  </si>
  <si>
    <t xml:space="preserve">Emprést. Amortizáveis </t>
  </si>
  <si>
    <t xml:space="preserve">Conjunto de Dívida </t>
  </si>
  <si>
    <t xml:space="preserve">Obrigações do </t>
  </si>
  <si>
    <t>Dív. Interna Amortizável</t>
  </si>
  <si>
    <t>com Aval do Estado</t>
  </si>
  <si>
    <t>Pública (2)</t>
  </si>
  <si>
    <t>Tesouro (3)</t>
  </si>
  <si>
    <t>(1)  Taxas de juro verificadas em média nos meses de Dezembro nos anos indicados.</t>
  </si>
  <si>
    <t>(2)  Os títulos considerados são os transaccionados em Bolsa.</t>
  </si>
  <si>
    <t>(3)  Considera-se a taxa de rendibilidade verificada nas transacções de títulos de maior maturidade residual.</t>
  </si>
  <si>
    <t>BALANÇA DE PAGAMENTOS EXTERNOS DE PORTUGAL (Valores líquidos)</t>
  </si>
  <si>
    <t>Base de transacções</t>
  </si>
  <si>
    <t>Balança de transacções correntes</t>
  </si>
  <si>
    <t xml:space="preserve"> </t>
  </si>
  <si>
    <t>Operações de capitais não monetários, adiantamentos/atrasos e ajustamentos estatísticos</t>
  </si>
  <si>
    <t xml:space="preserve">  Balança de capitais não monetários</t>
  </si>
  <si>
    <t>x</t>
  </si>
  <si>
    <t xml:space="preserve">  Adiantamentos/atrasos e ajustamentos estatísticos(1)</t>
  </si>
  <si>
    <t>Variação da posição externa a c/p dos Bancos(2)</t>
  </si>
  <si>
    <t xml:space="preserve">  Disponibilidades</t>
  </si>
  <si>
    <t xml:space="preserve">  Responsabilidades</t>
  </si>
  <si>
    <t>Variação das reservas oficiais líquidas(2)</t>
  </si>
  <si>
    <t>(1) O valor desta rubrica compreende os leads e lags na liquidação de operações de mercadorias e discrepâncias ao nível dos sistemas de recolha estatística.</t>
  </si>
  <si>
    <t>(2) Um sinal negativo (positivo) corresponde a um aumento líquido (diminuição líquida) de disponibilidades ou a uma diminuição líquida (aumento líquido) de responsabilidades.</t>
  </si>
  <si>
    <t>BALANÇA DE TRANSACÇÕES CORRENTES</t>
  </si>
  <si>
    <t>1995 Oficial BoP</t>
  </si>
  <si>
    <t>Débito</t>
  </si>
  <si>
    <t>Crédito</t>
  </si>
  <si>
    <t>Saldo</t>
  </si>
  <si>
    <t xml:space="preserve">  Bens e serviços</t>
  </si>
  <si>
    <t xml:space="preserve">    Mercadorias f.o.b.(1)</t>
  </si>
  <si>
    <t xml:space="preserve">    Serviços</t>
  </si>
  <si>
    <t xml:space="preserve">      Transportes</t>
  </si>
  <si>
    <t xml:space="preserve">        Fretes de mercadorias</t>
  </si>
  <si>
    <t xml:space="preserve">        Outros</t>
  </si>
  <si>
    <t xml:space="preserve">      Viagens e turismo</t>
  </si>
  <si>
    <t xml:space="preserve">      Seguros</t>
  </si>
  <si>
    <t xml:space="preserve">      Outros Serviços</t>
  </si>
  <si>
    <t xml:space="preserve">      Operações governamentais</t>
  </si>
  <si>
    <t xml:space="preserve">  Rendimentos</t>
  </si>
  <si>
    <t xml:space="preserve">    Do trabalho</t>
  </si>
  <si>
    <t xml:space="preserve">    De capital</t>
  </si>
  <si>
    <t xml:space="preserve">    Outros rendimentos</t>
  </si>
  <si>
    <t xml:space="preserve">  Transferências Unilaterais</t>
  </si>
  <si>
    <t xml:space="preserve">    Transferências públicas</t>
  </si>
  <si>
    <t xml:space="preserve">      Transferências com a União Europeia</t>
  </si>
  <si>
    <t xml:space="preserve">      Outras</t>
  </si>
  <si>
    <t xml:space="preserve">    Transferências privadas</t>
  </si>
  <si>
    <t xml:space="preserve">      Remessas de Emigrantes</t>
  </si>
  <si>
    <t>(1) De acordo com as Estatísticas do Comércio Externo publicadas pelo INE (Instituto Nacional de Estatística).</t>
  </si>
  <si>
    <t>BALANÇA DE CAPITAIS NÃO MONETÁRIOS</t>
  </si>
  <si>
    <t>Balança de capitais não monetários</t>
  </si>
  <si>
    <t xml:space="preserve">  Investimento directo</t>
  </si>
  <si>
    <t xml:space="preserve">    Investimento de Portugal no exterior</t>
  </si>
  <si>
    <t xml:space="preserve">      No capital de empresas</t>
  </si>
  <si>
    <t xml:space="preserve">      Lucros Reinvestidos</t>
  </si>
  <si>
    <t xml:space="preserve">      Empréstimos e suprimentos</t>
  </si>
  <si>
    <t xml:space="preserve">      Operações sobre imóveis</t>
  </si>
  <si>
    <t xml:space="preserve">      Outras operações</t>
  </si>
  <si>
    <t xml:space="preserve">    Investimento do exterior em Portugal</t>
  </si>
  <si>
    <t xml:space="preserve">  Investimento de carteira</t>
  </si>
  <si>
    <t xml:space="preserve">      Acções</t>
  </si>
  <si>
    <t xml:space="preserve">      Obrigações</t>
  </si>
  <si>
    <t xml:space="preserve">        Dívida pública</t>
  </si>
  <si>
    <t xml:space="preserve">        Outras</t>
  </si>
  <si>
    <t xml:space="preserve">      Outros títulos</t>
  </si>
  <si>
    <t xml:space="preserve">  Créditos externos concedidos</t>
  </si>
  <si>
    <t xml:space="preserve">    Créditos externos concedidos de longo prazo</t>
  </si>
  <si>
    <t xml:space="preserve">    Créditos externos concedidos de curto prazo</t>
  </si>
  <si>
    <t xml:space="preserve">  Créditos externos recebidos</t>
  </si>
  <si>
    <t xml:space="preserve">    Créditos externos recebidos de longo prazo</t>
  </si>
  <si>
    <t xml:space="preserve">      Sector Público Administrativo</t>
  </si>
  <si>
    <t xml:space="preserve">      Bancos</t>
  </si>
  <si>
    <t xml:space="preserve">      Outras Instituições</t>
  </si>
  <si>
    <t xml:space="preserve">    Créditos externos recebidos de curto prazo</t>
  </si>
  <si>
    <t xml:space="preserve">  Outras operações</t>
  </si>
  <si>
    <t>RESERVAS OFICIAIS LÍQUIDAS</t>
  </si>
  <si>
    <t>Posições em fim de período</t>
  </si>
  <si>
    <t xml:space="preserve">Reservas oficiais líquidas </t>
  </si>
  <si>
    <t xml:space="preserve">  Com ouro ao valor contabilístico</t>
  </si>
  <si>
    <t xml:space="preserve">  Com ouro ao preço de mercado</t>
  </si>
  <si>
    <t xml:space="preserve">    Com ouro ao valor contabilístico</t>
  </si>
  <si>
    <t xml:space="preserve">    Com ouro ao preço de mercado</t>
  </si>
  <si>
    <t xml:space="preserve">      Ouro</t>
  </si>
  <si>
    <t xml:space="preserve">        Ao valor contabilístico</t>
  </si>
  <si>
    <t xml:space="preserve">        A preço de mercado</t>
  </si>
  <si>
    <t xml:space="preserve">      Moedas estrangeiras</t>
  </si>
  <si>
    <t xml:space="preserve">      ECU oficiais</t>
  </si>
  <si>
    <t xml:space="preserve">      Outras disponibilidades</t>
  </si>
  <si>
    <t>BALANÇA DE PAGAMENTOS DA METRÓPOLE COM O ULTRAMAR</t>
  </si>
  <si>
    <t>Base de Transacções</t>
  </si>
  <si>
    <t>Operações de carácter pessoal</t>
  </si>
  <si>
    <t>Operações de Capital - Curto Prazo (Saldo)</t>
  </si>
  <si>
    <t>Erros e Omissões</t>
  </si>
  <si>
    <t>Financiamento</t>
  </si>
  <si>
    <t>RECEITAS E DESPESAS DAS ADMINISTRAÇÕES PÚBLICAS 1947-1995</t>
  </si>
  <si>
    <t xml:space="preserve">  1947</t>
  </si>
  <si>
    <t xml:space="preserve">  1948</t>
  </si>
  <si>
    <t xml:space="preserve">  1949</t>
  </si>
  <si>
    <t xml:space="preserve">  1950</t>
  </si>
  <si>
    <t xml:space="preserve">  1951</t>
  </si>
  <si>
    <t xml:space="preserve">  1952</t>
  </si>
  <si>
    <t xml:space="preserve">  1953</t>
  </si>
  <si>
    <t xml:space="preserve">  1954</t>
  </si>
  <si>
    <t xml:space="preserve">  1955</t>
  </si>
  <si>
    <t xml:space="preserve">  1956</t>
  </si>
  <si>
    <t xml:space="preserve">  1957</t>
  </si>
  <si>
    <t xml:space="preserve">  1958</t>
  </si>
  <si>
    <t xml:space="preserve">  1959</t>
  </si>
  <si>
    <t xml:space="preserve">  1960</t>
  </si>
  <si>
    <t xml:space="preserve">  1962</t>
  </si>
  <si>
    <t xml:space="preserve">  1963</t>
  </si>
  <si>
    <t xml:space="preserve">  1964</t>
  </si>
  <si>
    <t xml:space="preserve">  1965</t>
  </si>
  <si>
    <t xml:space="preserve">  1966</t>
  </si>
  <si>
    <t xml:space="preserve">  1967</t>
  </si>
  <si>
    <t xml:space="preserve">  1968</t>
  </si>
  <si>
    <t xml:space="preserve">  1969</t>
  </si>
  <si>
    <t xml:space="preserve">  1970</t>
  </si>
  <si>
    <t xml:space="preserve">  1971</t>
  </si>
  <si>
    <t xml:space="preserve">  1972</t>
  </si>
  <si>
    <t xml:space="preserve">  1973</t>
  </si>
  <si>
    <t xml:space="preserve">  1974</t>
  </si>
  <si>
    <t xml:space="preserve">  1975</t>
  </si>
  <si>
    <t xml:space="preserve">  1976</t>
  </si>
  <si>
    <t>Receitas correntes</t>
  </si>
  <si>
    <t xml:space="preserve">  Impostos correntes sobre o rendimento e património</t>
  </si>
  <si>
    <t xml:space="preserve">  Contribuições sociais efectivas</t>
  </si>
  <si>
    <t xml:space="preserve">  Impostos ligados à produção e importação</t>
  </si>
  <si>
    <t xml:space="preserve">  Rendimento de propriedade e de empresa</t>
  </si>
  <si>
    <t xml:space="preserve">  Consumo de capital fixo</t>
  </si>
  <si>
    <t xml:space="preserve">  Transferências correntes</t>
  </si>
  <si>
    <t>Receitas de capital</t>
  </si>
  <si>
    <t xml:space="preserve">  Transferências de capital</t>
  </si>
  <si>
    <t>Receita total</t>
  </si>
  <si>
    <t>Despesas correntes</t>
  </si>
  <si>
    <t xml:space="preserve">  Consumo público</t>
  </si>
  <si>
    <t xml:space="preserve">      Remunerações</t>
  </si>
  <si>
    <t xml:space="preserve">      Outras despesas correntes</t>
  </si>
  <si>
    <t xml:space="preserve">  Juros </t>
  </si>
  <si>
    <t xml:space="preserve">  Subsídios</t>
  </si>
  <si>
    <t>Despesas de capital</t>
  </si>
  <si>
    <t xml:space="preserve">  Formação bruta de capital fixo e aquisição líquida de terrenos</t>
  </si>
  <si>
    <t>Despesa total</t>
  </si>
  <si>
    <t>Capacidade (+) Necessidade (-) de financiamento</t>
  </si>
  <si>
    <t>RECEITAS E DESPESAS DA ADMINISTRAÇÃO CENTRAL 1947-1995</t>
  </si>
  <si>
    <t xml:space="preserve">    das quais: transferências entre administrações públicas</t>
  </si>
  <si>
    <t>RECEITAS E DESPESAS DO ESTADO 1947-1995</t>
  </si>
  <si>
    <t xml:space="preserve">  Transferências de capital(1)</t>
  </si>
  <si>
    <t>(1) A anulação de parte da dívida do Estado no Banco de Portugal em contrapartida da reavaliação das reservas de ouro em 1962, 1980 e 1988, não foi considerada como transferência de capital (ver nota metodológica).</t>
  </si>
  <si>
    <t>RECEITAS E DESPESAS DOS SERVIÇOS AUTÓNOMOS 1947-1995</t>
  </si>
  <si>
    <t xml:space="preserve">  Impostos ligados à produção e importação(1)</t>
  </si>
  <si>
    <t>(1) O valor dos impostos ligados à produção e importação em 1986 é explicado fundamentalmente pelo facto de, neste ano, o Imposto sobre Produtos Petrolíferos ter sido receita do Instituto Nacional de Garantia Agrícola (INGA).</t>
  </si>
  <si>
    <t>RECEITAS E DESPESAS DA SEGURANÇA SOCIAL(1) 1947-1995</t>
  </si>
  <si>
    <t xml:space="preserve">  Contribuições sociais efectivas(2)</t>
  </si>
  <si>
    <t xml:space="preserve">(1) Até 1976, a Segurança Social incluiu os serviços médico-sociais. Este facto explica a quebra ocorrida em algumas operações entre 1976 e 1977.  </t>
  </si>
  <si>
    <t xml:space="preserve">(2) A variação nominal das contribuições sociais efectivas no ano de 1986 é, em parte, justificada pela extinção do Fundo de Desemprego e a criação da taxa social única. </t>
  </si>
  <si>
    <t xml:space="preserve">      Com efeito,  esta substituiu as contribuições para o Fundo de Desemprego, que eram classificadas como impostos, e as antigas contribuições para a Segurança Social.  </t>
  </si>
  <si>
    <t>RECEITAS E DESPESAS DOS FUNDOS AUTÓNOMOS 1947-1995</t>
  </si>
  <si>
    <t xml:space="preserve">  Impostos correntes sobre o rendimento e património(1)</t>
  </si>
  <si>
    <t>Receitas de capital(2)</t>
  </si>
  <si>
    <t>(1) A quebra registada na receita dos impostos correntes sobre o rendimento e o património e dos impostos ligados à produção e importação posteriormente a 1985, explica-se pela extinção do Fundo de Abastecimento e do Fundo de Desemprego.</t>
  </si>
  <si>
    <t>(2) O valor das receitas de capital em 1951 resultou, na quase totalidade, do recebimento de transferências de capital pelo Fundo de Fomento Nacional, no âmbito do Plano Marshall.</t>
  </si>
  <si>
    <t>RECEITAS E DESPESAS DAS INSTITUIÇÕES PARTICULARES SEM FIM LUCRATIVO 1977-1995</t>
  </si>
  <si>
    <t>RECEITAS E DESPESAS DA ADMINISTRAÇÃO REGIONAL E LOCAL 1947-1995</t>
  </si>
  <si>
    <t>RECEITAS E DESPESAS DA ADMINISTRAÇÃO REGIONAL 1977-1995</t>
  </si>
  <si>
    <t>RECEITAS E DESPESAS DA ADMINISTRAÇÃO LOCAL 1947-1995</t>
  </si>
  <si>
    <t>IMPOSTOS CORRENTES SOBRE O RENDIMENTO E PATRIMÓNIO</t>
  </si>
  <si>
    <t>Principais impostos</t>
  </si>
  <si>
    <t>Contribuição industrial</t>
  </si>
  <si>
    <t>Contribuição predial</t>
  </si>
  <si>
    <t>Imposto profissional</t>
  </si>
  <si>
    <t>Imposto de capitais</t>
  </si>
  <si>
    <t>Imposto complementar</t>
  </si>
  <si>
    <t>IRS</t>
  </si>
  <si>
    <t>IRC</t>
  </si>
  <si>
    <t>Impostos  correntes sobre o rendimento e património</t>
  </si>
  <si>
    <t>CONTRIBUIÇÕES SOCIAIS EFECTIVAS</t>
  </si>
  <si>
    <t>Segurança social dos funcionários  públicos</t>
  </si>
  <si>
    <t xml:space="preserve">  Cont. da entidade patronal</t>
  </si>
  <si>
    <t xml:space="preserve">  Cont. dos trabalhadores por conta de outrem</t>
  </si>
  <si>
    <t xml:space="preserve">Segurança Social - outros regimes </t>
  </si>
  <si>
    <t xml:space="preserve">  Cont. dos trabalhadores independentes</t>
  </si>
  <si>
    <t>IMPOSTOS LIGADOS À PRODUÇÃO E IMPORTAÇÃO</t>
  </si>
  <si>
    <t>Impostos sobre os produtos</t>
  </si>
  <si>
    <t>Outros impostos ligados à produção</t>
  </si>
  <si>
    <t>Impostos ligados à importação</t>
  </si>
  <si>
    <t>Imposto sobre o Valor Acrescentado</t>
  </si>
  <si>
    <t>REMUNERAÇÕES</t>
  </si>
  <si>
    <t>Ramos não mercantis</t>
  </si>
  <si>
    <t>Salários</t>
  </si>
  <si>
    <t>Contribuições sociais efectivas</t>
  </si>
  <si>
    <t>Contribuições sociais fictícias</t>
  </si>
  <si>
    <t>CONTRIBUIÇÕES SOCIAIS FICTÍCIAS</t>
  </si>
  <si>
    <t>Estado</t>
  </si>
  <si>
    <t>Serviços Autónomos</t>
  </si>
  <si>
    <t>Fundos Autónomos</t>
  </si>
  <si>
    <t>IPSFL</t>
  </si>
  <si>
    <t>Administração Regional</t>
  </si>
  <si>
    <t xml:space="preserve">Administração Local </t>
  </si>
  <si>
    <t>Segurança Social</t>
  </si>
  <si>
    <t>TRANSFERÊNCIAS CORRENTES</t>
  </si>
  <si>
    <t>Recebidas</t>
  </si>
  <si>
    <t xml:space="preserve">  Contribuições sociais fictícias</t>
  </si>
  <si>
    <t xml:space="preserve">  Transferências do resto do mundo</t>
  </si>
  <si>
    <t xml:space="preserve">  Outras transferências correntes</t>
  </si>
  <si>
    <t>Pagas</t>
  </si>
  <si>
    <t xml:space="preserve">  Prestações ligadas às cont. sociais fictícias</t>
  </si>
  <si>
    <t xml:space="preserve">  Transferências para o resto do mundo</t>
  </si>
  <si>
    <t xml:space="preserve">  Transferências da Segurança Social</t>
  </si>
  <si>
    <t>TRANSFERÊNCIAS DE CAPITAL</t>
  </si>
  <si>
    <t xml:space="preserve">  Impostos de capital</t>
  </si>
  <si>
    <t xml:space="preserve">  Outras transferências de capital</t>
  </si>
  <si>
    <t>FORMAÇÃO BRUTA DE CAPITAL FIXO E AQUISIÇÃO LÍQUIDA DE TERRENOS</t>
  </si>
  <si>
    <t xml:space="preserve">Plantações </t>
  </si>
  <si>
    <t>Material de transporte</t>
  </si>
  <si>
    <t>Material diverso</t>
  </si>
  <si>
    <t>Habitação e outros edifícios</t>
  </si>
  <si>
    <t>Outras construções</t>
  </si>
  <si>
    <t>Aquisição líquida de terrenos e bens existentes</t>
  </si>
  <si>
    <t>POPULAÇÃO, EMPREGO E DESEMPREGO</t>
  </si>
  <si>
    <t>Unidade: milhares</t>
  </si>
  <si>
    <t>População Residente</t>
  </si>
  <si>
    <t xml:space="preserve">  População Activa - sentido lato e com mais de 12 anos</t>
  </si>
  <si>
    <t xml:space="preserve">  (População Activa como % da População Residente)</t>
  </si>
  <si>
    <t xml:space="preserve">    Emprego Total (mais de 12 anos)</t>
  </si>
  <si>
    <t xml:space="preserve">      Trabalhadores por conta de outrem (TCO )</t>
  </si>
  <si>
    <t xml:space="preserve">    Desemprego - sentido lato</t>
  </si>
  <si>
    <t xml:space="preserve">    (Taxa de Desemprego - sentido lato)</t>
  </si>
  <si>
    <t>EMPREGO TOTAL</t>
  </si>
  <si>
    <t>CAErev1</t>
  </si>
  <si>
    <t>Agricultura, Silvicultura, Caça e Pesca</t>
  </si>
  <si>
    <t xml:space="preserve"> 11 + 12</t>
  </si>
  <si>
    <t xml:space="preserve">  Agricultura, Silvicultura, Caça </t>
  </si>
  <si>
    <t xml:space="preserve"> 13</t>
  </si>
  <si>
    <t xml:space="preserve">  Pesca</t>
  </si>
  <si>
    <t>Ind. Extractivas</t>
  </si>
  <si>
    <t xml:space="preserve"> 21</t>
  </si>
  <si>
    <t xml:space="preserve">  Ext. de carvão</t>
  </si>
  <si>
    <t xml:space="preserve"> 22</t>
  </si>
  <si>
    <t xml:space="preserve">  Ext. de Petróleo bruto e Gás Natural</t>
  </si>
  <si>
    <t xml:space="preserve"> 23</t>
  </si>
  <si>
    <t xml:space="preserve">  Ext. de Minérios Metálicos</t>
  </si>
  <si>
    <t xml:space="preserve"> 29</t>
  </si>
  <si>
    <t xml:space="preserve">  Ext. de Minérios não Metálicos</t>
  </si>
  <si>
    <t>Ind. Transformadoras</t>
  </si>
  <si>
    <t xml:space="preserve"> 31</t>
  </si>
  <si>
    <t xml:space="preserve">  Ind. da Alimentação, Bebidas e Tabaco</t>
  </si>
  <si>
    <t xml:space="preserve"> 32</t>
  </si>
  <si>
    <t xml:space="preserve">  Ind. Têxteis, do Vestuário e do Couro</t>
  </si>
  <si>
    <t xml:space="preserve"> 33</t>
  </si>
  <si>
    <t xml:space="preserve">  Ind. da Madeira e da Cortiça</t>
  </si>
  <si>
    <t xml:space="preserve"> 34</t>
  </si>
  <si>
    <t xml:space="preserve">  Ind. do Papel, tipografias e afins</t>
  </si>
  <si>
    <t xml:space="preserve"> 35</t>
  </si>
  <si>
    <t xml:space="preserve">  Ind. Químicas de Petróleo e Afins</t>
  </si>
  <si>
    <t xml:space="preserve"> 36</t>
  </si>
  <si>
    <t xml:space="preserve">  Ind. Prod. Minerais não metálicos</t>
  </si>
  <si>
    <t xml:space="preserve"> 37</t>
  </si>
  <si>
    <t xml:space="preserve">  Ind. Metalúrgicas de Base</t>
  </si>
  <si>
    <t xml:space="preserve"> 38</t>
  </si>
  <si>
    <t xml:space="preserve">  Fab. Produtos Metálicos, Máq. e Mat. de Transporte</t>
  </si>
  <si>
    <t xml:space="preserve"> 39</t>
  </si>
  <si>
    <t xml:space="preserve">  Out. ind. transformadoras</t>
  </si>
  <si>
    <t>Electricidade, Gás e Água</t>
  </si>
  <si>
    <t xml:space="preserve"> 41</t>
  </si>
  <si>
    <t xml:space="preserve">  Elect. gás e vapor</t>
  </si>
  <si>
    <t xml:space="preserve"> 42</t>
  </si>
  <si>
    <t xml:space="preserve">  Abastecimento de água</t>
  </si>
  <si>
    <t>Construção</t>
  </si>
  <si>
    <t>6</t>
  </si>
  <si>
    <t>Comércio por Grosso, Retalho, Restaurantes e Hotéis</t>
  </si>
  <si>
    <t xml:space="preserve"> 61+62</t>
  </si>
  <si>
    <t xml:space="preserve">  Comércio por Grosso e Retalho</t>
  </si>
  <si>
    <t xml:space="preserve"> 63</t>
  </si>
  <si>
    <t xml:space="preserve">  Restaurantes e hóteis</t>
  </si>
  <si>
    <t>Transportes, Armazenagem e Comunicações</t>
  </si>
  <si>
    <t xml:space="preserve"> 71</t>
  </si>
  <si>
    <t xml:space="preserve">  Transportes e Armazenagem</t>
  </si>
  <si>
    <t xml:space="preserve"> 72</t>
  </si>
  <si>
    <t xml:space="preserve">  Comunicações</t>
  </si>
  <si>
    <t>8</t>
  </si>
  <si>
    <t>Bancos, Seguros e Op. s/ Imóveis</t>
  </si>
  <si>
    <t xml:space="preserve"> 81</t>
  </si>
  <si>
    <t xml:space="preserve">  Bancos e outras inst. mon. fin.</t>
  </si>
  <si>
    <t xml:space="preserve"> 82</t>
  </si>
  <si>
    <t xml:space="preserve">  Seguros</t>
  </si>
  <si>
    <t xml:space="preserve"> 83</t>
  </si>
  <si>
    <t xml:space="preserve">  Operações s/ Imóveis e Serviços prestados às empresas</t>
  </si>
  <si>
    <t>9</t>
  </si>
  <si>
    <t>Serviços Prestados à Colectividade</t>
  </si>
  <si>
    <t xml:space="preserve"> 91</t>
  </si>
  <si>
    <t xml:space="preserve">  Administração Pública e Defesa</t>
  </si>
  <si>
    <t xml:space="preserve"> 92</t>
  </si>
  <si>
    <t xml:space="preserve">  Serv. saneamento e limpeza</t>
  </si>
  <si>
    <t xml:space="preserve"> 93</t>
  </si>
  <si>
    <t xml:space="preserve">  Serv. Sociais e Similares</t>
  </si>
  <si>
    <t xml:space="preserve"> 94</t>
  </si>
  <si>
    <t xml:space="preserve">  Serv. Recreativos e Culturais</t>
  </si>
  <si>
    <t xml:space="preserve"> 95</t>
  </si>
  <si>
    <t xml:space="preserve">  Serv. Pessoais e Domésticos</t>
  </si>
  <si>
    <t xml:space="preserve"> 96</t>
  </si>
  <si>
    <t xml:space="preserve">  Org. int. e out. inst. extraterritoriais</t>
  </si>
  <si>
    <t>TRABALHADORES POR CONTA DE OUTREM (TCO)</t>
  </si>
  <si>
    <t>Transportes Armazenagem Comunicações</t>
  </si>
  <si>
    <t>PRODUTO INTERNO BRUTO (ÓPTICA DA PRODUÇÃO)</t>
  </si>
  <si>
    <t xml:space="preserve">Preços correntes </t>
  </si>
  <si>
    <t>Unidade: milhões de escudos</t>
  </si>
  <si>
    <t>CAE</t>
  </si>
  <si>
    <t>11+12</t>
  </si>
  <si>
    <t xml:space="preserve">Agricultura, Caça, Silvicultura e Exploração Florestal    </t>
  </si>
  <si>
    <t>13</t>
  </si>
  <si>
    <t xml:space="preserve">Pesca   </t>
  </si>
  <si>
    <t xml:space="preserve">Extracção de Carvão   </t>
  </si>
  <si>
    <t>23</t>
  </si>
  <si>
    <t xml:space="preserve">Extracção de Minérios Metálicos   </t>
  </si>
  <si>
    <t xml:space="preserve">Extracção de Minérios não Metálicos   </t>
  </si>
  <si>
    <t>31</t>
  </si>
  <si>
    <t xml:space="preserve">Ind. da Alimentação, Bebidas e Tabaco   </t>
  </si>
  <si>
    <t>32</t>
  </si>
  <si>
    <t xml:space="preserve">Ind. Têxteis, do Vestuário e do Couro   </t>
  </si>
  <si>
    <t>33</t>
  </si>
  <si>
    <t xml:space="preserve">Ind. da Madeira e da Cortiça  </t>
  </si>
  <si>
    <t>34</t>
  </si>
  <si>
    <t xml:space="preserve">Ind. do Papel, tipografias e Afins   </t>
  </si>
  <si>
    <t>35+22</t>
  </si>
  <si>
    <t xml:space="preserve">Ind. Químicas de Petróleo e Afins (a)   </t>
  </si>
  <si>
    <t>36</t>
  </si>
  <si>
    <t xml:space="preserve">Ind. Prod. Minerais não metálicos   </t>
  </si>
  <si>
    <t>37</t>
  </si>
  <si>
    <t xml:space="preserve">Ind. Metalúrgicas de Base   </t>
  </si>
  <si>
    <t>38</t>
  </si>
  <si>
    <t xml:space="preserve">Fab. Produtos Metálicos, Máq. e Mat. de Transporte   </t>
  </si>
  <si>
    <t>39</t>
  </si>
  <si>
    <t xml:space="preserve">Out. ind. transformadoras   </t>
  </si>
  <si>
    <t>41</t>
  </si>
  <si>
    <t xml:space="preserve">Elect. gás e vapor    </t>
  </si>
  <si>
    <t>42</t>
  </si>
  <si>
    <t xml:space="preserve">Abastecimento de água   </t>
  </si>
  <si>
    <t xml:space="preserve">Construção   </t>
  </si>
  <si>
    <t>61+62</t>
  </si>
  <si>
    <t xml:space="preserve">Comércio por Grosso e Retalho   </t>
  </si>
  <si>
    <t>63</t>
  </si>
  <si>
    <t xml:space="preserve">Restaurantes e hóteis   </t>
  </si>
  <si>
    <t>71</t>
  </si>
  <si>
    <t xml:space="preserve">Transportes e Armazenagem   </t>
  </si>
  <si>
    <t>72</t>
  </si>
  <si>
    <t xml:space="preserve">Comunicações   </t>
  </si>
  <si>
    <t>81</t>
  </si>
  <si>
    <t xml:space="preserve">Bancos e out. inst. mon. fin.   </t>
  </si>
  <si>
    <t>82</t>
  </si>
  <si>
    <t xml:space="preserve">Seguros   </t>
  </si>
  <si>
    <t>83</t>
  </si>
  <si>
    <t xml:space="preserve">Operações s/ Imóveis e Serviços prestados às empresas   </t>
  </si>
  <si>
    <t xml:space="preserve">Serv. Prestados Colectividade (componente pública)   </t>
  </si>
  <si>
    <t xml:space="preserve">Serv. Prestados Colectividade (componente privada)   </t>
  </si>
  <si>
    <t>( - ) PISB</t>
  </si>
  <si>
    <t xml:space="preserve">Produção Imputada de Serviços Bancários   </t>
  </si>
  <si>
    <t xml:space="preserve">Total VAB (excluindo R221)   </t>
  </si>
  <si>
    <t>R29</t>
  </si>
  <si>
    <t xml:space="preserve">Impostos ligados à importação à excepção do IVA   </t>
  </si>
  <si>
    <t>R21</t>
  </si>
  <si>
    <t xml:space="preserve">Imposto de transacções + IVA   </t>
  </si>
  <si>
    <t xml:space="preserve">PIBpm     </t>
  </si>
  <si>
    <t>(a) inclui actividades de extracção de petróleo bruto e gás natural (CAE 22)</t>
  </si>
  <si>
    <t>Preços do ano anterior (10^9 esc)</t>
  </si>
  <si>
    <t>DESPESA NACIONAL</t>
  </si>
  <si>
    <t>Consumo Privado (no território)</t>
  </si>
  <si>
    <t>Consumo Público</t>
  </si>
  <si>
    <t>Investimento</t>
  </si>
  <si>
    <t xml:space="preserve">    FBCF</t>
  </si>
  <si>
    <t xml:space="preserve">    Variação das Existências</t>
  </si>
  <si>
    <t>Exportações de Bens e de Serviços</t>
  </si>
  <si>
    <t xml:space="preserve">    Mercadorias</t>
  </si>
  <si>
    <t>Importações de Bens e de Serviços</t>
  </si>
  <si>
    <t>PIBpm</t>
  </si>
  <si>
    <t xml:space="preserve">Preços do ano anterior </t>
  </si>
  <si>
    <t>CONSUMO PRIVADO</t>
  </si>
  <si>
    <t>Preços correntes</t>
  </si>
  <si>
    <t>Consumo privado</t>
  </si>
  <si>
    <t xml:space="preserve">     Bens não duradouros</t>
  </si>
  <si>
    <t xml:space="preserve">        Alimentação, bebidas e tabaco</t>
  </si>
  <si>
    <t xml:space="preserve">        Vestuário e calçado</t>
  </si>
  <si>
    <t xml:space="preserve">        Bens energéticos</t>
  </si>
  <si>
    <t xml:space="preserve">     Bens duradouros</t>
  </si>
  <si>
    <t xml:space="preserve">        Automóveis ligeiros de passageiros</t>
  </si>
  <si>
    <t>Preços do ano anterior</t>
  </si>
  <si>
    <t>FORMAÇÃO BRUTA DE CAPITAL FIXO</t>
  </si>
  <si>
    <t xml:space="preserve">     Formação bruta de capital fixo</t>
  </si>
  <si>
    <t xml:space="preserve">          Máquinas e aparelhos</t>
  </si>
  <si>
    <t xml:space="preserve">          Material de transporte</t>
  </si>
  <si>
    <t xml:space="preserve">          Construção</t>
  </si>
  <si>
    <t xml:space="preserve">               Habitação</t>
  </si>
  <si>
    <t xml:space="preserve">               Outra construção</t>
  </si>
  <si>
    <t xml:space="preserve">          Outros</t>
  </si>
  <si>
    <t>EXPORTAÇÕES DE MERCADORIAS</t>
  </si>
  <si>
    <t>Bens de Consumo</t>
  </si>
  <si>
    <t xml:space="preserve">  Bens não duradouros</t>
  </si>
  <si>
    <t xml:space="preserve">    Alimentação, bebidas e tabaco</t>
  </si>
  <si>
    <t xml:space="preserve">      Alimentação</t>
  </si>
  <si>
    <t xml:space="preserve">      Bebidas</t>
  </si>
  <si>
    <t xml:space="preserve">      Tabaco</t>
  </si>
  <si>
    <t xml:space="preserve">    Vestuário e calçado</t>
  </si>
  <si>
    <t xml:space="preserve">      Vestuário e acessórios</t>
  </si>
  <si>
    <t xml:space="preserve">      Calçado</t>
  </si>
  <si>
    <t xml:space="preserve">    Outros</t>
  </si>
  <si>
    <t xml:space="preserve">  Bens duradouros</t>
  </si>
  <si>
    <t xml:space="preserve">    Automóveis ligeiros de passageiros</t>
  </si>
  <si>
    <t xml:space="preserve">    Electrodomésticos</t>
  </si>
  <si>
    <t xml:space="preserve">    Mobiliário</t>
  </si>
  <si>
    <t>Bens de Investimento</t>
  </si>
  <si>
    <t xml:space="preserve">  Máquinas e aparelhos</t>
  </si>
  <si>
    <t xml:space="preserve">  Material de transporte</t>
  </si>
  <si>
    <t xml:space="preserve">  Outros</t>
  </si>
  <si>
    <t>Bens intermédios</t>
  </si>
  <si>
    <t>Energéticos</t>
  </si>
  <si>
    <t>Produtos acima não incluídos (inclui electricidade)</t>
  </si>
  <si>
    <t>TOTAL</t>
  </si>
  <si>
    <t>IMPORTAÇÕES DE MERCADORIAS</t>
  </si>
  <si>
    <t>REPARTIÇÃO DO RENDIMENTO NACIONAL</t>
  </si>
  <si>
    <t>Remunerações do trabalho (no território)</t>
  </si>
  <si>
    <t xml:space="preserve">  Ordenados e Salários</t>
  </si>
  <si>
    <t xml:space="preserve">  Cont. Sociais e Fictícias dos empregadores</t>
  </si>
  <si>
    <t xml:space="preserve">    Cont. Sociais Efectivas dos empregadores</t>
  </si>
  <si>
    <t xml:space="preserve">    Cont. Sociais Fictícias dos empregadores</t>
  </si>
  <si>
    <t>Excedente Bruto de Exploração</t>
  </si>
  <si>
    <t>Produto Interno Bruto a custo de factores</t>
  </si>
  <si>
    <t>Impostos Indirectos Líquidos</t>
  </si>
  <si>
    <t>Produto Interno Bruto a preços de mercado</t>
  </si>
  <si>
    <t>Rendimento do Resto do Mundo</t>
  </si>
  <si>
    <t>Produto Nacional Bruto a preços de mercado</t>
  </si>
  <si>
    <t>Transferências Correntes do Resto do Mundo (1)</t>
  </si>
  <si>
    <t>Rendimento Disponível da Nação</t>
  </si>
  <si>
    <t xml:space="preserve">  Famílias e Administrações Privadas</t>
  </si>
  <si>
    <t xml:space="preserve">  SPA</t>
  </si>
  <si>
    <t xml:space="preserve">  Empresas </t>
  </si>
  <si>
    <t>(1) Saldo da Balança de Transferências Correntes menos transferências de capital da Comunidade Europeia</t>
  </si>
  <si>
    <t>RENDIMENTO E POUPANÇA DAS FAMÍLIAS E ADMINISTRAÇÕES PRIVADAS</t>
  </si>
  <si>
    <t>Remunerações do trabalho</t>
  </si>
  <si>
    <t xml:space="preserve">  Cont. Sociais Efectivas e Fictícias dos empregadores</t>
  </si>
  <si>
    <t xml:space="preserve">  Rendimentos Líquidos do Resto do Mundo do Trabalho</t>
  </si>
  <si>
    <t>Excedente bruto de exploração</t>
  </si>
  <si>
    <t>Excedente bruto de exploração dos serviços de habitação(1)</t>
  </si>
  <si>
    <t>Rendimentos de Empresa e Propriedade</t>
  </si>
  <si>
    <t xml:space="preserve">  Juros  efectivos</t>
  </si>
  <si>
    <t xml:space="preserve">    Juros recebidos(2)</t>
  </si>
  <si>
    <t xml:space="preserve">    Juros pagos</t>
  </si>
  <si>
    <t xml:space="preserve">  Rendas de terrenos e de activos incorpóreos</t>
  </si>
  <si>
    <t xml:space="preserve">  Dividendos, etc.(3)</t>
  </si>
  <si>
    <t>Transferências internas</t>
  </si>
  <si>
    <t>Impostos sobre o rendimento e património</t>
  </si>
  <si>
    <t xml:space="preserve">Cont. Sociais Efectivas e Fictícias </t>
  </si>
  <si>
    <t xml:space="preserve">  Cont. Sociais Efectivas dos trabalhadores independentes</t>
  </si>
  <si>
    <t xml:space="preserve">  Cont.  Sociais Efectivas dos trabalhadores dependentes</t>
  </si>
  <si>
    <t>Transferências externas</t>
  </si>
  <si>
    <t xml:space="preserve">  Remessas de Emigrantes</t>
  </si>
  <si>
    <t xml:space="preserve">  Outras</t>
  </si>
  <si>
    <t>Rendimento Disponível Bruto</t>
  </si>
  <si>
    <t>Consumo das Famílias (Residentes)</t>
  </si>
  <si>
    <t xml:space="preserve">  Consumo Final no Território</t>
  </si>
  <si>
    <t xml:space="preserve">  Saldo Turismo das Famílias (4)</t>
  </si>
  <si>
    <t>Variação das reservas matemáticas de seguros de reforma</t>
  </si>
  <si>
    <t>Poupança Bruta das Famílias</t>
  </si>
  <si>
    <t>Taxa de Poupança (em % do Rendimento Disponível)</t>
  </si>
  <si>
    <t>Rendimento Disponível Bruto (sem remessas de emigrantes)</t>
  </si>
  <si>
    <t>Poupança Bruta das Famílias (sem remessas de emigrantes)</t>
  </si>
  <si>
    <t>Taxa de Poupança (em % do Rendimento Disponível s/ remessas de emigrantes)</t>
  </si>
  <si>
    <t>(1)inclui bonificações de juros à habitação.</t>
  </si>
  <si>
    <t>(2) inclui juros imputados de seguros.</t>
  </si>
  <si>
    <t>(3) inclui rendas levantadas p/ prop. das quase-sociedades e lucros atribuídos aos trabalhadores.</t>
  </si>
  <si>
    <t>(4) os créditos e os débitos do turismo foram corrigidos, admitindo que 2,5% e 15%, respectivamente, são consumo intermédio de empresas residentes a título de viagens de negócios.</t>
  </si>
  <si>
    <t>POUPANÇA E INVESTIMENTO</t>
  </si>
  <si>
    <t>Unidade: milhões de contos</t>
  </si>
  <si>
    <t>Poupança interna</t>
  </si>
  <si>
    <t xml:space="preserve">  Particulares</t>
  </si>
  <si>
    <t xml:space="preserve">  Empresas</t>
  </si>
  <si>
    <t xml:space="preserve">  Sector Público Administrativo</t>
  </si>
  <si>
    <t>Poupança externa (1)</t>
  </si>
  <si>
    <t>Poupança bruta = Investimento bruto</t>
  </si>
  <si>
    <t>(1) Simétrico do (Saldo da Balança de Transacções Correntes menos transferências de capital da Comunidade Europeia)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</si>
</sst>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)_E_s_c_._ ;_ * \(#,##0.00\)_E_s_c_._ ;_ * &quot;-&quot;??_)_E_s_c_._ ;_ @_ "/>
    <numFmt numFmtId="165" formatCode="#,##0.0"/>
    <numFmt numFmtId="166" formatCode="_-* #,##0.00\ _E_s_c_._-;\-* #,##0.00\ _E_s_c_._-;_-* &quot;-&quot;??\ _E_s_c_._-;_-@_-"/>
    <numFmt numFmtId="167" formatCode="0.0"/>
    <numFmt numFmtId="168" formatCode="0.000"/>
    <numFmt numFmtId="169" formatCode="0.000_)"/>
    <numFmt numFmtId="170" formatCode="0.0_)"/>
    <numFmt numFmtId="171" formatCode="0.00_)"/>
    <numFmt numFmtId="172" formatCode="0.0%"/>
    <numFmt numFmtId="173" formatCode="_(* #,##0_);_(* \(#,##0\);_(* &quot;-&quot;??_);_(@_)"/>
  </numFmts>
  <fonts count="3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ourier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0"/>
      <color indexed="10"/>
      <name val="Times New Roman"/>
      <family val="1"/>
    </font>
    <font>
      <sz val="10"/>
      <color indexed="24"/>
      <name val="Arial"/>
      <family val="2"/>
    </font>
    <font>
      <sz val="12"/>
      <color indexed="8"/>
      <name val="Times New Roman"/>
      <family val="1"/>
    </font>
    <font>
      <sz val="16"/>
      <color indexed="8"/>
      <name val="Times New Roman"/>
      <family val="1"/>
    </font>
    <font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i/>
      <sz val="10"/>
      <color indexed="8"/>
      <name val="Times New Roman"/>
      <family val="1"/>
    </font>
    <font>
      <sz val="10"/>
      <name val="Courier"/>
    </font>
    <font>
      <sz val="10"/>
      <name val="Arial"/>
    </font>
    <font>
      <b/>
      <sz val="10"/>
      <name val="Times New Roman"/>
    </font>
    <font>
      <sz val="10"/>
      <name val="Arrus BT"/>
    </font>
    <font>
      <sz val="10"/>
      <name val="Times New Roman"/>
    </font>
    <font>
      <u/>
      <sz val="11"/>
      <color theme="10"/>
      <name val="Times New Roman"/>
      <family val="1"/>
    </font>
    <font>
      <sz val="10"/>
      <color indexed="12"/>
      <name val="Times New Roman"/>
      <family val="1"/>
    </font>
    <font>
      <sz val="10"/>
      <color indexed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3"/>
      </patternFill>
    </fill>
  </fills>
  <borders count="8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8" fillId="0" borderId="0"/>
    <xf numFmtId="164" fontId="8" fillId="0" borderId="0" applyFont="0" applyFill="0" applyBorder="0" applyAlignment="0" applyProtection="0"/>
    <xf numFmtId="0" fontId="10" fillId="0" borderId="0"/>
    <xf numFmtId="165" fontId="8" fillId="0" borderId="0"/>
    <xf numFmtId="166" fontId="8" fillId="0" borderId="0" applyFont="0" applyFill="0" applyBorder="0" applyAlignment="0" applyProtection="0"/>
    <xf numFmtId="0" fontId="8" fillId="0" borderId="0"/>
    <xf numFmtId="0" fontId="22" fillId="0" borderId="0"/>
    <xf numFmtId="3" fontId="8" fillId="0" borderId="0" applyFont="0" applyFill="0" applyBorder="0" applyAlignment="0" applyProtection="0"/>
    <xf numFmtId="0" fontId="23" fillId="0" borderId="0"/>
    <xf numFmtId="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623">
    <xf numFmtId="0" fontId="0" fillId="0" borderId="0" xfId="0"/>
    <xf numFmtId="1" fontId="3" fillId="0" borderId="0" xfId="2" applyNumberFormat="1" applyFont="1"/>
    <xf numFmtId="1" fontId="4" fillId="0" borderId="0" xfId="2" applyNumberFormat="1" applyFont="1"/>
    <xf numFmtId="3" fontId="3" fillId="0" borderId="0" xfId="2" applyNumberFormat="1" applyFont="1"/>
    <xf numFmtId="1" fontId="3" fillId="0" borderId="1" xfId="2" applyNumberFormat="1" applyFont="1" applyBorder="1"/>
    <xf numFmtId="1" fontId="3" fillId="0" borderId="2" xfId="2" applyNumberFormat="1" applyFont="1" applyBorder="1"/>
    <xf numFmtId="1" fontId="4" fillId="0" borderId="2" xfId="2" applyNumberFormat="1" applyFont="1" applyBorder="1"/>
    <xf numFmtId="1" fontId="3" fillId="0" borderId="3" xfId="2" applyNumberFormat="1" applyFont="1" applyBorder="1"/>
    <xf numFmtId="1" fontId="3" fillId="0" borderId="4" xfId="2" applyNumberFormat="1" applyFont="1" applyBorder="1"/>
    <xf numFmtId="1" fontId="3" fillId="0" borderId="5" xfId="2" applyNumberFormat="1" applyFont="1" applyBorder="1"/>
    <xf numFmtId="1" fontId="3" fillId="0" borderId="6" xfId="2" applyNumberFormat="1" applyFont="1" applyBorder="1"/>
    <xf numFmtId="1" fontId="4" fillId="0" borderId="6" xfId="2" applyNumberFormat="1" applyFont="1" applyBorder="1"/>
    <xf numFmtId="1" fontId="3" fillId="0" borderId="7" xfId="2" applyNumberFormat="1" applyFont="1" applyBorder="1"/>
    <xf numFmtId="1" fontId="3" fillId="0" borderId="8" xfId="2" applyNumberFormat="1" applyFont="1" applyBorder="1"/>
    <xf numFmtId="1" fontId="3" fillId="0" borderId="6" xfId="2" applyNumberFormat="1" applyFont="1" applyBorder="1" applyAlignment="1">
      <alignment horizontal="right"/>
    </xf>
    <xf numFmtId="1" fontId="4" fillId="0" borderId="7" xfId="2" applyNumberFormat="1" applyFont="1" applyBorder="1"/>
    <xf numFmtId="1" fontId="3" fillId="0" borderId="9" xfId="2" quotePrefix="1" applyNumberFormat="1" applyFont="1" applyBorder="1" applyAlignment="1">
      <alignment horizontal="center"/>
    </xf>
    <xf numFmtId="1" fontId="3" fillId="0" borderId="10" xfId="2" quotePrefix="1" applyNumberFormat="1" applyFont="1" applyBorder="1" applyAlignment="1">
      <alignment horizontal="center"/>
    </xf>
    <xf numFmtId="1" fontId="4" fillId="0" borderId="10" xfId="2" quotePrefix="1" applyNumberFormat="1" applyFont="1" applyBorder="1" applyAlignment="1">
      <alignment horizontal="center"/>
    </xf>
    <xf numFmtId="1" fontId="4" fillId="0" borderId="11" xfId="2" quotePrefix="1" applyNumberFormat="1" applyFont="1" applyBorder="1" applyAlignment="1">
      <alignment horizontal="center"/>
    </xf>
    <xf numFmtId="1" fontId="3" fillId="0" borderId="12" xfId="2" applyNumberFormat="1" applyFont="1" applyBorder="1"/>
    <xf numFmtId="3" fontId="3" fillId="0" borderId="5" xfId="2" applyNumberFormat="1" applyFont="1" applyBorder="1"/>
    <xf numFmtId="3" fontId="3" fillId="0" borderId="6" xfId="2" applyNumberFormat="1" applyFont="1" applyBorder="1"/>
    <xf numFmtId="3" fontId="4" fillId="0" borderId="6" xfId="2" applyNumberFormat="1" applyFont="1" applyBorder="1"/>
    <xf numFmtId="3" fontId="4" fillId="0" borderId="7" xfId="2" applyNumberFormat="1" applyFont="1" applyBorder="1"/>
    <xf numFmtId="1" fontId="3" fillId="0" borderId="0" xfId="2" applyNumberFormat="1" applyFont="1" applyAlignment="1">
      <alignment horizontal="left"/>
    </xf>
    <xf numFmtId="1" fontId="5" fillId="0" borderId="0" xfId="2" applyNumberFormat="1" applyFont="1"/>
    <xf numFmtId="0" fontId="6" fillId="0" borderId="0" xfId="0" applyFont="1"/>
    <xf numFmtId="0" fontId="7" fillId="0" borderId="0" xfId="0" applyFont="1"/>
    <xf numFmtId="1" fontId="5" fillId="0" borderId="0" xfId="3" applyNumberFormat="1" applyFont="1"/>
    <xf numFmtId="1" fontId="9" fillId="0" borderId="0" xfId="3" applyNumberFormat="1" applyFont="1"/>
    <xf numFmtId="1" fontId="3" fillId="0" borderId="0" xfId="3" applyNumberFormat="1" applyFont="1"/>
    <xf numFmtId="1" fontId="3" fillId="0" borderId="12" xfId="3" applyNumberFormat="1" applyFont="1" applyBorder="1" applyAlignment="1">
      <alignment horizontal="left"/>
    </xf>
    <xf numFmtId="1" fontId="4" fillId="0" borderId="11" xfId="3" quotePrefix="1" applyNumberFormat="1" applyFont="1" applyBorder="1" applyAlignment="1">
      <alignment horizontal="center"/>
    </xf>
    <xf numFmtId="1" fontId="4" fillId="0" borderId="10" xfId="3" quotePrefix="1" applyNumberFormat="1" applyFont="1" applyBorder="1" applyAlignment="1">
      <alignment horizontal="center"/>
    </xf>
    <xf numFmtId="1" fontId="3" fillId="0" borderId="10" xfId="3" quotePrefix="1" applyNumberFormat="1" applyFont="1" applyBorder="1" applyAlignment="1">
      <alignment horizontal="center"/>
    </xf>
    <xf numFmtId="1" fontId="3" fillId="0" borderId="9" xfId="3" quotePrefix="1" applyNumberFormat="1" applyFont="1" applyBorder="1" applyAlignment="1">
      <alignment horizontal="center"/>
    </xf>
    <xf numFmtId="1" fontId="3" fillId="0" borderId="13" xfId="3" applyNumberFormat="1" applyFont="1" applyBorder="1"/>
    <xf numFmtId="1" fontId="3" fillId="0" borderId="7" xfId="3" applyNumberFormat="1" applyFont="1" applyBorder="1"/>
    <xf numFmtId="1" fontId="3" fillId="0" borderId="6" xfId="3" applyNumberFormat="1" applyFont="1" applyBorder="1"/>
    <xf numFmtId="1" fontId="4" fillId="0" borderId="6" xfId="3" applyNumberFormat="1" applyFont="1" applyBorder="1"/>
    <xf numFmtId="1" fontId="9" fillId="0" borderId="6" xfId="3" applyNumberFormat="1" applyFont="1" applyBorder="1"/>
    <xf numFmtId="1" fontId="3" fillId="0" borderId="14" xfId="3" applyNumberFormat="1" applyFont="1" applyBorder="1"/>
    <xf numFmtId="1" fontId="3" fillId="0" borderId="8" xfId="3" quotePrefix="1" applyNumberFormat="1" applyFont="1" applyBorder="1" applyAlignment="1">
      <alignment horizontal="left"/>
    </xf>
    <xf numFmtId="1" fontId="3" fillId="0" borderId="7" xfId="3" quotePrefix="1" applyNumberFormat="1" applyFont="1" applyBorder="1"/>
    <xf numFmtId="1" fontId="3" fillId="0" borderId="6" xfId="3" quotePrefix="1" applyNumberFormat="1" applyFont="1" applyBorder="1"/>
    <xf numFmtId="3" fontId="3" fillId="0" borderId="0" xfId="3" applyNumberFormat="1" applyFont="1"/>
    <xf numFmtId="1" fontId="3" fillId="0" borderId="8" xfId="3" applyNumberFormat="1" applyFont="1" applyBorder="1"/>
    <xf numFmtId="1" fontId="4" fillId="0" borderId="6" xfId="4" applyNumberFormat="1" applyFont="1" applyFill="1" applyBorder="1" applyProtection="1"/>
    <xf numFmtId="1" fontId="3" fillId="0" borderId="8" xfId="3" applyNumberFormat="1" applyFont="1" applyBorder="1" applyAlignment="1">
      <alignment horizontal="left"/>
    </xf>
    <xf numFmtId="1" fontId="4" fillId="0" borderId="6" xfId="3" applyNumberFormat="1" applyFont="1" applyBorder="1" applyAlignment="1">
      <alignment horizontal="right"/>
    </xf>
    <xf numFmtId="1" fontId="3" fillId="0" borderId="6" xfId="3" applyNumberFormat="1" applyFont="1" applyBorder="1" applyAlignment="1">
      <alignment horizontal="right"/>
    </xf>
    <xf numFmtId="1" fontId="3" fillId="0" borderId="14" xfId="3" applyNumberFormat="1" applyFont="1" applyBorder="1" applyAlignment="1">
      <alignment horizontal="right"/>
    </xf>
    <xf numFmtId="3" fontId="3" fillId="0" borderId="0" xfId="3" applyNumberFormat="1" applyFont="1" applyAlignment="1">
      <alignment horizontal="center"/>
    </xf>
    <xf numFmtId="1" fontId="3" fillId="0" borderId="4" xfId="3" applyNumberFormat="1" applyFont="1" applyBorder="1"/>
    <xf numFmtId="1" fontId="3" fillId="0" borderId="3" xfId="3" applyNumberFormat="1" applyFont="1" applyBorder="1"/>
    <xf numFmtId="1" fontId="3" fillId="0" borderId="2" xfId="3" applyNumberFormat="1" applyFont="1" applyBorder="1"/>
    <xf numFmtId="1" fontId="3" fillId="0" borderId="15" xfId="3" applyNumberFormat="1" applyFont="1" applyBorder="1"/>
    <xf numFmtId="1" fontId="3" fillId="0" borderId="5" xfId="3" applyNumberFormat="1" applyFont="1" applyBorder="1"/>
    <xf numFmtId="0" fontId="4" fillId="0" borderId="0" xfId="5" applyFont="1"/>
    <xf numFmtId="0" fontId="4" fillId="0" borderId="0" xfId="5" quotePrefix="1" applyFont="1"/>
    <xf numFmtId="0" fontId="4" fillId="0" borderId="15" xfId="5" applyFont="1" applyBorder="1" applyAlignment="1">
      <alignment horizontal="center"/>
    </xf>
    <xf numFmtId="0" fontId="4" fillId="0" borderId="2" xfId="5" applyFont="1" applyBorder="1" applyAlignment="1">
      <alignment horizontal="center"/>
    </xf>
    <xf numFmtId="0" fontId="4" fillId="0" borderId="16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4" fillId="0" borderId="17" xfId="5" applyFont="1" applyBorder="1"/>
    <xf numFmtId="0" fontId="4" fillId="0" borderId="4" xfId="5" applyFont="1" applyBorder="1" applyAlignment="1">
      <alignment horizontal="centerContinuous"/>
    </xf>
    <xf numFmtId="0" fontId="4" fillId="0" borderId="14" xfId="5" applyFont="1" applyBorder="1" applyAlignment="1">
      <alignment horizontal="center"/>
    </xf>
    <xf numFmtId="0" fontId="4" fillId="0" borderId="6" xfId="5" applyFont="1" applyBorder="1" applyAlignment="1">
      <alignment horizontal="center"/>
    </xf>
    <xf numFmtId="0" fontId="4" fillId="0" borderId="7" xfId="5" applyFont="1" applyBorder="1" applyAlignment="1">
      <alignment horizontal="center"/>
    </xf>
    <xf numFmtId="0" fontId="11" fillId="0" borderId="6" xfId="5" applyFont="1" applyBorder="1" applyAlignment="1">
      <alignment horizontal="center"/>
    </xf>
    <xf numFmtId="0" fontId="4" fillId="0" borderId="18" xfId="5" applyFont="1" applyBorder="1" applyAlignment="1">
      <alignment horizontal="center"/>
    </xf>
    <xf numFmtId="0" fontId="4" fillId="0" borderId="8" xfId="5" applyFont="1" applyBorder="1" applyAlignment="1">
      <alignment horizontal="center"/>
    </xf>
    <xf numFmtId="0" fontId="4" fillId="0" borderId="19" xfId="5" applyFont="1" applyBorder="1" applyAlignment="1">
      <alignment horizontal="center"/>
    </xf>
    <xf numFmtId="0" fontId="11" fillId="0" borderId="14" xfId="5" applyFont="1" applyBorder="1" applyAlignment="1">
      <alignment horizontal="center"/>
    </xf>
    <xf numFmtId="0" fontId="4" fillId="0" borderId="18" xfId="5" applyFont="1" applyBorder="1"/>
    <xf numFmtId="17" fontId="12" fillId="0" borderId="18" xfId="5" applyNumberFormat="1" applyFont="1" applyBorder="1" applyAlignment="1">
      <alignment horizontal="center"/>
    </xf>
    <xf numFmtId="0" fontId="4" fillId="0" borderId="14" xfId="5" applyFont="1" applyBorder="1"/>
    <xf numFmtId="0" fontId="13" fillId="0" borderId="6" xfId="5" applyFont="1" applyBorder="1"/>
    <xf numFmtId="0" fontId="13" fillId="0" borderId="19" xfId="5" applyFont="1" applyBorder="1"/>
    <xf numFmtId="0" fontId="13" fillId="0" borderId="14" xfId="5" applyFont="1" applyBorder="1" applyAlignment="1">
      <alignment horizontal="center"/>
    </xf>
    <xf numFmtId="0" fontId="13" fillId="0" borderId="6" xfId="5" applyFont="1" applyBorder="1" applyAlignment="1">
      <alignment horizontal="center"/>
    </xf>
    <xf numFmtId="0" fontId="13" fillId="0" borderId="7" xfId="5" applyFont="1" applyBorder="1"/>
    <xf numFmtId="0" fontId="13" fillId="0" borderId="14" xfId="5" applyFont="1" applyBorder="1"/>
    <xf numFmtId="0" fontId="13" fillId="0" borderId="8" xfId="5" applyFont="1" applyBorder="1"/>
    <xf numFmtId="0" fontId="4" fillId="0" borderId="0" xfId="5" applyFont="1" applyAlignment="1">
      <alignment horizontal="center"/>
    </xf>
    <xf numFmtId="0" fontId="4" fillId="0" borderId="20" xfId="5" applyFont="1" applyBorder="1" applyAlignment="1">
      <alignment horizontal="left"/>
    </xf>
    <xf numFmtId="0" fontId="4" fillId="0" borderId="21" xfId="5" applyFont="1" applyBorder="1" applyAlignment="1">
      <alignment horizontal="center"/>
    </xf>
    <xf numFmtId="0" fontId="4" fillId="0" borderId="20" xfId="5" applyFont="1" applyBorder="1" applyAlignment="1">
      <alignment horizontal="center"/>
    </xf>
    <xf numFmtId="0" fontId="4" fillId="0" borderId="22" xfId="5" applyFont="1" applyBorder="1" applyAlignment="1">
      <alignment horizontal="center"/>
    </xf>
    <xf numFmtId="0" fontId="4" fillId="0" borderId="17" xfId="5" applyFont="1" applyBorder="1" applyAlignment="1">
      <alignment horizontal="center"/>
    </xf>
    <xf numFmtId="0" fontId="4" fillId="0" borderId="4" xfId="5" applyFont="1" applyBorder="1" applyAlignment="1">
      <alignment horizontal="left"/>
    </xf>
    <xf numFmtId="0" fontId="4" fillId="0" borderId="23" xfId="5" applyFont="1" applyBorder="1" applyAlignment="1">
      <alignment horizontal="center"/>
    </xf>
    <xf numFmtId="0" fontId="4" fillId="0" borderId="24" xfId="5" applyFont="1" applyBorder="1" applyAlignment="1">
      <alignment horizontal="center"/>
    </xf>
    <xf numFmtId="0" fontId="4" fillId="0" borderId="25" xfId="5" applyFont="1" applyBorder="1" applyAlignment="1">
      <alignment horizontal="left"/>
    </xf>
    <xf numFmtId="0" fontId="4" fillId="0" borderId="26" xfId="5" applyFont="1" applyBorder="1" applyAlignment="1">
      <alignment horizontal="left"/>
    </xf>
    <xf numFmtId="0" fontId="4" fillId="0" borderId="26" xfId="5" applyFont="1" applyBorder="1"/>
    <xf numFmtId="0" fontId="4" fillId="0" borderId="27" xfId="5" applyFont="1" applyBorder="1" applyAlignment="1">
      <alignment horizontal="center"/>
    </xf>
    <xf numFmtId="0" fontId="4" fillId="0" borderId="28" xfId="5" applyFont="1" applyBorder="1" applyAlignment="1">
      <alignment horizontal="left"/>
    </xf>
    <xf numFmtId="0" fontId="4" fillId="0" borderId="29" xfId="5" applyFont="1" applyBorder="1"/>
    <xf numFmtId="0" fontId="4" fillId="0" borderId="29" xfId="5" applyFont="1" applyBorder="1" applyAlignment="1">
      <alignment horizontal="center"/>
    </xf>
    <xf numFmtId="0" fontId="4" fillId="0" borderId="30" xfId="5" applyFont="1" applyBorder="1" applyAlignment="1">
      <alignment horizontal="center"/>
    </xf>
    <xf numFmtId="0" fontId="4" fillId="0" borderId="8" xfId="5" applyFont="1" applyBorder="1" applyAlignment="1">
      <alignment horizontal="left"/>
    </xf>
    <xf numFmtId="0" fontId="4" fillId="0" borderId="31" xfId="5" applyFont="1" applyBorder="1" applyAlignment="1">
      <alignment horizontal="left"/>
    </xf>
    <xf numFmtId="0" fontId="4" fillId="0" borderId="32" xfId="5" applyFont="1" applyBorder="1" applyAlignment="1">
      <alignment horizontal="left"/>
    </xf>
    <xf numFmtId="0" fontId="4" fillId="0" borderId="32" xfId="5" applyFont="1" applyBorder="1"/>
    <xf numFmtId="0" fontId="4" fillId="0" borderId="33" xfId="5" applyFont="1" applyBorder="1" applyAlignment="1">
      <alignment horizontal="left"/>
    </xf>
    <xf numFmtId="0" fontId="4" fillId="0" borderId="34" xfId="5" applyFont="1" applyBorder="1"/>
    <xf numFmtId="0" fontId="4" fillId="0" borderId="35" xfId="5" applyFont="1" applyBorder="1"/>
    <xf numFmtId="0" fontId="4" fillId="0" borderId="5" xfId="5" applyFont="1" applyBorder="1" applyAlignment="1">
      <alignment horizontal="left"/>
    </xf>
    <xf numFmtId="0" fontId="4" fillId="0" borderId="0" xfId="5" applyFont="1" applyAlignment="1">
      <alignment horizontal="left"/>
    </xf>
    <xf numFmtId="0" fontId="4" fillId="0" borderId="18" xfId="5" applyFont="1" applyBorder="1" applyAlignment="1">
      <alignment horizontal="left"/>
    </xf>
    <xf numFmtId="0" fontId="4" fillId="0" borderId="36" xfId="5" applyFont="1" applyBorder="1" applyAlignment="1">
      <alignment horizontal="left"/>
    </xf>
    <xf numFmtId="0" fontId="4" fillId="0" borderId="37" xfId="5" applyFont="1" applyBorder="1" applyAlignment="1">
      <alignment horizontal="left"/>
    </xf>
    <xf numFmtId="0" fontId="4" fillId="0" borderId="38" xfId="5" applyFont="1" applyBorder="1" applyAlignment="1">
      <alignment horizontal="left"/>
    </xf>
    <xf numFmtId="0" fontId="4" fillId="0" borderId="38" xfId="5" applyFont="1" applyBorder="1"/>
    <xf numFmtId="0" fontId="4" fillId="0" borderId="13" xfId="5" applyFont="1" applyBorder="1" applyAlignment="1">
      <alignment horizontal="left"/>
    </xf>
    <xf numFmtId="0" fontId="14" fillId="0" borderId="0" xfId="5" applyFont="1"/>
    <xf numFmtId="0" fontId="14" fillId="0" borderId="0" xfId="5" applyFont="1" applyAlignment="1">
      <alignment horizontal="left"/>
    </xf>
    <xf numFmtId="165" fontId="15" fillId="0" borderId="0" xfId="6" applyFont="1" applyAlignment="1">
      <alignment horizontal="left"/>
    </xf>
    <xf numFmtId="165" fontId="16" fillId="0" borderId="0" xfId="6" applyFont="1"/>
    <xf numFmtId="165" fontId="16" fillId="0" borderId="0" xfId="6" applyFont="1" applyAlignment="1">
      <alignment horizontal="center"/>
    </xf>
    <xf numFmtId="165" fontId="16" fillId="0" borderId="38" xfId="6" applyFont="1" applyBorder="1" applyAlignment="1">
      <alignment horizontal="center"/>
    </xf>
    <xf numFmtId="165" fontId="16" fillId="0" borderId="39" xfId="6" applyFont="1" applyBorder="1" applyAlignment="1">
      <alignment horizontal="center"/>
    </xf>
    <xf numFmtId="165" fontId="16" fillId="0" borderId="13" xfId="6" applyFont="1" applyBorder="1"/>
    <xf numFmtId="165" fontId="15" fillId="0" borderId="37" xfId="6" applyFont="1" applyBorder="1" applyAlignment="1">
      <alignment horizontal="centerContinuous"/>
    </xf>
    <xf numFmtId="165" fontId="16" fillId="0" borderId="37" xfId="6" applyFont="1" applyBorder="1" applyAlignment="1">
      <alignment horizontal="centerContinuous"/>
    </xf>
    <xf numFmtId="165" fontId="16" fillId="0" borderId="36" xfId="6" applyFont="1" applyBorder="1" applyAlignment="1">
      <alignment horizontal="centerContinuous"/>
    </xf>
    <xf numFmtId="165" fontId="16" fillId="0" borderId="18" xfId="6" applyFont="1" applyBorder="1" applyAlignment="1">
      <alignment horizontal="center"/>
    </xf>
    <xf numFmtId="165" fontId="16" fillId="0" borderId="40" xfId="6" applyFont="1" applyBorder="1" applyAlignment="1">
      <alignment horizontal="center"/>
    </xf>
    <xf numFmtId="165" fontId="15" fillId="0" borderId="8" xfId="6" applyFont="1" applyBorder="1" applyAlignment="1">
      <alignment horizontal="center"/>
    </xf>
    <xf numFmtId="165" fontId="16" fillId="0" borderId="41" xfId="6" applyFont="1" applyBorder="1"/>
    <xf numFmtId="165" fontId="16" fillId="0" borderId="42" xfId="6" applyFont="1" applyBorder="1"/>
    <xf numFmtId="165" fontId="16" fillId="0" borderId="43" xfId="6" applyFont="1" applyBorder="1"/>
    <xf numFmtId="165" fontId="16" fillId="0" borderId="42" xfId="6" applyFont="1" applyBorder="1" applyAlignment="1">
      <alignment horizontal="centerContinuous"/>
    </xf>
    <xf numFmtId="165" fontId="16" fillId="0" borderId="43" xfId="6" applyFont="1" applyBorder="1" applyAlignment="1">
      <alignment horizontal="centerContinuous"/>
    </xf>
    <xf numFmtId="165" fontId="16" fillId="0" borderId="41" xfId="6" applyFont="1" applyBorder="1" applyAlignment="1">
      <alignment horizontal="centerContinuous"/>
    </xf>
    <xf numFmtId="165" fontId="16" fillId="0" borderId="38" xfId="6" applyFont="1" applyBorder="1" applyAlignment="1">
      <alignment horizontal="centerContinuous"/>
    </xf>
    <xf numFmtId="165" fontId="16" fillId="0" borderId="18" xfId="6" applyFont="1" applyBorder="1" applyAlignment="1">
      <alignment horizontal="centerContinuous"/>
    </xf>
    <xf numFmtId="165" fontId="16" fillId="0" borderId="0" xfId="6" applyFont="1" applyAlignment="1">
      <alignment horizontal="centerContinuous"/>
    </xf>
    <xf numFmtId="165" fontId="16" fillId="0" borderId="5" xfId="6" applyFont="1" applyBorder="1" applyAlignment="1">
      <alignment horizontal="centerContinuous"/>
    </xf>
    <xf numFmtId="165" fontId="16" fillId="0" borderId="7" xfId="6" applyFont="1" applyBorder="1" applyAlignment="1">
      <alignment horizontal="center"/>
    </xf>
    <xf numFmtId="165" fontId="16" fillId="0" borderId="44" xfId="6" applyFont="1" applyBorder="1" applyAlignment="1">
      <alignment horizontal="center"/>
    </xf>
    <xf numFmtId="165" fontId="16" fillId="0" borderId="30" xfId="6" applyFont="1" applyBorder="1" applyAlignment="1">
      <alignment horizontal="center"/>
    </xf>
    <xf numFmtId="165" fontId="16" fillId="0" borderId="23" xfId="6" applyFont="1" applyBorder="1" applyAlignment="1">
      <alignment horizontal="center"/>
    </xf>
    <xf numFmtId="165" fontId="16" fillId="0" borderId="24" xfId="6" applyFont="1" applyBorder="1" applyAlignment="1">
      <alignment horizontal="center"/>
    </xf>
    <xf numFmtId="165" fontId="16" fillId="0" borderId="28" xfId="6" applyFont="1" applyBorder="1" applyAlignment="1">
      <alignment horizontal="center"/>
    </xf>
    <xf numFmtId="165" fontId="16" fillId="0" borderId="29" xfId="6" applyFont="1" applyBorder="1" applyAlignment="1">
      <alignment horizontal="center"/>
    </xf>
    <xf numFmtId="165" fontId="16" fillId="0" borderId="27" xfId="6" applyFont="1" applyBorder="1" applyAlignment="1">
      <alignment horizontal="center"/>
    </xf>
    <xf numFmtId="165" fontId="16" fillId="0" borderId="8" xfId="6" applyFont="1" applyBorder="1"/>
    <xf numFmtId="165" fontId="16" fillId="0" borderId="14" xfId="6" applyFont="1" applyBorder="1"/>
    <xf numFmtId="165" fontId="16" fillId="0" borderId="6" xfId="6" applyFont="1" applyBorder="1" applyAlignment="1">
      <alignment horizontal="center"/>
    </xf>
    <xf numFmtId="165" fontId="16" fillId="0" borderId="5" xfId="6" applyFont="1" applyBorder="1"/>
    <xf numFmtId="165" fontId="16" fillId="0" borderId="40" xfId="6" applyFont="1" applyBorder="1"/>
    <xf numFmtId="165" fontId="16" fillId="0" borderId="8" xfId="6" applyFont="1" applyBorder="1" applyAlignment="1">
      <alignment horizontal="center"/>
    </xf>
    <xf numFmtId="165" fontId="16" fillId="0" borderId="3" xfId="6" applyFont="1" applyBorder="1" applyAlignment="1">
      <alignment horizontal="center"/>
    </xf>
    <xf numFmtId="165" fontId="16" fillId="0" borderId="22" xfId="6" applyFont="1" applyBorder="1" applyAlignment="1">
      <alignment horizontal="center"/>
    </xf>
    <xf numFmtId="165" fontId="16" fillId="0" borderId="4" xfId="6" applyFont="1" applyBorder="1"/>
    <xf numFmtId="165" fontId="16" fillId="0" borderId="17" xfId="6" applyFont="1" applyBorder="1" applyAlignment="1">
      <alignment horizontal="center"/>
    </xf>
    <xf numFmtId="165" fontId="16" fillId="0" borderId="15" xfId="6" applyFont="1" applyBorder="1"/>
    <xf numFmtId="165" fontId="16" fillId="0" borderId="2" xfId="6" applyFont="1" applyBorder="1" applyAlignment="1">
      <alignment horizontal="center"/>
    </xf>
    <xf numFmtId="165" fontId="16" fillId="0" borderId="1" xfId="6" applyFont="1" applyBorder="1"/>
    <xf numFmtId="165" fontId="16" fillId="0" borderId="22" xfId="6" applyFont="1" applyBorder="1"/>
    <xf numFmtId="165" fontId="16" fillId="0" borderId="18" xfId="6" applyFont="1" applyBorder="1"/>
    <xf numFmtId="165" fontId="16" fillId="0" borderId="6" xfId="6" applyFont="1" applyBorder="1"/>
    <xf numFmtId="165" fontId="16" fillId="0" borderId="7" xfId="6" applyFont="1" applyBorder="1"/>
    <xf numFmtId="1" fontId="16" fillId="0" borderId="7" xfId="6" applyNumberFormat="1" applyFont="1" applyBorder="1" applyAlignment="1">
      <alignment horizontal="center"/>
    </xf>
    <xf numFmtId="165" fontId="16" fillId="0" borderId="8" xfId="7" applyNumberFormat="1" applyFont="1" applyBorder="1" applyAlignment="1">
      <alignment horizontal="right"/>
    </xf>
    <xf numFmtId="165" fontId="16" fillId="0" borderId="18" xfId="6" applyFont="1" applyBorder="1" applyAlignment="1">
      <alignment horizontal="right"/>
    </xf>
    <xf numFmtId="165" fontId="16" fillId="0" borderId="14" xfId="6" applyFont="1" applyBorder="1" applyAlignment="1">
      <alignment horizontal="right"/>
    </xf>
    <xf numFmtId="165" fontId="16" fillId="0" borderId="6" xfId="6" applyFont="1" applyBorder="1" applyAlignment="1">
      <alignment horizontal="right"/>
    </xf>
    <xf numFmtId="165" fontId="16" fillId="0" borderId="5" xfId="6" applyFont="1" applyBorder="1" applyAlignment="1">
      <alignment horizontal="right"/>
    </xf>
    <xf numFmtId="165" fontId="16" fillId="0" borderId="40" xfId="6" applyFont="1" applyBorder="1" applyAlignment="1">
      <alignment horizontal="right"/>
    </xf>
    <xf numFmtId="165" fontId="16" fillId="0" borderId="7" xfId="6" applyFont="1" applyBorder="1" applyAlignment="1">
      <alignment horizontal="right"/>
    </xf>
    <xf numFmtId="165" fontId="16" fillId="0" borderId="8" xfId="6" applyFont="1" applyBorder="1" applyAlignment="1">
      <alignment horizontal="right"/>
    </xf>
    <xf numFmtId="1" fontId="16" fillId="0" borderId="18" xfId="6" applyNumberFormat="1" applyFont="1" applyBorder="1" applyAlignment="1">
      <alignment horizontal="center"/>
    </xf>
    <xf numFmtId="1" fontId="16" fillId="0" borderId="17" xfId="6" applyNumberFormat="1" applyFont="1" applyBorder="1" applyAlignment="1">
      <alignment horizontal="center"/>
    </xf>
    <xf numFmtId="165" fontId="16" fillId="0" borderId="45" xfId="6" applyFont="1" applyBorder="1"/>
    <xf numFmtId="165" fontId="16" fillId="0" borderId="2" xfId="6" applyFont="1" applyBorder="1"/>
    <xf numFmtId="165" fontId="16" fillId="0" borderId="3" xfId="6" applyFont="1" applyBorder="1"/>
    <xf numFmtId="167" fontId="17" fillId="0" borderId="0" xfId="8" applyNumberFormat="1" applyFont="1"/>
    <xf numFmtId="167" fontId="17" fillId="0" borderId="15" xfId="8" applyNumberFormat="1" applyFont="1" applyBorder="1"/>
    <xf numFmtId="167" fontId="17" fillId="0" borderId="22" xfId="8" applyNumberFormat="1" applyFont="1" applyBorder="1"/>
    <xf numFmtId="167" fontId="17" fillId="0" borderId="4" xfId="8" applyNumberFormat="1" applyFont="1" applyBorder="1"/>
    <xf numFmtId="167" fontId="17" fillId="0" borderId="45" xfId="8" applyNumberFormat="1" applyFont="1" applyBorder="1"/>
    <xf numFmtId="167" fontId="17" fillId="0" borderId="15" xfId="8" applyNumberFormat="1" applyFont="1" applyBorder="1" applyAlignment="1">
      <alignment horizontal="left"/>
    </xf>
    <xf numFmtId="167" fontId="17" fillId="0" borderId="17" xfId="8" applyNumberFormat="1" applyFont="1" applyBorder="1" applyAlignment="1">
      <alignment horizontal="center"/>
    </xf>
    <xf numFmtId="167" fontId="17" fillId="0" borderId="14" xfId="8" applyNumberFormat="1" applyFont="1" applyBorder="1"/>
    <xf numFmtId="167" fontId="17" fillId="0" borderId="8" xfId="8" applyNumberFormat="1" applyFont="1" applyBorder="1"/>
    <xf numFmtId="167" fontId="17" fillId="0" borderId="6" xfId="8" applyNumberFormat="1" applyFont="1" applyBorder="1"/>
    <xf numFmtId="0" fontId="17" fillId="0" borderId="40" xfId="8" applyFont="1" applyBorder="1" applyAlignment="1">
      <alignment horizontal="left"/>
    </xf>
    <xf numFmtId="1" fontId="17" fillId="0" borderId="18" xfId="8" applyNumberFormat="1" applyFont="1" applyBorder="1" applyAlignment="1">
      <alignment horizontal="center"/>
    </xf>
    <xf numFmtId="167" fontId="17" fillId="0" borderId="40" xfId="8" applyNumberFormat="1" applyFont="1" applyBorder="1"/>
    <xf numFmtId="167" fontId="17" fillId="0" borderId="5" xfId="8" applyNumberFormat="1" applyFont="1" applyBorder="1"/>
    <xf numFmtId="1" fontId="17" fillId="0" borderId="7" xfId="8" applyNumberFormat="1" applyFont="1" applyBorder="1" applyAlignment="1">
      <alignment horizontal="center"/>
    </xf>
    <xf numFmtId="167" fontId="17" fillId="0" borderId="8" xfId="8" applyNumberFormat="1" applyFont="1" applyBorder="1" applyAlignment="1">
      <alignment horizontal="right"/>
    </xf>
    <xf numFmtId="167" fontId="17" fillId="0" borderId="13" xfId="8" applyNumberFormat="1" applyFont="1" applyBorder="1"/>
    <xf numFmtId="167" fontId="17" fillId="0" borderId="7" xfId="8" applyNumberFormat="1" applyFont="1" applyBorder="1" applyAlignment="1">
      <alignment horizontal="center"/>
    </xf>
    <xf numFmtId="167" fontId="17" fillId="0" borderId="17" xfId="8" applyNumberFormat="1" applyFont="1" applyBorder="1"/>
    <xf numFmtId="167" fontId="17" fillId="0" borderId="1" xfId="8" applyNumberFormat="1" applyFont="1" applyBorder="1"/>
    <xf numFmtId="167" fontId="17" fillId="0" borderId="3" xfId="8" applyNumberFormat="1" applyFont="1" applyBorder="1" applyAlignment="1">
      <alignment horizontal="center"/>
    </xf>
    <xf numFmtId="167" fontId="17" fillId="0" borderId="40" xfId="8" applyNumberFormat="1" applyFont="1" applyBorder="1" applyAlignment="1">
      <alignment horizontal="center"/>
    </xf>
    <xf numFmtId="167" fontId="17" fillId="0" borderId="18" xfId="8" applyNumberFormat="1" applyFont="1" applyBorder="1"/>
    <xf numFmtId="167" fontId="17" fillId="0" borderId="14" xfId="8" applyNumberFormat="1" applyFont="1" applyBorder="1" applyAlignment="1">
      <alignment horizontal="center"/>
    </xf>
    <xf numFmtId="167" fontId="17" fillId="0" borderId="18" xfId="8" applyNumberFormat="1" applyFont="1" applyBorder="1" applyAlignment="1">
      <alignment horizontal="center"/>
    </xf>
    <xf numFmtId="167" fontId="17" fillId="0" borderId="8" xfId="8" applyNumberFormat="1" applyFont="1" applyBorder="1" applyAlignment="1">
      <alignment horizontal="center"/>
    </xf>
    <xf numFmtId="167" fontId="17" fillId="0" borderId="5" xfId="8" applyNumberFormat="1" applyFont="1" applyBorder="1" applyAlignment="1">
      <alignment horizontal="center"/>
    </xf>
    <xf numFmtId="167" fontId="17" fillId="0" borderId="46" xfId="8" applyNumberFormat="1" applyFont="1" applyBorder="1"/>
    <xf numFmtId="167" fontId="17" fillId="0" borderId="39" xfId="8" applyNumberFormat="1" applyFont="1" applyBorder="1"/>
    <xf numFmtId="167" fontId="17" fillId="0" borderId="38" xfId="8" applyNumberFormat="1" applyFont="1" applyBorder="1"/>
    <xf numFmtId="167" fontId="17" fillId="0" borderId="7" xfId="8" applyNumberFormat="1" applyFont="1" applyBorder="1"/>
    <xf numFmtId="167" fontId="17" fillId="0" borderId="5" xfId="8" applyNumberFormat="1" applyFont="1" applyBorder="1" applyAlignment="1">
      <alignment horizontal="centerContinuous"/>
    </xf>
    <xf numFmtId="167" fontId="17" fillId="0" borderId="0" xfId="8" applyNumberFormat="1" applyFont="1" applyAlignment="1">
      <alignment horizontal="centerContinuous"/>
    </xf>
    <xf numFmtId="167" fontId="17" fillId="0" borderId="18" xfId="8" applyNumberFormat="1" applyFont="1" applyBorder="1" applyAlignment="1">
      <alignment horizontal="centerContinuous"/>
    </xf>
    <xf numFmtId="167" fontId="17" fillId="0" borderId="36" xfId="8" applyNumberFormat="1" applyFont="1" applyBorder="1"/>
    <xf numFmtId="167" fontId="17" fillId="0" borderId="37" xfId="8" applyNumberFormat="1" applyFont="1" applyBorder="1"/>
    <xf numFmtId="167" fontId="17" fillId="0" borderId="47" xfId="8" applyNumberFormat="1" applyFont="1" applyBorder="1"/>
    <xf numFmtId="167" fontId="18" fillId="0" borderId="0" xfId="8" applyNumberFormat="1" applyFont="1"/>
    <xf numFmtId="0" fontId="5" fillId="0" borderId="0" xfId="2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2" fontId="3" fillId="0" borderId="0" xfId="2" applyNumberFormat="1" applyFont="1" applyAlignment="1">
      <alignment horizontal="center"/>
    </xf>
    <xf numFmtId="0" fontId="19" fillId="0" borderId="38" xfId="2" applyFont="1" applyBorder="1" applyAlignment="1">
      <alignment horizontal="center"/>
    </xf>
    <xf numFmtId="0" fontId="19" fillId="0" borderId="38" xfId="2" applyFont="1" applyBorder="1"/>
    <xf numFmtId="0" fontId="19" fillId="0" borderId="39" xfId="2" applyFont="1" applyBorder="1" applyAlignment="1">
      <alignment horizontal="center"/>
    </xf>
    <xf numFmtId="0" fontId="19" fillId="0" borderId="39" xfId="2" applyFont="1" applyBorder="1"/>
    <xf numFmtId="2" fontId="19" fillId="0" borderId="46" xfId="2" applyNumberFormat="1" applyFont="1" applyBorder="1" applyAlignment="1">
      <alignment horizontal="center"/>
    </xf>
    <xf numFmtId="0" fontId="14" fillId="0" borderId="0" xfId="2" applyFont="1"/>
    <xf numFmtId="0" fontId="19" fillId="0" borderId="18" xfId="2" applyFont="1" applyBorder="1" applyAlignment="1">
      <alignment horizontal="center"/>
    </xf>
    <xf numFmtId="0" fontId="19" fillId="0" borderId="18" xfId="2" applyFont="1" applyBorder="1"/>
    <xf numFmtId="0" fontId="19" fillId="0" borderId="40" xfId="2" applyFont="1" applyBorder="1" applyAlignment="1">
      <alignment horizontal="center"/>
    </xf>
    <xf numFmtId="0" fontId="19" fillId="0" borderId="40" xfId="2" applyFont="1" applyBorder="1"/>
    <xf numFmtId="2" fontId="19" fillId="0" borderId="14" xfId="2" applyNumberFormat="1" applyFont="1" applyBorder="1" applyAlignment="1">
      <alignment horizontal="center"/>
    </xf>
    <xf numFmtId="0" fontId="19" fillId="0" borderId="17" xfId="2" applyFont="1" applyBorder="1" applyAlignment="1">
      <alignment horizontal="center"/>
    </xf>
    <xf numFmtId="0" fontId="19" fillId="0" borderId="17" xfId="2" applyFont="1" applyBorder="1"/>
    <xf numFmtId="0" fontId="20" fillId="0" borderId="22" xfId="2" applyFont="1" applyBorder="1" applyAlignment="1">
      <alignment horizontal="center"/>
    </xf>
    <xf numFmtId="0" fontId="20" fillId="0" borderId="22" xfId="2" applyFont="1" applyBorder="1"/>
    <xf numFmtId="2" fontId="20" fillId="0" borderId="15" xfId="2" applyNumberFormat="1" applyFont="1" applyBorder="1" applyAlignment="1">
      <alignment horizontal="center"/>
    </xf>
    <xf numFmtId="0" fontId="4" fillId="0" borderId="38" xfId="2" applyFont="1" applyBorder="1" applyAlignment="1">
      <alignment horizontal="center"/>
    </xf>
    <xf numFmtId="0" fontId="4" fillId="0" borderId="38" xfId="2" applyFont="1" applyBorder="1"/>
    <xf numFmtId="0" fontId="4" fillId="0" borderId="39" xfId="2" applyFont="1" applyBorder="1" applyAlignment="1">
      <alignment horizontal="center"/>
    </xf>
    <xf numFmtId="3" fontId="4" fillId="0" borderId="39" xfId="2" applyNumberFormat="1" applyFont="1" applyBorder="1"/>
    <xf numFmtId="168" fontId="4" fillId="0" borderId="39" xfId="2" applyNumberFormat="1" applyFont="1" applyBorder="1" applyAlignment="1">
      <alignment horizontal="center"/>
    </xf>
    <xf numFmtId="2" fontId="4" fillId="0" borderId="46" xfId="2" applyNumberFormat="1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8" xfId="2" applyFont="1" applyBorder="1"/>
    <xf numFmtId="0" fontId="4" fillId="0" borderId="40" xfId="2" applyFont="1" applyBorder="1" applyAlignment="1">
      <alignment horizontal="center"/>
    </xf>
    <xf numFmtId="3" fontId="4" fillId="0" borderId="40" xfId="2" applyNumberFormat="1" applyFont="1" applyBorder="1"/>
    <xf numFmtId="168" fontId="4" fillId="0" borderId="40" xfId="2" applyNumberFormat="1" applyFont="1" applyBorder="1" applyAlignment="1">
      <alignment horizontal="center"/>
    </xf>
    <xf numFmtId="2" fontId="4" fillId="0" borderId="14" xfId="2" applyNumberFormat="1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168" fontId="4" fillId="0" borderId="6" xfId="2" applyNumberFormat="1" applyFont="1" applyBorder="1" applyAlignment="1">
      <alignment horizontal="center"/>
    </xf>
    <xf numFmtId="0" fontId="4" fillId="0" borderId="0" xfId="2" applyFont="1"/>
    <xf numFmtId="3" fontId="4" fillId="0" borderId="0" xfId="2" applyNumberFormat="1" applyFont="1"/>
    <xf numFmtId="2" fontId="4" fillId="0" borderId="5" xfId="2" applyNumberFormat="1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6" xfId="2" quotePrefix="1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2" fontId="3" fillId="0" borderId="5" xfId="2" applyNumberFormat="1" applyFont="1" applyBorder="1" applyAlignment="1">
      <alignment horizontal="center"/>
    </xf>
    <xf numFmtId="16" fontId="3" fillId="0" borderId="6" xfId="2" quotePrefix="1" applyNumberFormat="1" applyFont="1" applyBorder="1" applyAlignment="1">
      <alignment horizontal="center"/>
    </xf>
    <xf numFmtId="14" fontId="3" fillId="0" borderId="6" xfId="2" quotePrefix="1" applyNumberFormat="1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4" fillId="0" borderId="45" xfId="2" applyFont="1" applyBorder="1"/>
    <xf numFmtId="0" fontId="3" fillId="0" borderId="2" xfId="2" quotePrefix="1" applyFont="1" applyBorder="1" applyAlignment="1">
      <alignment horizontal="center"/>
    </xf>
    <xf numFmtId="3" fontId="3" fillId="0" borderId="45" xfId="2" applyNumberFormat="1" applyFont="1" applyBorder="1"/>
    <xf numFmtId="0" fontId="3" fillId="0" borderId="2" xfId="2" applyFont="1" applyBorder="1" applyAlignment="1">
      <alignment horizontal="center"/>
    </xf>
    <xf numFmtId="2" fontId="3" fillId="0" borderId="1" xfId="2" applyNumberFormat="1" applyFont="1" applyBorder="1" applyAlignment="1">
      <alignment horizontal="center"/>
    </xf>
    <xf numFmtId="0" fontId="4" fillId="0" borderId="13" xfId="2" applyFont="1" applyBorder="1" applyAlignment="1">
      <alignment horizontal="left"/>
    </xf>
    <xf numFmtId="0" fontId="4" fillId="0" borderId="46" xfId="2" applyFont="1" applyBorder="1" applyAlignment="1">
      <alignment horizontal="center"/>
    </xf>
    <xf numFmtId="0" fontId="14" fillId="0" borderId="18" xfId="2" applyFont="1" applyBorder="1"/>
    <xf numFmtId="0" fontId="4" fillId="0" borderId="14" xfId="2" applyFont="1" applyBorder="1" applyAlignment="1">
      <alignment horizontal="center"/>
    </xf>
    <xf numFmtId="0" fontId="4" fillId="0" borderId="4" xfId="2" applyFont="1" applyBorder="1" applyAlignment="1">
      <alignment horizontal="left"/>
    </xf>
    <xf numFmtId="0" fontId="4" fillId="0" borderId="17" xfId="2" applyFont="1" applyBorder="1" applyAlignment="1">
      <alignment horizontal="left"/>
    </xf>
    <xf numFmtId="0" fontId="13" fillId="0" borderId="22" xfId="2" applyFont="1" applyBorder="1" applyAlignment="1">
      <alignment horizontal="center"/>
    </xf>
    <xf numFmtId="0" fontId="13" fillId="0" borderId="15" xfId="2" applyFont="1" applyBorder="1" applyAlignment="1">
      <alignment horizontal="center"/>
    </xf>
    <xf numFmtId="0" fontId="4" fillId="0" borderId="13" xfId="2" applyFont="1" applyBorder="1" applyAlignment="1">
      <alignment horizontal="center"/>
    </xf>
    <xf numFmtId="3" fontId="4" fillId="0" borderId="39" xfId="2" applyNumberFormat="1" applyFont="1" applyBorder="1" applyAlignment="1">
      <alignment horizontal="right"/>
    </xf>
    <xf numFmtId="3" fontId="4" fillId="0" borderId="40" xfId="2" applyNumberFormat="1" applyFont="1" applyBorder="1" applyAlignment="1">
      <alignment horizontal="right"/>
    </xf>
    <xf numFmtId="0" fontId="4" fillId="0" borderId="4" xfId="2" applyFont="1" applyBorder="1" applyAlignment="1">
      <alignment horizontal="center"/>
    </xf>
    <xf numFmtId="0" fontId="4" fillId="0" borderId="17" xfId="2" applyFont="1" applyBorder="1"/>
    <xf numFmtId="0" fontId="4" fillId="0" borderId="22" xfId="2" applyFont="1" applyBorder="1" applyAlignment="1">
      <alignment horizontal="center"/>
    </xf>
    <xf numFmtId="3" fontId="4" fillId="0" borderId="22" xfId="2" applyNumberFormat="1" applyFont="1" applyBorder="1" applyAlignment="1">
      <alignment horizontal="right"/>
    </xf>
    <xf numFmtId="168" fontId="4" fillId="0" borderId="22" xfId="2" applyNumberFormat="1" applyFont="1" applyBorder="1" applyAlignment="1">
      <alignment horizontal="center"/>
    </xf>
    <xf numFmtId="2" fontId="4" fillId="0" borderId="15" xfId="2" applyNumberFormat="1" applyFont="1" applyBorder="1" applyAlignment="1">
      <alignment horizontal="center"/>
    </xf>
    <xf numFmtId="0" fontId="4" fillId="0" borderId="0" xfId="2" applyFont="1" applyAlignment="1">
      <alignment horizontal="center"/>
    </xf>
    <xf numFmtId="169" fontId="4" fillId="0" borderId="0" xfId="2" applyNumberFormat="1" applyFont="1" applyAlignment="1">
      <alignment horizontal="center"/>
    </xf>
    <xf numFmtId="170" fontId="4" fillId="0" borderId="0" xfId="2" applyNumberFormat="1" applyFont="1" applyAlignment="1">
      <alignment horizontal="center"/>
    </xf>
    <xf numFmtId="0" fontId="21" fillId="0" borderId="0" xfId="2" applyFont="1" applyAlignment="1">
      <alignment horizontal="center"/>
    </xf>
    <xf numFmtId="0" fontId="21" fillId="0" borderId="0" xfId="2" applyFont="1"/>
    <xf numFmtId="169" fontId="21" fillId="0" borderId="0" xfId="2" applyNumberFormat="1" applyFont="1" applyAlignment="1">
      <alignment horizontal="center"/>
    </xf>
    <xf numFmtId="170" fontId="21" fillId="0" borderId="0" xfId="2" applyNumberFormat="1" applyFont="1" applyAlignment="1">
      <alignment horizontal="center"/>
    </xf>
    <xf numFmtId="171" fontId="21" fillId="0" borderId="0" xfId="2" applyNumberFormat="1" applyFont="1" applyAlignment="1">
      <alignment horizontal="center"/>
    </xf>
    <xf numFmtId="0" fontId="14" fillId="0" borderId="0" xfId="2" applyFont="1" applyAlignment="1">
      <alignment horizontal="center"/>
    </xf>
    <xf numFmtId="171" fontId="14" fillId="0" borderId="0" xfId="2" applyNumberFormat="1" applyFont="1" applyAlignment="1">
      <alignment horizontal="center"/>
    </xf>
    <xf numFmtId="170" fontId="14" fillId="0" borderId="0" xfId="2" applyNumberFormat="1" applyFont="1" applyAlignment="1">
      <alignment horizontal="center"/>
    </xf>
    <xf numFmtId="0" fontId="5" fillId="0" borderId="0" xfId="9" applyFont="1"/>
    <xf numFmtId="0" fontId="3" fillId="0" borderId="0" xfId="9" applyFont="1"/>
    <xf numFmtId="0" fontId="4" fillId="0" borderId="38" xfId="9" applyFont="1" applyBorder="1" applyAlignment="1">
      <alignment horizontal="center"/>
    </xf>
    <xf numFmtId="0" fontId="4" fillId="0" borderId="38" xfId="9" applyFont="1" applyBorder="1"/>
    <xf numFmtId="0" fontId="4" fillId="0" borderId="36" xfId="9" applyFont="1" applyBorder="1" applyAlignment="1">
      <alignment horizontal="center"/>
    </xf>
    <xf numFmtId="0" fontId="4" fillId="0" borderId="18" xfId="9" applyFont="1" applyBorder="1" applyAlignment="1">
      <alignment horizontal="center"/>
    </xf>
    <xf numFmtId="0" fontId="3" fillId="0" borderId="5" xfId="9" applyFont="1" applyBorder="1" applyAlignment="1">
      <alignment horizontal="center"/>
    </xf>
    <xf numFmtId="0" fontId="4" fillId="0" borderId="18" xfId="9" applyFont="1" applyBorder="1"/>
    <xf numFmtId="0" fontId="4" fillId="0" borderId="30" xfId="9" applyFont="1" applyBorder="1" applyAlignment="1">
      <alignment horizontal="center"/>
    </xf>
    <xf numFmtId="0" fontId="4" fillId="0" borderId="23" xfId="9" applyFont="1" applyBorder="1" applyAlignment="1">
      <alignment horizontal="center"/>
    </xf>
    <xf numFmtId="0" fontId="4" fillId="0" borderId="17" xfId="9" applyFont="1" applyBorder="1" applyAlignment="1">
      <alignment horizontal="center"/>
    </xf>
    <xf numFmtId="0" fontId="4" fillId="0" borderId="15" xfId="9" applyFont="1" applyBorder="1" applyAlignment="1">
      <alignment horizontal="center"/>
    </xf>
    <xf numFmtId="0" fontId="14" fillId="0" borderId="38" xfId="9" applyFont="1" applyBorder="1" applyAlignment="1">
      <alignment horizontal="center"/>
    </xf>
    <xf numFmtId="0" fontId="14" fillId="0" borderId="46" xfId="9" applyFont="1" applyBorder="1"/>
    <xf numFmtId="171" fontId="14" fillId="0" borderId="38" xfId="9" applyNumberFormat="1" applyFont="1" applyBorder="1" applyAlignment="1">
      <alignment horizontal="center"/>
    </xf>
    <xf numFmtId="171" fontId="14" fillId="0" borderId="46" xfId="9" applyNumberFormat="1" applyFont="1" applyBorder="1" applyAlignment="1">
      <alignment horizontal="center"/>
    </xf>
    <xf numFmtId="169" fontId="4" fillId="0" borderId="14" xfId="9" applyNumberFormat="1" applyFont="1" applyBorder="1" applyAlignment="1">
      <alignment horizontal="center"/>
    </xf>
    <xf numFmtId="171" fontId="4" fillId="0" borderId="18" xfId="9" applyNumberFormat="1" applyFont="1" applyBorder="1" applyAlignment="1">
      <alignment horizontal="center"/>
    </xf>
    <xf numFmtId="0" fontId="4" fillId="0" borderId="14" xfId="9" applyFont="1" applyBorder="1" applyAlignment="1">
      <alignment horizontal="center"/>
    </xf>
    <xf numFmtId="169" fontId="4" fillId="0" borderId="18" xfId="9" applyNumberFormat="1" applyFont="1" applyBorder="1" applyAlignment="1">
      <alignment horizontal="center"/>
    </xf>
    <xf numFmtId="171" fontId="4" fillId="0" borderId="14" xfId="9" applyNumberFormat="1" applyFont="1" applyBorder="1" applyAlignment="1">
      <alignment horizontal="center"/>
    </xf>
    <xf numFmtId="2" fontId="4" fillId="0" borderId="14" xfId="9" applyNumberFormat="1" applyFont="1" applyBorder="1" applyAlignment="1">
      <alignment horizontal="center"/>
    </xf>
    <xf numFmtId="0" fontId="4" fillId="0" borderId="17" xfId="9" applyFont="1" applyBorder="1"/>
    <xf numFmtId="169" fontId="4" fillId="0" borderId="15" xfId="9" applyNumberFormat="1" applyFont="1" applyBorder="1"/>
    <xf numFmtId="171" fontId="4" fillId="0" borderId="17" xfId="9" applyNumberFormat="1" applyFont="1" applyBorder="1" applyAlignment="1">
      <alignment horizontal="center"/>
    </xf>
    <xf numFmtId="0" fontId="14" fillId="0" borderId="0" xfId="9" applyFont="1"/>
    <xf numFmtId="0" fontId="5" fillId="0" borderId="0" xfId="3" applyFont="1"/>
    <xf numFmtId="0" fontId="3" fillId="0" borderId="0" xfId="3" applyFont="1"/>
    <xf numFmtId="0" fontId="3" fillId="0" borderId="12" xfId="3" applyFont="1" applyBorder="1"/>
    <xf numFmtId="0" fontId="3" fillId="0" borderId="12" xfId="3" applyFont="1" applyBorder="1" applyAlignment="1">
      <alignment horizontal="center"/>
    </xf>
    <xf numFmtId="0" fontId="3" fillId="0" borderId="43" xfId="3" applyFont="1" applyBorder="1" applyAlignment="1">
      <alignment horizontal="center"/>
    </xf>
    <xf numFmtId="0" fontId="3" fillId="0" borderId="8" xfId="3" applyFont="1" applyBorder="1"/>
    <xf numFmtId="1" fontId="3" fillId="0" borderId="46" xfId="3" applyNumberFormat="1" applyFont="1" applyBorder="1"/>
    <xf numFmtId="1" fontId="3" fillId="0" borderId="8" xfId="10" applyNumberFormat="1" applyFont="1" applyBorder="1"/>
    <xf numFmtId="1" fontId="3" fillId="0" borderId="14" xfId="10" applyNumberFormat="1" applyFont="1" applyBorder="1"/>
    <xf numFmtId="3" fontId="3" fillId="0" borderId="8" xfId="3" applyNumberFormat="1" applyFont="1" applyBorder="1"/>
    <xf numFmtId="1" fontId="3" fillId="0" borderId="8" xfId="3" applyNumberFormat="1" applyFont="1" applyBorder="1" applyAlignment="1">
      <alignment horizontal="right"/>
    </xf>
    <xf numFmtId="3" fontId="3" fillId="0" borderId="8" xfId="10" applyFont="1" applyBorder="1"/>
    <xf numFmtId="0" fontId="3" fillId="0" borderId="4" xfId="3" applyFont="1" applyBorder="1"/>
    <xf numFmtId="17" fontId="3" fillId="0" borderId="0" xfId="3" applyNumberFormat="1" applyFont="1"/>
    <xf numFmtId="0" fontId="3" fillId="0" borderId="13" xfId="3" applyFont="1" applyBorder="1"/>
    <xf numFmtId="0" fontId="3" fillId="0" borderId="48" xfId="3" applyFont="1" applyBorder="1" applyAlignment="1">
      <alignment horizontal="center"/>
    </xf>
    <xf numFmtId="0" fontId="3" fillId="0" borderId="49" xfId="3" applyFont="1" applyBorder="1" applyAlignment="1">
      <alignment horizontal="center"/>
    </xf>
    <xf numFmtId="0" fontId="3" fillId="0" borderId="50" xfId="3" applyFont="1" applyBorder="1" applyAlignment="1">
      <alignment horizontal="center"/>
    </xf>
    <xf numFmtId="0" fontId="3" fillId="0" borderId="38" xfId="3" applyFont="1" applyBorder="1" applyAlignment="1">
      <alignment horizontal="center"/>
    </xf>
    <xf numFmtId="0" fontId="3" fillId="0" borderId="37" xfId="3" applyFont="1" applyBorder="1" applyAlignment="1">
      <alignment horizontal="center"/>
    </xf>
    <xf numFmtId="0" fontId="3" fillId="0" borderId="36" xfId="3" applyFont="1" applyBorder="1" applyAlignment="1">
      <alignment horizontal="center"/>
    </xf>
    <xf numFmtId="0" fontId="3" fillId="0" borderId="48" xfId="3" applyFont="1" applyBorder="1"/>
    <xf numFmtId="3" fontId="3" fillId="0" borderId="48" xfId="3" applyNumberFormat="1" applyFont="1" applyBorder="1"/>
    <xf numFmtId="3" fontId="3" fillId="0" borderId="48" xfId="3" applyNumberFormat="1" applyFont="1" applyBorder="1" applyAlignment="1">
      <alignment horizontal="center"/>
    </xf>
    <xf numFmtId="3" fontId="3" fillId="0" borderId="50" xfId="3" applyNumberFormat="1" applyFont="1" applyBorder="1" applyAlignment="1">
      <alignment horizontal="center"/>
    </xf>
    <xf numFmtId="3" fontId="3" fillId="2" borderId="48" xfId="3" applyNumberFormat="1" applyFont="1" applyFill="1" applyBorder="1" applyAlignment="1">
      <alignment horizontal="center"/>
    </xf>
    <xf numFmtId="0" fontId="3" fillId="2" borderId="49" xfId="3" applyFont="1" applyFill="1" applyBorder="1" applyAlignment="1">
      <alignment horizontal="center"/>
    </xf>
    <xf numFmtId="3" fontId="3" fillId="2" borderId="50" xfId="3" applyNumberFormat="1" applyFont="1" applyFill="1" applyBorder="1" applyAlignment="1">
      <alignment horizontal="center"/>
    </xf>
    <xf numFmtId="0" fontId="3" fillId="0" borderId="51" xfId="3" applyFont="1" applyBorder="1" applyAlignment="1">
      <alignment horizontal="center"/>
    </xf>
    <xf numFmtId="0" fontId="3" fillId="0" borderId="20" xfId="3" applyFont="1" applyBorder="1" applyAlignment="1">
      <alignment horizontal="center"/>
    </xf>
    <xf numFmtId="0" fontId="3" fillId="0" borderId="21" xfId="3" applyFont="1" applyBorder="1" applyAlignment="1">
      <alignment horizontal="center"/>
    </xf>
    <xf numFmtId="0" fontId="3" fillId="0" borderId="52" xfId="3" applyFont="1" applyBorder="1" applyAlignment="1">
      <alignment horizontal="center"/>
    </xf>
    <xf numFmtId="0" fontId="3" fillId="0" borderId="53" xfId="3" applyFont="1" applyBorder="1" applyAlignment="1">
      <alignment horizontal="center"/>
    </xf>
    <xf numFmtId="0" fontId="3" fillId="2" borderId="51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3" fillId="2" borderId="21" xfId="3" applyFont="1" applyFill="1" applyBorder="1" applyAlignment="1">
      <alignment horizontal="center"/>
    </xf>
    <xf numFmtId="1" fontId="3" fillId="0" borderId="39" xfId="3" applyNumberFormat="1" applyFont="1" applyBorder="1"/>
    <xf numFmtId="1" fontId="3" fillId="0" borderId="38" xfId="3" applyNumberFormat="1" applyFont="1" applyBorder="1"/>
    <xf numFmtId="1" fontId="3" fillId="0" borderId="18" xfId="3" applyNumberFormat="1" applyFont="1" applyBorder="1"/>
    <xf numFmtId="1" fontId="3" fillId="0" borderId="40" xfId="3" applyNumberFormat="1" applyFont="1" applyBorder="1"/>
    <xf numFmtId="1" fontId="3" fillId="0" borderId="47" xfId="3" applyNumberFormat="1" applyFont="1" applyBorder="1"/>
    <xf numFmtId="1" fontId="3" fillId="0" borderId="54" xfId="3" applyNumberFormat="1" applyFont="1" applyBorder="1"/>
    <xf numFmtId="1" fontId="3" fillId="2" borderId="7" xfId="3" applyNumberFormat="1" applyFont="1" applyFill="1" applyBorder="1"/>
    <xf numFmtId="1" fontId="3" fillId="2" borderId="6" xfId="3" applyNumberFormat="1" applyFont="1" applyFill="1" applyBorder="1"/>
    <xf numFmtId="1" fontId="3" fillId="2" borderId="14" xfId="3" applyNumberFormat="1" applyFont="1" applyFill="1" applyBorder="1"/>
    <xf numFmtId="1" fontId="3" fillId="0" borderId="7" xfId="10" applyNumberFormat="1" applyFont="1" applyBorder="1"/>
    <xf numFmtId="1" fontId="3" fillId="0" borderId="6" xfId="10" applyNumberFormat="1" applyFont="1" applyBorder="1"/>
    <xf numFmtId="1" fontId="3" fillId="0" borderId="7" xfId="10" applyNumberFormat="1" applyFont="1" applyFill="1" applyBorder="1"/>
    <xf numFmtId="1" fontId="3" fillId="0" borderId="6" xfId="10" applyNumberFormat="1" applyFont="1" applyFill="1" applyBorder="1"/>
    <xf numFmtId="1" fontId="3" fillId="3" borderId="7" xfId="10" applyNumberFormat="1" applyFont="1" applyFill="1" applyBorder="1"/>
    <xf numFmtId="1" fontId="3" fillId="2" borderId="6" xfId="10" applyNumberFormat="1" applyFont="1" applyFill="1" applyBorder="1"/>
    <xf numFmtId="1" fontId="3" fillId="0" borderId="40" xfId="10" applyNumberFormat="1" applyFont="1" applyBorder="1"/>
    <xf numFmtId="1" fontId="3" fillId="0" borderId="18" xfId="10" applyNumberFormat="1" applyFont="1" applyBorder="1"/>
    <xf numFmtId="1" fontId="3" fillId="0" borderId="7" xfId="3" applyNumberFormat="1" applyFont="1" applyBorder="1" applyAlignment="1">
      <alignment horizontal="right"/>
    </xf>
    <xf numFmtId="1" fontId="3" fillId="0" borderId="40" xfId="3" applyNumberFormat="1" applyFont="1" applyBorder="1" applyAlignment="1">
      <alignment horizontal="right"/>
    </xf>
    <xf numFmtId="1" fontId="3" fillId="0" borderId="18" xfId="3" applyNumberFormat="1" applyFont="1" applyBorder="1" applyAlignment="1">
      <alignment horizontal="right"/>
    </xf>
    <xf numFmtId="1" fontId="3" fillId="2" borderId="18" xfId="3" applyNumberFormat="1" applyFont="1" applyFill="1" applyBorder="1"/>
    <xf numFmtId="1" fontId="3" fillId="2" borderId="40" xfId="3" applyNumberFormat="1" applyFont="1" applyFill="1" applyBorder="1"/>
    <xf numFmtId="1" fontId="3" fillId="0" borderId="17" xfId="3" applyNumberFormat="1" applyFont="1" applyBorder="1"/>
    <xf numFmtId="1" fontId="3" fillId="0" borderId="22" xfId="3" applyNumberFormat="1" applyFont="1" applyBorder="1"/>
    <xf numFmtId="1" fontId="3" fillId="2" borderId="17" xfId="3" applyNumberFormat="1" applyFont="1" applyFill="1" applyBorder="1"/>
    <xf numFmtId="1" fontId="3" fillId="2" borderId="22" xfId="3" applyNumberFormat="1" applyFont="1" applyFill="1" applyBorder="1"/>
    <xf numFmtId="1" fontId="3" fillId="2" borderId="15" xfId="3" applyNumberFormat="1" applyFont="1" applyFill="1" applyBorder="1"/>
    <xf numFmtId="0" fontId="3" fillId="0" borderId="47" xfId="3" applyFont="1" applyBorder="1"/>
    <xf numFmtId="0" fontId="3" fillId="0" borderId="54" xfId="3" applyFont="1" applyBorder="1"/>
    <xf numFmtId="0" fontId="3" fillId="0" borderId="46" xfId="3" applyFont="1" applyBorder="1"/>
    <xf numFmtId="3" fontId="3" fillId="0" borderId="47" xfId="3" applyNumberFormat="1" applyFont="1" applyBorder="1"/>
    <xf numFmtId="3" fontId="3" fillId="0" borderId="54" xfId="3" applyNumberFormat="1" applyFont="1" applyBorder="1"/>
    <xf numFmtId="3" fontId="3" fillId="0" borderId="46" xfId="3" applyNumberFormat="1" applyFont="1" applyBorder="1"/>
    <xf numFmtId="3" fontId="3" fillId="0" borderId="37" xfId="3" applyNumberFormat="1" applyFont="1" applyBorder="1"/>
    <xf numFmtId="3" fontId="3" fillId="0" borderId="36" xfId="3" applyNumberFormat="1" applyFont="1" applyBorder="1"/>
    <xf numFmtId="1" fontId="3" fillId="0" borderId="45" xfId="3" applyNumberFormat="1" applyFont="1" applyBorder="1"/>
    <xf numFmtId="1" fontId="3" fillId="0" borderId="1" xfId="3" applyNumberFormat="1" applyFont="1" applyBorder="1"/>
    <xf numFmtId="0" fontId="3" fillId="0" borderId="0" xfId="11" applyFont="1"/>
    <xf numFmtId="0" fontId="23" fillId="0" borderId="0" xfId="11"/>
    <xf numFmtId="3" fontId="24" fillId="0" borderId="0" xfId="11" applyNumberFormat="1" applyFont="1"/>
    <xf numFmtId="3" fontId="3" fillId="0" borderId="0" xfId="11" applyNumberFormat="1" applyFont="1"/>
    <xf numFmtId="0" fontId="3" fillId="0" borderId="12" xfId="11" applyFont="1" applyBorder="1" applyAlignment="1">
      <alignment horizontal="center"/>
    </xf>
    <xf numFmtId="0" fontId="3" fillId="0" borderId="55" xfId="11" applyFont="1" applyBorder="1" applyAlignment="1">
      <alignment horizontal="center"/>
    </xf>
    <xf numFmtId="0" fontId="3" fillId="0" borderId="56" xfId="11" applyFont="1" applyBorder="1" applyAlignment="1">
      <alignment horizontal="center"/>
    </xf>
    <xf numFmtId="0" fontId="3" fillId="0" borderId="57" xfId="11" applyFont="1" applyBorder="1" applyAlignment="1">
      <alignment horizontal="center"/>
    </xf>
    <xf numFmtId="3" fontId="3" fillId="0" borderId="58" xfId="11" applyNumberFormat="1" applyFont="1" applyBorder="1"/>
    <xf numFmtId="3" fontId="3" fillId="0" borderId="55" xfId="11" applyNumberFormat="1" applyFont="1" applyBorder="1"/>
    <xf numFmtId="3" fontId="3" fillId="0" borderId="6" xfId="11" applyNumberFormat="1" applyFont="1" applyBorder="1"/>
    <xf numFmtId="3" fontId="3" fillId="0" borderId="59" xfId="11" applyNumberFormat="1" applyFont="1" applyBorder="1"/>
    <xf numFmtId="3" fontId="3" fillId="0" borderId="60" xfId="11" applyNumberFormat="1" applyFont="1" applyBorder="1"/>
    <xf numFmtId="1" fontId="3" fillId="0" borderId="6" xfId="11" applyNumberFormat="1" applyFont="1" applyBorder="1"/>
    <xf numFmtId="1" fontId="3" fillId="0" borderId="59" xfId="11" applyNumberFormat="1" applyFont="1" applyBorder="1"/>
    <xf numFmtId="1" fontId="3" fillId="0" borderId="6" xfId="11" applyNumberFormat="1" applyFont="1" applyBorder="1" applyAlignment="1">
      <alignment horizontal="right"/>
    </xf>
    <xf numFmtId="0" fontId="23" fillId="0" borderId="0" xfId="11" applyAlignment="1">
      <alignment horizontal="right"/>
    </xf>
    <xf numFmtId="0" fontId="3" fillId="0" borderId="61" xfId="11" applyFont="1" applyBorder="1"/>
    <xf numFmtId="3" fontId="3" fillId="0" borderId="61" xfId="11" applyNumberFormat="1" applyFont="1" applyBorder="1"/>
    <xf numFmtId="0" fontId="5" fillId="0" borderId="0" xfId="11" applyFont="1"/>
    <xf numFmtId="0" fontId="3" fillId="0" borderId="58" xfId="11" applyFont="1" applyBorder="1"/>
    <xf numFmtId="0" fontId="3" fillId="0" borderId="62" xfId="11" applyFont="1" applyBorder="1" applyAlignment="1">
      <alignment horizontal="center"/>
    </xf>
    <xf numFmtId="0" fontId="3" fillId="0" borderId="63" xfId="11" applyFont="1" applyBorder="1" applyAlignment="1">
      <alignment horizontal="center"/>
    </xf>
    <xf numFmtId="0" fontId="3" fillId="0" borderId="64" xfId="11" applyFont="1" applyBorder="1" applyAlignment="1">
      <alignment horizontal="center"/>
    </xf>
    <xf numFmtId="0" fontId="3" fillId="0" borderId="65" xfId="11" applyFont="1" applyBorder="1"/>
    <xf numFmtId="0" fontId="3" fillId="0" borderId="66" xfId="11" applyFont="1" applyBorder="1"/>
    <xf numFmtId="0" fontId="3" fillId="0" borderId="67" xfId="11" applyFont="1" applyBorder="1"/>
    <xf numFmtId="0" fontId="3" fillId="0" borderId="68" xfId="11" applyFont="1" applyBorder="1"/>
    <xf numFmtId="0" fontId="3" fillId="0" borderId="60" xfId="11" applyFont="1" applyBorder="1"/>
    <xf numFmtId="1" fontId="3" fillId="0" borderId="69" xfId="11" applyNumberFormat="1" applyFont="1" applyBorder="1"/>
    <xf numFmtId="1" fontId="3" fillId="0" borderId="6" xfId="12" applyNumberFormat="1" applyFont="1" applyBorder="1"/>
    <xf numFmtId="1" fontId="3" fillId="0" borderId="69" xfId="11" applyNumberFormat="1" applyFont="1" applyBorder="1" applyAlignment="1">
      <alignment horizontal="right"/>
    </xf>
    <xf numFmtId="1" fontId="3" fillId="0" borderId="59" xfId="11" applyNumberFormat="1" applyFont="1" applyBorder="1" applyAlignment="1">
      <alignment horizontal="right"/>
    </xf>
    <xf numFmtId="1" fontId="3" fillId="0" borderId="0" xfId="12" applyNumberFormat="1" applyFont="1"/>
    <xf numFmtId="1" fontId="3" fillId="0" borderId="69" xfId="12" applyNumberFormat="1" applyFont="1" applyBorder="1"/>
    <xf numFmtId="1" fontId="3" fillId="0" borderId="59" xfId="12" applyNumberFormat="1" applyFont="1" applyBorder="1"/>
    <xf numFmtId="0" fontId="25" fillId="0" borderId="0" xfId="11" applyFont="1"/>
    <xf numFmtId="3" fontId="3" fillId="0" borderId="60" xfId="12" applyFont="1" applyBorder="1"/>
    <xf numFmtId="1" fontId="3" fillId="0" borderId="70" xfId="12" applyNumberFormat="1" applyFont="1" applyBorder="1"/>
    <xf numFmtId="1" fontId="3" fillId="0" borderId="71" xfId="12" applyNumberFormat="1" applyFont="1" applyBorder="1"/>
    <xf numFmtId="1" fontId="3" fillId="0" borderId="70" xfId="11" applyNumberFormat="1" applyFont="1" applyBorder="1"/>
    <xf numFmtId="1" fontId="3" fillId="0" borderId="71" xfId="11" applyNumberFormat="1" applyFont="1" applyBorder="1"/>
    <xf numFmtId="1" fontId="3" fillId="0" borderId="72" xfId="11" applyNumberFormat="1" applyFont="1" applyBorder="1"/>
    <xf numFmtId="1" fontId="3" fillId="0" borderId="2" xfId="12" applyNumberFormat="1" applyFont="1" applyBorder="1"/>
    <xf numFmtId="1" fontId="3" fillId="0" borderId="73" xfId="11" applyNumberFormat="1" applyFont="1" applyBorder="1"/>
    <xf numFmtId="0" fontId="24" fillId="0" borderId="0" xfId="11" applyFont="1"/>
    <xf numFmtId="0" fontId="26" fillId="0" borderId="0" xfId="11" applyFont="1"/>
    <xf numFmtId="0" fontId="3" fillId="0" borderId="45" xfId="11" applyFont="1" applyBorder="1"/>
    <xf numFmtId="0" fontId="3" fillId="0" borderId="74" xfId="11" applyFont="1" applyBorder="1"/>
    <xf numFmtId="0" fontId="3" fillId="0" borderId="75" xfId="11" applyFont="1" applyBorder="1" applyAlignment="1">
      <alignment horizontal="center"/>
    </xf>
    <xf numFmtId="0" fontId="3" fillId="0" borderId="50" xfId="11" applyFont="1" applyBorder="1" applyAlignment="1">
      <alignment horizontal="center"/>
    </xf>
    <xf numFmtId="0" fontId="3" fillId="0" borderId="7" xfId="11" applyFont="1" applyBorder="1"/>
    <xf numFmtId="0" fontId="3" fillId="0" borderId="19" xfId="11" applyFont="1" applyBorder="1"/>
    <xf numFmtId="0" fontId="3" fillId="0" borderId="5" xfId="11" applyFont="1" applyBorder="1"/>
    <xf numFmtId="1" fontId="3" fillId="0" borderId="19" xfId="11" applyNumberFormat="1" applyFont="1" applyBorder="1"/>
    <xf numFmtId="1" fontId="3" fillId="0" borderId="5" xfId="11" applyNumberFormat="1" applyFont="1" applyBorder="1"/>
    <xf numFmtId="0" fontId="3" fillId="0" borderId="7" xfId="11" applyFont="1" applyBorder="1" applyAlignment="1">
      <alignment horizontal="left"/>
    </xf>
    <xf numFmtId="0" fontId="3" fillId="0" borderId="3" xfId="11" applyFont="1" applyBorder="1"/>
    <xf numFmtId="1" fontId="3" fillId="0" borderId="16" xfId="11" applyNumberFormat="1" applyFont="1" applyBorder="1"/>
    <xf numFmtId="1" fontId="3" fillId="0" borderId="1" xfId="11" applyNumberFormat="1" applyFont="1" applyBorder="1"/>
    <xf numFmtId="1" fontId="23" fillId="0" borderId="0" xfId="11" applyNumberFormat="1"/>
    <xf numFmtId="172" fontId="23" fillId="0" borderId="0" xfId="13" applyNumberFormat="1"/>
    <xf numFmtId="0" fontId="26" fillId="0" borderId="7" xfId="11" applyFont="1" applyBorder="1"/>
    <xf numFmtId="1" fontId="26" fillId="0" borderId="19" xfId="11" applyNumberFormat="1" applyFont="1" applyBorder="1"/>
    <xf numFmtId="1" fontId="26" fillId="0" borderId="5" xfId="11" applyNumberFormat="1" applyFont="1" applyBorder="1"/>
    <xf numFmtId="1" fontId="4" fillId="0" borderId="19" xfId="11" applyNumberFormat="1" applyFont="1" applyBorder="1"/>
    <xf numFmtId="0" fontId="3" fillId="0" borderId="0" xfId="11" applyFont="1" applyAlignment="1">
      <alignment horizontal="justify" wrapText="1"/>
    </xf>
    <xf numFmtId="0" fontId="3" fillId="0" borderId="76" xfId="11" applyFont="1" applyBorder="1"/>
    <xf numFmtId="0" fontId="3" fillId="0" borderId="0" xfId="11" applyFont="1" applyAlignment="1">
      <alignment horizontal="center"/>
    </xf>
    <xf numFmtId="1" fontId="3" fillId="0" borderId="0" xfId="11" applyNumberFormat="1" applyFont="1"/>
    <xf numFmtId="0" fontId="5" fillId="0" borderId="45" xfId="11" applyFont="1" applyBorder="1"/>
    <xf numFmtId="0" fontId="3" fillId="0" borderId="77" xfId="11" applyFont="1" applyBorder="1"/>
    <xf numFmtId="0" fontId="3" fillId="0" borderId="78" xfId="11" applyFont="1" applyBorder="1" applyAlignment="1">
      <alignment horizontal="center"/>
    </xf>
    <xf numFmtId="0" fontId="3" fillId="0" borderId="40" xfId="11" applyFont="1" applyBorder="1"/>
    <xf numFmtId="0" fontId="3" fillId="0" borderId="6" xfId="11" applyFont="1" applyBorder="1"/>
    <xf numFmtId="1" fontId="3" fillId="0" borderId="40" xfId="11" applyNumberFormat="1" applyFont="1" applyBorder="1"/>
    <xf numFmtId="0" fontId="3" fillId="0" borderId="22" xfId="11" applyFont="1" applyBorder="1"/>
    <xf numFmtId="1" fontId="3" fillId="0" borderId="22" xfId="11" applyNumberFormat="1" applyFont="1" applyBorder="1"/>
    <xf numFmtId="1" fontId="3" fillId="0" borderId="2" xfId="11" applyNumberFormat="1" applyFont="1" applyBorder="1"/>
    <xf numFmtId="1" fontId="23" fillId="0" borderId="19" xfId="11" applyNumberFormat="1" applyBorder="1"/>
    <xf numFmtId="1" fontId="23" fillId="0" borderId="5" xfId="11" applyNumberFormat="1" applyBorder="1"/>
    <xf numFmtId="0" fontId="23" fillId="0" borderId="19" xfId="11" applyBorder="1"/>
    <xf numFmtId="0" fontId="23" fillId="0" borderId="5" xfId="11" applyBorder="1"/>
    <xf numFmtId="0" fontId="23" fillId="0" borderId="45" xfId="11" applyBorder="1"/>
    <xf numFmtId="0" fontId="3" fillId="0" borderId="75" xfId="11" applyFont="1" applyBorder="1" applyAlignment="1">
      <alignment horizontal="center" vertical="center"/>
    </xf>
    <xf numFmtId="0" fontId="3" fillId="0" borderId="50" xfId="11" applyFont="1" applyBorder="1" applyAlignment="1">
      <alignment horizontal="center" vertical="center"/>
    </xf>
    <xf numFmtId="0" fontId="3" fillId="0" borderId="27" xfId="11" applyFont="1" applyBorder="1"/>
    <xf numFmtId="0" fontId="3" fillId="0" borderId="25" xfId="11" applyFont="1" applyBorder="1"/>
    <xf numFmtId="0" fontId="3" fillId="0" borderId="28" xfId="11" applyFont="1" applyBorder="1"/>
    <xf numFmtId="0" fontId="27" fillId="0" borderId="0" xfId="1" applyFont="1"/>
    <xf numFmtId="0" fontId="8" fillId="0" borderId="0" xfId="3"/>
    <xf numFmtId="0" fontId="3" fillId="0" borderId="79" xfId="3" applyFont="1" applyBorder="1" applyAlignment="1">
      <alignment horizontal="center"/>
    </xf>
    <xf numFmtId="167" fontId="3" fillId="0" borderId="19" xfId="3" applyNumberFormat="1" applyFont="1" applyBorder="1" applyAlignment="1">
      <alignment horizontal="right"/>
    </xf>
    <xf numFmtId="167" fontId="3" fillId="0" borderId="5" xfId="3" applyNumberFormat="1" applyFont="1" applyBorder="1" applyAlignment="1">
      <alignment horizontal="right"/>
    </xf>
    <xf numFmtId="172" fontId="3" fillId="0" borderId="19" xfId="3" applyNumberFormat="1" applyFont="1" applyBorder="1" applyAlignment="1">
      <alignment horizontal="right"/>
    </xf>
    <xf numFmtId="172" fontId="3" fillId="0" borderId="5" xfId="3" applyNumberFormat="1" applyFont="1" applyBorder="1" applyAlignment="1">
      <alignment horizontal="right"/>
    </xf>
    <xf numFmtId="172" fontId="3" fillId="0" borderId="16" xfId="14" applyNumberFormat="1" applyFont="1" applyBorder="1" applyAlignment="1">
      <alignment horizontal="right"/>
    </xf>
    <xf numFmtId="172" fontId="3" fillId="0" borderId="1" xfId="14" applyNumberFormat="1" applyFont="1" applyBorder="1" applyAlignment="1">
      <alignment horizontal="right"/>
    </xf>
    <xf numFmtId="0" fontId="3" fillId="0" borderId="41" xfId="3" applyFont="1" applyBorder="1" applyAlignment="1">
      <alignment horizontal="left"/>
    </xf>
    <xf numFmtId="0" fontId="3" fillId="0" borderId="43" xfId="3" applyFont="1" applyBorder="1" applyAlignment="1">
      <alignment horizontal="centerContinuous"/>
    </xf>
    <xf numFmtId="0" fontId="3" fillId="0" borderId="18" xfId="3" quotePrefix="1" applyFont="1" applyBorder="1" applyAlignment="1">
      <alignment horizontal="left"/>
    </xf>
    <xf numFmtId="0" fontId="3" fillId="0" borderId="5" xfId="3" applyFont="1" applyBorder="1"/>
    <xf numFmtId="167" fontId="3" fillId="0" borderId="19" xfId="3" applyNumberFormat="1" applyFont="1" applyBorder="1"/>
    <xf numFmtId="167" fontId="3" fillId="0" borderId="5" xfId="3" applyNumberFormat="1" applyFont="1" applyBorder="1"/>
    <xf numFmtId="0" fontId="3" fillId="0" borderId="18" xfId="3" applyFont="1" applyBorder="1" applyAlignment="1">
      <alignment horizontal="left"/>
    </xf>
    <xf numFmtId="0" fontId="3" fillId="0" borderId="17" xfId="3" applyFont="1" applyBorder="1" applyAlignment="1">
      <alignment horizontal="left"/>
    </xf>
    <xf numFmtId="0" fontId="3" fillId="0" borderId="1" xfId="3" applyFont="1" applyBorder="1"/>
    <xf numFmtId="167" fontId="3" fillId="0" borderId="16" xfId="3" applyNumberFormat="1" applyFont="1" applyBorder="1"/>
    <xf numFmtId="167" fontId="3" fillId="0" borderId="1" xfId="3" applyNumberFormat="1" applyFont="1" applyBorder="1"/>
    <xf numFmtId="1" fontId="3" fillId="0" borderId="0" xfId="3" applyNumberFormat="1" applyFont="1" applyAlignment="1">
      <alignment horizontal="center"/>
    </xf>
    <xf numFmtId="0" fontId="3" fillId="0" borderId="41" xfId="3" applyFont="1" applyBorder="1"/>
    <xf numFmtId="0" fontId="3" fillId="0" borderId="18" xfId="3" quotePrefix="1" applyFont="1" applyBorder="1"/>
    <xf numFmtId="0" fontId="3" fillId="0" borderId="18" xfId="3" applyFont="1" applyBorder="1"/>
    <xf numFmtId="0" fontId="3" fillId="0" borderId="17" xfId="3" applyFont="1" applyBorder="1"/>
    <xf numFmtId="0" fontId="14" fillId="0" borderId="0" xfId="3" applyFont="1"/>
    <xf numFmtId="0" fontId="4" fillId="0" borderId="0" xfId="3" applyFont="1"/>
    <xf numFmtId="0" fontId="3" fillId="0" borderId="43" xfId="3" applyFont="1" applyBorder="1"/>
    <xf numFmtId="0" fontId="4" fillId="0" borderId="79" xfId="3" applyFont="1" applyBorder="1" applyAlignment="1">
      <alignment horizontal="center"/>
    </xf>
    <xf numFmtId="0" fontId="4" fillId="0" borderId="10" xfId="3" applyFont="1" applyBorder="1" applyAlignment="1">
      <alignment horizontal="center"/>
    </xf>
    <xf numFmtId="0" fontId="4" fillId="0" borderId="9" xfId="3" applyFont="1" applyBorder="1" applyAlignment="1">
      <alignment horizontal="center"/>
    </xf>
    <xf numFmtId="1" fontId="4" fillId="0" borderId="19" xfId="15" applyNumberFormat="1" applyFont="1" applyBorder="1"/>
    <xf numFmtId="1" fontId="4" fillId="0" borderId="5" xfId="15" applyNumberFormat="1" applyFont="1" applyBorder="1"/>
    <xf numFmtId="0" fontId="4" fillId="0" borderId="18" xfId="3" applyFont="1" applyBorder="1"/>
    <xf numFmtId="0" fontId="4" fillId="0" borderId="5" xfId="3" applyFont="1" applyBorder="1" applyAlignment="1">
      <alignment horizontal="left"/>
    </xf>
    <xf numFmtId="0" fontId="14" fillId="0" borderId="18" xfId="3" applyFont="1" applyBorder="1"/>
    <xf numFmtId="0" fontId="14" fillId="0" borderId="5" xfId="3" applyFont="1" applyBorder="1"/>
    <xf numFmtId="168" fontId="4" fillId="0" borderId="19" xfId="15" applyNumberFormat="1" applyFont="1" applyBorder="1"/>
    <xf numFmtId="168" fontId="4" fillId="0" borderId="5" xfId="15" applyNumberFormat="1" applyFont="1" applyBorder="1"/>
    <xf numFmtId="0" fontId="4" fillId="0" borderId="18" xfId="3" applyFont="1" applyBorder="1" applyAlignment="1">
      <alignment horizontal="left"/>
    </xf>
    <xf numFmtId="0" fontId="4" fillId="0" borderId="17" xfId="3" applyFont="1" applyBorder="1" applyAlignment="1">
      <alignment horizontal="left"/>
    </xf>
    <xf numFmtId="0" fontId="4" fillId="0" borderId="1" xfId="3" applyFont="1" applyBorder="1" applyAlignment="1">
      <alignment horizontal="left"/>
    </xf>
    <xf numFmtId="1" fontId="4" fillId="0" borderId="16" xfId="15" applyNumberFormat="1" applyFont="1" applyBorder="1"/>
    <xf numFmtId="1" fontId="4" fillId="0" borderId="1" xfId="15" applyNumberFormat="1" applyFont="1" applyBorder="1"/>
    <xf numFmtId="0" fontId="4" fillId="0" borderId="0" xfId="3" applyFont="1" applyAlignment="1">
      <alignment horizontal="left"/>
    </xf>
    <xf numFmtId="173" fontId="4" fillId="0" borderId="0" xfId="15" applyNumberFormat="1" applyFont="1" applyBorder="1"/>
    <xf numFmtId="2" fontId="4" fillId="0" borderId="0" xfId="15" applyNumberFormat="1" applyFont="1" applyBorder="1"/>
    <xf numFmtId="168" fontId="4" fillId="0" borderId="0" xfId="15" applyNumberFormat="1" applyFont="1" applyBorder="1"/>
    <xf numFmtId="0" fontId="3" fillId="0" borderId="42" xfId="3" applyFont="1" applyBorder="1"/>
    <xf numFmtId="2" fontId="4" fillId="0" borderId="43" xfId="15" applyNumberFormat="1" applyFont="1" applyBorder="1"/>
    <xf numFmtId="1" fontId="4" fillId="0" borderId="79" xfId="15" applyNumberFormat="1" applyFont="1" applyBorder="1" applyAlignment="1">
      <alignment horizontal="center"/>
    </xf>
    <xf numFmtId="1" fontId="4" fillId="0" borderId="43" xfId="15" applyNumberFormat="1" applyFont="1" applyBorder="1" applyAlignment="1">
      <alignment horizontal="center"/>
    </xf>
    <xf numFmtId="0" fontId="3" fillId="0" borderId="38" xfId="3" applyFont="1" applyBorder="1" applyAlignment="1">
      <alignment horizontal="left"/>
    </xf>
    <xf numFmtId="0" fontId="3" fillId="0" borderId="37" xfId="3" applyFont="1" applyBorder="1"/>
    <xf numFmtId="168" fontId="4" fillId="0" borderId="36" xfId="15" applyNumberFormat="1" applyFont="1" applyBorder="1"/>
    <xf numFmtId="0" fontId="4" fillId="0" borderId="45" xfId="3" applyFont="1" applyBorder="1" applyAlignment="1">
      <alignment horizontal="left"/>
    </xf>
    <xf numFmtId="168" fontId="4" fillId="0" borderId="1" xfId="15" applyNumberFormat="1" applyFont="1" applyBorder="1"/>
    <xf numFmtId="1" fontId="4" fillId="0" borderId="0" xfId="15" applyNumberFormat="1" applyFont="1" applyBorder="1"/>
    <xf numFmtId="1" fontId="8" fillId="0" borderId="0" xfId="3" applyNumberFormat="1"/>
    <xf numFmtId="0" fontId="3" fillId="0" borderId="80" xfId="3" applyFont="1" applyBorder="1" applyAlignment="1">
      <alignment horizontal="center"/>
    </xf>
    <xf numFmtId="0" fontId="3" fillId="0" borderId="54" xfId="3" applyFont="1" applyBorder="1" applyAlignment="1">
      <alignment horizontal="center"/>
    </xf>
    <xf numFmtId="0" fontId="3" fillId="0" borderId="16" xfId="3" applyFont="1" applyBorder="1"/>
    <xf numFmtId="1" fontId="3" fillId="0" borderId="80" xfId="3" applyNumberFormat="1" applyFont="1" applyBorder="1"/>
    <xf numFmtId="1" fontId="3" fillId="0" borderId="36" xfId="3" applyNumberFormat="1" applyFont="1" applyBorder="1"/>
    <xf numFmtId="1" fontId="3" fillId="0" borderId="19" xfId="3" applyNumberFormat="1" applyFont="1" applyBorder="1"/>
    <xf numFmtId="1" fontId="3" fillId="0" borderId="16" xfId="3" applyNumberFormat="1" applyFont="1" applyBorder="1"/>
    <xf numFmtId="168" fontId="3" fillId="0" borderId="0" xfId="3" applyNumberFormat="1" applyFont="1"/>
    <xf numFmtId="0" fontId="3" fillId="0" borderId="38" xfId="3" applyFont="1" applyBorder="1"/>
    <xf numFmtId="0" fontId="3" fillId="0" borderId="36" xfId="3" applyFont="1" applyBorder="1"/>
    <xf numFmtId="0" fontId="14" fillId="0" borderId="0" xfId="3" applyFont="1" applyAlignment="1">
      <alignment horizontal="left"/>
    </xf>
    <xf numFmtId="0" fontId="4" fillId="0" borderId="4" xfId="3" applyFont="1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1" fontId="4" fillId="0" borderId="19" xfId="3" applyNumberFormat="1" applyFont="1" applyBorder="1" applyAlignment="1">
      <alignment horizontal="right"/>
    </xf>
    <xf numFmtId="1" fontId="4" fillId="0" borderId="5" xfId="3" applyNumberFormat="1" applyFont="1" applyBorder="1" applyAlignment="1">
      <alignment horizontal="right"/>
    </xf>
    <xf numFmtId="0" fontId="4" fillId="0" borderId="8" xfId="3" applyFont="1" applyBorder="1"/>
    <xf numFmtId="0" fontId="4" fillId="0" borderId="4" xfId="3" applyFont="1" applyBorder="1"/>
    <xf numFmtId="1" fontId="4" fillId="0" borderId="16" xfId="3" applyNumberFormat="1" applyFont="1" applyBorder="1" applyAlignment="1">
      <alignment horizontal="right"/>
    </xf>
    <xf numFmtId="1" fontId="4" fillId="0" borderId="1" xfId="3" applyNumberFormat="1" applyFont="1" applyBorder="1" applyAlignment="1">
      <alignment horizontal="right"/>
    </xf>
    <xf numFmtId="168" fontId="4" fillId="0" borderId="0" xfId="3" applyNumberFormat="1" applyFont="1"/>
    <xf numFmtId="0" fontId="3" fillId="0" borderId="80" xfId="3" applyFont="1" applyBorder="1"/>
    <xf numFmtId="0" fontId="3" fillId="0" borderId="16" xfId="3" applyFont="1" applyBorder="1" applyAlignment="1">
      <alignment horizontal="center"/>
    </xf>
    <xf numFmtId="0" fontId="4" fillId="0" borderId="19" xfId="3" applyFont="1" applyBorder="1" applyAlignment="1">
      <alignment horizontal="center"/>
    </xf>
    <xf numFmtId="1" fontId="3" fillId="0" borderId="19" xfId="3" applyNumberFormat="1" applyFont="1" applyBorder="1" applyAlignment="1">
      <alignment horizontal="right"/>
    </xf>
    <xf numFmtId="168" fontId="4" fillId="0" borderId="19" xfId="3" applyNumberFormat="1" applyFont="1" applyBorder="1" applyAlignment="1">
      <alignment horizontal="right"/>
    </xf>
    <xf numFmtId="0" fontId="4" fillId="0" borderId="17" xfId="3" applyFont="1" applyBorder="1"/>
    <xf numFmtId="168" fontId="4" fillId="0" borderId="16" xfId="3" applyNumberFormat="1" applyFont="1" applyBorder="1" applyAlignment="1">
      <alignment horizontal="right"/>
    </xf>
    <xf numFmtId="1" fontId="3" fillId="0" borderId="16" xfId="3" applyNumberFormat="1" applyFont="1" applyBorder="1" applyAlignment="1">
      <alignment horizontal="right"/>
    </xf>
    <xf numFmtId="0" fontId="4" fillId="0" borderId="16" xfId="3" applyFont="1" applyBorder="1"/>
    <xf numFmtId="0" fontId="4" fillId="0" borderId="1" xfId="3" applyFont="1" applyBorder="1"/>
    <xf numFmtId="168" fontId="4" fillId="0" borderId="5" xfId="3" applyNumberFormat="1" applyFont="1" applyBorder="1" applyAlignment="1">
      <alignment horizontal="right"/>
    </xf>
    <xf numFmtId="168" fontId="4" fillId="0" borderId="1" xfId="3" applyNumberFormat="1" applyFont="1" applyBorder="1" applyAlignment="1">
      <alignment horizontal="right"/>
    </xf>
    <xf numFmtId="168" fontId="3" fillId="0" borderId="19" xfId="3" applyNumberFormat="1" applyFont="1" applyBorder="1"/>
    <xf numFmtId="168" fontId="3" fillId="0" borderId="5" xfId="3" applyNumberFormat="1" applyFont="1" applyBorder="1"/>
    <xf numFmtId="0" fontId="3" fillId="0" borderId="39" xfId="3" applyFont="1" applyBorder="1" applyAlignment="1">
      <alignment horizontal="center"/>
    </xf>
    <xf numFmtId="0" fontId="3" fillId="0" borderId="46" xfId="3" applyFont="1" applyBorder="1" applyAlignment="1">
      <alignment horizontal="center"/>
    </xf>
    <xf numFmtId="0" fontId="3" fillId="0" borderId="22" xfId="3" applyFont="1" applyBorder="1"/>
    <xf numFmtId="0" fontId="3" fillId="0" borderId="15" xfId="3" applyFont="1" applyBorder="1"/>
    <xf numFmtId="168" fontId="3" fillId="0" borderId="6" xfId="3" applyNumberFormat="1" applyFont="1" applyBorder="1"/>
    <xf numFmtId="168" fontId="3" fillId="0" borderId="14" xfId="3" applyNumberFormat="1" applyFont="1" applyBorder="1"/>
    <xf numFmtId="0" fontId="3" fillId="0" borderId="19" xfId="3" applyFont="1" applyBorder="1"/>
    <xf numFmtId="0" fontId="3" fillId="0" borderId="6" xfId="3" applyFont="1" applyBorder="1"/>
    <xf numFmtId="0" fontId="3" fillId="0" borderId="14" xfId="3" applyFont="1" applyBorder="1"/>
    <xf numFmtId="0" fontId="8" fillId="0" borderId="13" xfId="3" applyBorder="1"/>
    <xf numFmtId="0" fontId="8" fillId="0" borderId="38" xfId="3" applyBorder="1"/>
    <xf numFmtId="0" fontId="3" fillId="0" borderId="2" xfId="3" applyFont="1" applyBorder="1"/>
    <xf numFmtId="1" fontId="3" fillId="0" borderId="5" xfId="3" applyNumberFormat="1" applyFont="1" applyBorder="1" applyAlignment="1">
      <alignment horizontal="right"/>
    </xf>
    <xf numFmtId="0" fontId="3" fillId="0" borderId="8" xfId="3" applyFont="1" applyBorder="1" applyAlignment="1">
      <alignment horizontal="left"/>
    </xf>
    <xf numFmtId="1" fontId="3" fillId="0" borderId="1" xfId="3" applyNumberFormat="1" applyFont="1" applyBorder="1" applyAlignment="1">
      <alignment horizontal="right"/>
    </xf>
    <xf numFmtId="0" fontId="3" fillId="0" borderId="0" xfId="3" applyFont="1" applyAlignment="1">
      <alignment horizontal="left" wrapText="1"/>
    </xf>
    <xf numFmtId="1" fontId="3" fillId="0" borderId="0" xfId="3" applyNumberFormat="1" applyFont="1" applyAlignment="1">
      <alignment horizontal="right"/>
    </xf>
    <xf numFmtId="1" fontId="28" fillId="0" borderId="0" xfId="3" applyNumberFormat="1" applyFont="1" applyAlignment="1">
      <alignment horizontal="right"/>
    </xf>
    <xf numFmtId="0" fontId="29" fillId="0" borderId="0" xfId="11" applyFont="1"/>
    <xf numFmtId="0" fontId="26" fillId="0" borderId="12" xfId="11" applyFont="1" applyBorder="1"/>
    <xf numFmtId="0" fontId="26" fillId="0" borderId="79" xfId="11" applyFont="1" applyBorder="1" applyAlignment="1">
      <alignment horizontal="center"/>
    </xf>
    <xf numFmtId="0" fontId="3" fillId="0" borderId="79" xfId="11" applyFont="1" applyBorder="1" applyAlignment="1">
      <alignment horizontal="center"/>
    </xf>
    <xf numFmtId="0" fontId="3" fillId="0" borderId="43" xfId="11" applyFont="1" applyBorder="1" applyAlignment="1">
      <alignment horizontal="center"/>
    </xf>
    <xf numFmtId="0" fontId="26" fillId="0" borderId="8" xfId="11" applyFont="1" applyBorder="1"/>
    <xf numFmtId="1" fontId="26" fillId="0" borderId="19" xfId="11" applyNumberFormat="1" applyFont="1" applyBorder="1" applyAlignment="1">
      <alignment horizontal="right"/>
    </xf>
    <xf numFmtId="1" fontId="3" fillId="0" borderId="19" xfId="11" applyNumberFormat="1" applyFont="1" applyBorder="1" applyAlignment="1">
      <alignment horizontal="right"/>
    </xf>
    <xf numFmtId="1" fontId="3" fillId="0" borderId="5" xfId="11" applyNumberFormat="1" applyFont="1" applyBorder="1" applyAlignment="1">
      <alignment horizontal="right"/>
    </xf>
    <xf numFmtId="0" fontId="26" fillId="0" borderId="8" xfId="11" applyFont="1" applyBorder="1" applyAlignment="1">
      <alignment horizontal="left"/>
    </xf>
    <xf numFmtId="10" fontId="26" fillId="0" borderId="19" xfId="11" applyNumberFormat="1" applyFont="1" applyBorder="1" applyAlignment="1">
      <alignment horizontal="right"/>
    </xf>
    <xf numFmtId="10" fontId="3" fillId="0" borderId="19" xfId="11" applyNumberFormat="1" applyFont="1" applyBorder="1" applyAlignment="1">
      <alignment horizontal="right"/>
    </xf>
    <xf numFmtId="10" fontId="3" fillId="0" borderId="5" xfId="11" applyNumberFormat="1" applyFont="1" applyBorder="1" applyAlignment="1">
      <alignment horizontal="right"/>
    </xf>
    <xf numFmtId="0" fontId="26" fillId="0" borderId="4" xfId="11" applyFont="1" applyBorder="1"/>
    <xf numFmtId="1" fontId="26" fillId="0" borderId="16" xfId="11" applyNumberFormat="1" applyFont="1" applyBorder="1" applyAlignment="1">
      <alignment horizontal="right"/>
    </xf>
    <xf numFmtId="10" fontId="26" fillId="0" borderId="16" xfId="13" applyNumberFormat="1" applyFont="1" applyBorder="1" applyAlignment="1">
      <alignment horizontal="right"/>
    </xf>
    <xf numFmtId="10" fontId="3" fillId="0" borderId="16" xfId="13" applyNumberFormat="1" applyFont="1" applyBorder="1" applyAlignment="1">
      <alignment horizontal="right"/>
    </xf>
    <xf numFmtId="10" fontId="3" fillId="0" borderId="1" xfId="13" applyNumberFormat="1" applyFont="1" applyBorder="1" applyAlignment="1">
      <alignment horizontal="right"/>
    </xf>
    <xf numFmtId="0" fontId="26" fillId="0" borderId="0" xfId="11" quotePrefix="1" applyFont="1" applyAlignment="1">
      <alignment horizontal="left" wrapText="1"/>
    </xf>
    <xf numFmtId="10" fontId="26" fillId="0" borderId="0" xfId="13" applyNumberFormat="1" applyFont="1" applyBorder="1" applyAlignment="1">
      <alignment horizontal="right"/>
    </xf>
    <xf numFmtId="2" fontId="26" fillId="0" borderId="0" xfId="13" applyNumberFormat="1" applyFont="1" applyBorder="1" applyAlignment="1">
      <alignment horizontal="right"/>
    </xf>
    <xf numFmtId="2" fontId="29" fillId="0" borderId="0" xfId="13" applyNumberFormat="1" applyFont="1" applyBorder="1" applyAlignment="1">
      <alignment horizontal="right"/>
    </xf>
    <xf numFmtId="0" fontId="26" fillId="0" borderId="0" xfId="11" quotePrefix="1" applyFont="1" applyAlignment="1">
      <alignment wrapText="1"/>
    </xf>
    <xf numFmtId="10" fontId="29" fillId="0" borderId="0" xfId="13" applyNumberFormat="1" applyFont="1" applyBorder="1" applyAlignment="1">
      <alignment horizontal="right"/>
    </xf>
    <xf numFmtId="1" fontId="26" fillId="0" borderId="16" xfId="11" applyNumberFormat="1" applyFont="1" applyBorder="1"/>
    <xf numFmtId="0" fontId="26" fillId="0" borderId="0" xfId="11" applyFont="1" applyAlignment="1">
      <alignment horizontal="left" wrapText="1"/>
    </xf>
  </cellXfs>
  <cellStyles count="16">
    <cellStyle name="Comma 2" xfId="4" xr:uid="{52A18981-E56B-4CB4-B96B-2CA2BC07EB59}"/>
    <cellStyle name="Comma 3" xfId="15" xr:uid="{5A029030-AA02-4D7F-AA9F-7E9BA7F9B1C6}"/>
    <cellStyle name="Comma_TXJUA909" xfId="7" xr:uid="{822D9DAA-F3E2-49B5-8049-E0859FCF1671}"/>
    <cellStyle name="Comma0" xfId="10" xr:uid="{99CAACCD-369B-4751-9174-242A6C1E1EA6}"/>
    <cellStyle name="Comma0 2" xfId="12" xr:uid="{E25E1430-D945-43CB-A50B-774360EC07E8}"/>
    <cellStyle name="Hyperlink" xfId="1" builtinId="8"/>
    <cellStyle name="Normal" xfId="0" builtinId="0"/>
    <cellStyle name="Normal 2" xfId="2" xr:uid="{D7E807AA-3F7F-4D21-8A70-75990B66B2B8}"/>
    <cellStyle name="Normal 3" xfId="3" xr:uid="{6B5116D1-85B0-489C-AA88-A75FB5540DCC}"/>
    <cellStyle name="Normal 4" xfId="5" xr:uid="{0A6E60E9-A73F-4EFC-81CB-FE92874CC229}"/>
    <cellStyle name="Normal 5" xfId="11" xr:uid="{D8975AB9-6C45-445E-814F-F2116B40CE66}"/>
    <cellStyle name="Normal_Taxasdiv" xfId="9" xr:uid="{258523D9-3340-4057-9488-31916F6102FD}"/>
    <cellStyle name="Normal_TXJUA909" xfId="6" xr:uid="{E63240BF-8812-4569-8DD7-EC3966828F6E}"/>
    <cellStyle name="Normal_TXJUP909" xfId="8" xr:uid="{977ADCCE-8E89-4A8D-97F0-C8864288BD3C}"/>
    <cellStyle name="Percent 2" xfId="13" xr:uid="{EB5C8368-E612-4188-8EB3-89FACDBB5D66}"/>
    <cellStyle name="Percent 3" xfId="14" xr:uid="{993C57DC-A667-494D-B3EC-6DF892606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S&#233;ries%20Longas/PRODESP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S&#233;ries%20Longas/PRODESP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S&#233;ries%20Longas/PRODESP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EXPORTAÇÕES DE MERCADORIAS</v>
          </cell>
        </row>
        <row r="2">
          <cell r="A2" t="str">
            <v>Preços do ano anterior</v>
          </cell>
        </row>
        <row r="3">
          <cell r="A3" t="str">
            <v>Unidade: milhões de escudos</v>
          </cell>
        </row>
        <row r="5">
          <cell r="C5">
            <v>1948</v>
          </cell>
          <cell r="D5">
            <v>1949</v>
          </cell>
          <cell r="E5">
            <v>1950</v>
          </cell>
          <cell r="F5">
            <v>1951</v>
          </cell>
          <cell r="G5">
            <v>1952</v>
          </cell>
          <cell r="H5">
            <v>1953</v>
          </cell>
          <cell r="I5">
            <v>1954</v>
          </cell>
          <cell r="J5">
            <v>1955</v>
          </cell>
          <cell r="K5">
            <v>1956</v>
          </cell>
          <cell r="L5">
            <v>1957</v>
          </cell>
          <cell r="M5">
            <v>1958</v>
          </cell>
          <cell r="N5">
            <v>1959</v>
          </cell>
          <cell r="O5">
            <v>1960</v>
          </cell>
          <cell r="P5">
            <v>1961</v>
          </cell>
          <cell r="Q5">
            <v>1962</v>
          </cell>
          <cell r="R5">
            <v>1963</v>
          </cell>
          <cell r="S5">
            <v>1964</v>
          </cell>
          <cell r="T5">
            <v>1965</v>
          </cell>
          <cell r="U5">
            <v>1966</v>
          </cell>
          <cell r="V5">
            <v>1967</v>
          </cell>
          <cell r="W5">
            <v>1968</v>
          </cell>
          <cell r="X5">
            <v>1969</v>
          </cell>
          <cell r="Y5">
            <v>1970</v>
          </cell>
          <cell r="Z5">
            <v>1971</v>
          </cell>
          <cell r="AA5">
            <v>1972</v>
          </cell>
          <cell r="AB5">
            <v>1973</v>
          </cell>
          <cell r="AC5">
            <v>1974</v>
          </cell>
          <cell r="AD5">
            <v>1975</v>
          </cell>
          <cell r="AE5">
            <v>1976</v>
          </cell>
          <cell r="AF5">
            <v>1977</v>
          </cell>
          <cell r="AG5">
            <v>1978</v>
          </cell>
          <cell r="AH5">
            <v>1979</v>
          </cell>
          <cell r="AI5">
            <v>1980</v>
          </cell>
          <cell r="AJ5">
            <v>1981</v>
          </cell>
          <cell r="AK5">
            <v>1982</v>
          </cell>
          <cell r="AL5">
            <v>1983</v>
          </cell>
          <cell r="AM5">
            <v>1984</v>
          </cell>
          <cell r="AN5">
            <v>1985</v>
          </cell>
          <cell r="AO5">
            <v>1986</v>
          </cell>
          <cell r="AP5">
            <v>1987</v>
          </cell>
          <cell r="AQ5">
            <v>1988</v>
          </cell>
          <cell r="AR5">
            <v>1989</v>
          </cell>
          <cell r="AS5">
            <v>1990</v>
          </cell>
          <cell r="AT5">
            <v>1991</v>
          </cell>
          <cell r="AU5">
            <v>1992</v>
          </cell>
          <cell r="AV5">
            <v>1993</v>
          </cell>
          <cell r="AW5">
            <v>1994</v>
          </cell>
          <cell r="AX5">
            <v>1995</v>
          </cell>
        </row>
        <row r="7">
          <cell r="A7" t="str">
            <v>Bens de Consumo</v>
          </cell>
          <cell r="C7">
            <v>1937.833667165866</v>
          </cell>
          <cell r="D7">
            <v>1661.7930465029604</v>
          </cell>
          <cell r="E7">
            <v>1906.06731515659</v>
          </cell>
          <cell r="F7">
            <v>2244.3861753209258</v>
          </cell>
          <cell r="G7">
            <v>2343.1941265676351</v>
          </cell>
          <cell r="H7">
            <v>2357.0338194793512</v>
          </cell>
          <cell r="I7">
            <v>2625.6681218292838</v>
          </cell>
          <cell r="J7">
            <v>3058.1200492372964</v>
          </cell>
          <cell r="K7">
            <v>2911.036543444628</v>
          </cell>
          <cell r="L7">
            <v>3100.0995749827675</v>
          </cell>
          <cell r="M7">
            <v>3397.5669425037418</v>
          </cell>
          <cell r="N7">
            <v>3340.9872054133057</v>
          </cell>
          <cell r="O7">
            <v>2925.9407199252983</v>
          </cell>
          <cell r="P7">
            <v>3383.3991921128722</v>
          </cell>
          <cell r="Q7">
            <v>3849.6623232490169</v>
          </cell>
          <cell r="R7">
            <v>4191.1606979591452</v>
          </cell>
          <cell r="S7">
            <v>4923.306945092304</v>
          </cell>
          <cell r="T7">
            <v>5951.2569291060845</v>
          </cell>
          <cell r="U7">
            <v>6375.1845076267609</v>
          </cell>
          <cell r="V7">
            <v>7523.3136738651883</v>
          </cell>
          <cell r="W7">
            <v>8823.6735844525465</v>
          </cell>
          <cell r="X7">
            <v>9220.5933303597594</v>
          </cell>
          <cell r="Y7">
            <v>9896.2907827107992</v>
          </cell>
          <cell r="Z7">
            <v>11049.110526124414</v>
          </cell>
          <cell r="AA7">
            <v>12961.320088463504</v>
          </cell>
          <cell r="AB7">
            <v>15916.80924515428</v>
          </cell>
          <cell r="AC7">
            <v>16049.566350957526</v>
          </cell>
          <cell r="AD7">
            <v>19131.496405577651</v>
          </cell>
          <cell r="AE7">
            <v>19647.825394388972</v>
          </cell>
          <cell r="AF7">
            <v>22182.83085785908</v>
          </cell>
          <cell r="AG7">
            <v>35452.995560073439</v>
          </cell>
          <cell r="AH7">
            <v>55472.779829552957</v>
          </cell>
          <cell r="AI7">
            <v>77639.28543340748</v>
          </cell>
          <cell r="AJ7">
            <v>95464.26125594895</v>
          </cell>
          <cell r="AK7">
            <v>115215.05719891992</v>
          </cell>
          <cell r="AL7">
            <v>160425.71666559871</v>
          </cell>
          <cell r="AM7">
            <v>245295.48387486755</v>
          </cell>
          <cell r="AN7">
            <v>340947.70367368712</v>
          </cell>
          <cell r="AO7">
            <v>470009.85884292767</v>
          </cell>
          <cell r="AP7">
            <v>602241.32167263876</v>
          </cell>
          <cell r="AQ7">
            <v>715233.75436266465</v>
          </cell>
          <cell r="AR7">
            <v>915562.3925267274</v>
          </cell>
          <cell r="AS7">
            <v>1067848.897646768</v>
          </cell>
          <cell r="AT7">
            <v>1166914.1196000676</v>
          </cell>
          <cell r="AU7">
            <v>1279472.2614003865</v>
          </cell>
          <cell r="AV7">
            <v>1268234.8325013004</v>
          </cell>
          <cell r="AW7">
            <v>1429850.9676968995</v>
          </cell>
          <cell r="AX7">
            <v>1688719.8353747788</v>
          </cell>
        </row>
        <row r="8">
          <cell r="A8" t="str">
            <v xml:space="preserve">  Bens não duradouros</v>
          </cell>
          <cell r="C8">
            <v>1897.9441262522328</v>
          </cell>
          <cell r="D8">
            <v>1633.3221164866068</v>
          </cell>
          <cell r="E8">
            <v>1870.7213349712124</v>
          </cell>
          <cell r="F8">
            <v>2200.4631326707718</v>
          </cell>
          <cell r="G8">
            <v>2282.3412417871355</v>
          </cell>
          <cell r="H8">
            <v>2297.7932138823999</v>
          </cell>
          <cell r="I8">
            <v>2567.4307991130863</v>
          </cell>
          <cell r="J8">
            <v>2995.1112613311166</v>
          </cell>
          <cell r="K8">
            <v>2852.9910514133344</v>
          </cell>
          <cell r="L8">
            <v>3044.8774494315367</v>
          </cell>
          <cell r="M8">
            <v>3330.5689971748957</v>
          </cell>
          <cell r="N8">
            <v>3260.2466466708474</v>
          </cell>
          <cell r="O8">
            <v>2855.6598218695813</v>
          </cell>
          <cell r="P8">
            <v>3318.6272424140034</v>
          </cell>
          <cell r="Q8">
            <v>3762.1967795539681</v>
          </cell>
          <cell r="R8">
            <v>4075.8052806259766</v>
          </cell>
          <cell r="S8">
            <v>4756.0360185291884</v>
          </cell>
          <cell r="T8">
            <v>5756.7531499775187</v>
          </cell>
          <cell r="U8">
            <v>6118.5697417838855</v>
          </cell>
          <cell r="V8">
            <v>7166.6868703575547</v>
          </cell>
          <cell r="W8">
            <v>8316.5451148567372</v>
          </cell>
          <cell r="X8">
            <v>8527.9148094057164</v>
          </cell>
          <cell r="Y8">
            <v>9134.3426012134223</v>
          </cell>
          <cell r="Z8">
            <v>10093.378566321686</v>
          </cell>
          <cell r="AA8">
            <v>11650.42368738663</v>
          </cell>
          <cell r="AB8">
            <v>14295.554556507012</v>
          </cell>
          <cell r="AC8">
            <v>14312.113570864482</v>
          </cell>
          <cell r="AD8">
            <v>17124.536669419213</v>
          </cell>
          <cell r="AE8">
            <v>17905.185823046639</v>
          </cell>
          <cell r="AF8">
            <v>19703.406778753095</v>
          </cell>
          <cell r="AG8">
            <v>31534.291268143883</v>
          </cell>
          <cell r="AH8">
            <v>50525.57746860211</v>
          </cell>
          <cell r="AI8">
            <v>69946.752421726502</v>
          </cell>
          <cell r="AJ8">
            <v>84401.421682819622</v>
          </cell>
          <cell r="AK8">
            <v>100609.55889635242</v>
          </cell>
          <cell r="AL8">
            <v>140931.91646952118</v>
          </cell>
          <cell r="AM8">
            <v>214996.24663064824</v>
          </cell>
          <cell r="AN8">
            <v>307641.70013453782</v>
          </cell>
          <cell r="AO8">
            <v>428987.08402503218</v>
          </cell>
          <cell r="AP8">
            <v>543994.56099421286</v>
          </cell>
          <cell r="AQ8">
            <v>646728.68698245764</v>
          </cell>
          <cell r="AR8">
            <v>823167.59033582755</v>
          </cell>
          <cell r="AS8">
            <v>942464.01823992247</v>
          </cell>
          <cell r="AT8">
            <v>1035522.7435080708</v>
          </cell>
          <cell r="AU8">
            <v>1119870.2412279306</v>
          </cell>
          <cell r="AV8">
            <v>1101163.1453305627</v>
          </cell>
          <cell r="AW8">
            <v>1245108.2740549131</v>
          </cell>
          <cell r="AX8">
            <v>1331732.8374617849</v>
          </cell>
        </row>
        <row r="9">
          <cell r="A9" t="str">
            <v xml:space="preserve">    Alimentação, bebidas e tabaco</v>
          </cell>
          <cell r="C9">
            <v>1511.6104374974109</v>
          </cell>
          <cell r="D9">
            <v>1241.1422745227781</v>
          </cell>
          <cell r="E9">
            <v>1473.9659458775384</v>
          </cell>
          <cell r="F9">
            <v>1720.6420151385239</v>
          </cell>
          <cell r="G9">
            <v>1826.0791015905504</v>
          </cell>
          <cell r="H9">
            <v>1821.2610511495598</v>
          </cell>
          <cell r="I9">
            <v>2046.353567147388</v>
          </cell>
          <cell r="J9">
            <v>2379.0560851305631</v>
          </cell>
          <cell r="K9">
            <v>2195.6983962661106</v>
          </cell>
          <cell r="L9">
            <v>2343.0609214194615</v>
          </cell>
          <cell r="M9">
            <v>2558.7849661572882</v>
          </cell>
          <cell r="N9">
            <v>2519.6963058403448</v>
          </cell>
          <cell r="O9">
            <v>2211.684638368235</v>
          </cell>
          <cell r="P9">
            <v>2640.619302349493</v>
          </cell>
          <cell r="Q9">
            <v>2901.2561802561477</v>
          </cell>
          <cell r="R9">
            <v>2800.03849956465</v>
          </cell>
          <cell r="S9">
            <v>3185.880852901611</v>
          </cell>
          <cell r="T9">
            <v>3864.1662073147722</v>
          </cell>
          <cell r="U9">
            <v>3987.0015903560934</v>
          </cell>
          <cell r="V9">
            <v>4429.4147170705082</v>
          </cell>
          <cell r="W9">
            <v>4840.4846836011657</v>
          </cell>
          <cell r="X9">
            <v>4777.1105270631824</v>
          </cell>
          <cell r="Y9">
            <v>4828.095267164289</v>
          </cell>
          <cell r="Z9">
            <v>5157.0967333337076</v>
          </cell>
          <cell r="AA9">
            <v>5698.3866780342432</v>
          </cell>
          <cell r="AB9">
            <v>6646.1664143690004</v>
          </cell>
          <cell r="AC9">
            <v>5769.9915007781156</v>
          </cell>
          <cell r="AD9">
            <v>7807.5519353619247</v>
          </cell>
          <cell r="AE9">
            <v>8838.2569166363119</v>
          </cell>
          <cell r="AF9">
            <v>8562.8866359621497</v>
          </cell>
          <cell r="AG9">
            <v>11426.366824338131</v>
          </cell>
          <cell r="AH9">
            <v>16837.551843063797</v>
          </cell>
          <cell r="AI9">
            <v>22233.543130312806</v>
          </cell>
          <cell r="AJ9">
            <v>22429.387809611166</v>
          </cell>
          <cell r="AK9">
            <v>25729.678061673811</v>
          </cell>
          <cell r="AL9">
            <v>34894.537817706936</v>
          </cell>
          <cell r="AM9">
            <v>47973.376743648907</v>
          </cell>
          <cell r="AN9">
            <v>61914.377079056278</v>
          </cell>
          <cell r="AO9">
            <v>77298.942229951019</v>
          </cell>
          <cell r="AP9">
            <v>94197.248789120917</v>
          </cell>
          <cell r="AQ9">
            <v>101492.439497246</v>
          </cell>
          <cell r="AR9">
            <v>121591.65003711807</v>
          </cell>
          <cell r="AS9">
            <v>139091.36659375005</v>
          </cell>
          <cell r="AT9">
            <v>158720.03433852497</v>
          </cell>
          <cell r="AU9">
            <v>177704.04242369367</v>
          </cell>
          <cell r="AV9">
            <v>167303.36347146632</v>
          </cell>
          <cell r="AW9">
            <v>197243.26501586777</v>
          </cell>
          <cell r="AX9">
            <v>221521.47009536534</v>
          </cell>
        </row>
        <row r="10">
          <cell r="A10" t="str">
            <v xml:space="preserve">      Alimentação</v>
          </cell>
          <cell r="C10">
            <v>868.47076631912523</v>
          </cell>
          <cell r="D10">
            <v>604.94551853340056</v>
          </cell>
          <cell r="E10">
            <v>892.90019699373829</v>
          </cell>
          <cell r="F10">
            <v>1014.0165957017939</v>
          </cell>
          <cell r="G10">
            <v>1240.361222273317</v>
          </cell>
          <cell r="H10">
            <v>1237.2940218448848</v>
          </cell>
          <cell r="I10">
            <v>1331.1230720957108</v>
          </cell>
          <cell r="J10">
            <v>1585.7702975245836</v>
          </cell>
          <cell r="K10">
            <v>1407.6797051517829</v>
          </cell>
          <cell r="L10">
            <v>1606.7781880288305</v>
          </cell>
          <cell r="M10">
            <v>1721.782056481884</v>
          </cell>
          <cell r="N10">
            <v>1724.3350514320543</v>
          </cell>
          <cell r="O10">
            <v>1435.192730406407</v>
          </cell>
          <cell r="P10">
            <v>1833.5534226646043</v>
          </cell>
          <cell r="Q10">
            <v>2137.5726151865933</v>
          </cell>
          <cell r="R10">
            <v>1894.0443739317518</v>
          </cell>
          <cell r="S10">
            <v>2072.5813568178232</v>
          </cell>
          <cell r="T10">
            <v>2589.4835024301819</v>
          </cell>
          <cell r="U10">
            <v>2591.5021224182833</v>
          </cell>
          <cell r="V10">
            <v>2937.0936579463441</v>
          </cell>
          <cell r="W10">
            <v>3205.9140565359271</v>
          </cell>
          <cell r="X10">
            <v>2913.2455614998912</v>
          </cell>
          <cell r="Y10">
            <v>3035.8843683698974</v>
          </cell>
          <cell r="Z10">
            <v>2983.249593527526</v>
          </cell>
          <cell r="AA10">
            <v>3360.9710337581369</v>
          </cell>
          <cell r="AB10">
            <v>3830.0169263107518</v>
          </cell>
          <cell r="AC10">
            <v>2781.7156692476437</v>
          </cell>
          <cell r="AD10">
            <v>3886.0601832800958</v>
          </cell>
          <cell r="AE10">
            <v>5397.4885442041696</v>
          </cell>
          <cell r="AF10">
            <v>4482.7395370062777</v>
          </cell>
          <cell r="AG10">
            <v>6061.4315447175868</v>
          </cell>
          <cell r="AH10">
            <v>8739.0464445498565</v>
          </cell>
          <cell r="AI10">
            <v>11433.395131085477</v>
          </cell>
          <cell r="AJ10">
            <v>10770.468856241729</v>
          </cell>
          <cell r="AK10">
            <v>12778.384124294358</v>
          </cell>
          <cell r="AL10">
            <v>19292.019357787896</v>
          </cell>
          <cell r="AM10">
            <v>25957.584633348721</v>
          </cell>
          <cell r="AN10">
            <v>33883.756253070373</v>
          </cell>
          <cell r="AO10">
            <v>44014.884153542916</v>
          </cell>
          <cell r="AP10">
            <v>49923.515365898849</v>
          </cell>
          <cell r="AQ10">
            <v>53335.123008849558</v>
          </cell>
          <cell r="AR10">
            <v>67288.500889679708</v>
          </cell>
          <cell r="AS10">
            <v>78353.652346977411</v>
          </cell>
          <cell r="AT10">
            <v>91834.999026290185</v>
          </cell>
          <cell r="AU10">
            <v>97829.011995637949</v>
          </cell>
          <cell r="AV10">
            <v>93373.884938829986</v>
          </cell>
          <cell r="AW10">
            <v>114425.41635673498</v>
          </cell>
          <cell r="AX10">
            <v>138011.10354202759</v>
          </cell>
        </row>
        <row r="11">
          <cell r="A11" t="str">
            <v xml:space="preserve">      Bebidas</v>
          </cell>
          <cell r="C11">
            <v>642.86066756817718</v>
          </cell>
          <cell r="D11">
            <v>635.8357532038624</v>
          </cell>
          <cell r="E11">
            <v>580.46136008506721</v>
          </cell>
          <cell r="F11">
            <v>705.92941943672986</v>
          </cell>
          <cell r="G11">
            <v>583.99887873482214</v>
          </cell>
          <cell r="H11">
            <v>582.04702930467499</v>
          </cell>
          <cell r="I11">
            <v>713.05349505167726</v>
          </cell>
          <cell r="J11">
            <v>791.04778715875227</v>
          </cell>
          <cell r="K11">
            <v>784.43969111432796</v>
          </cell>
          <cell r="L11">
            <v>732.04373315461476</v>
          </cell>
          <cell r="M11">
            <v>835.00390967540432</v>
          </cell>
          <cell r="N11">
            <v>792.6807923883797</v>
          </cell>
          <cell r="O11">
            <v>773.960179650584</v>
          </cell>
          <cell r="P11">
            <v>802.73089218488826</v>
          </cell>
          <cell r="Q11">
            <v>760.26824141810141</v>
          </cell>
          <cell r="R11">
            <v>902.38522769292524</v>
          </cell>
          <cell r="S11">
            <v>1107.4925532795735</v>
          </cell>
          <cell r="T11">
            <v>1266.5809046821018</v>
          </cell>
          <cell r="U11">
            <v>1387.5463113410333</v>
          </cell>
          <cell r="V11">
            <v>1482.5694977641458</v>
          </cell>
          <cell r="W11">
            <v>1622.3843091440767</v>
          </cell>
          <cell r="X11">
            <v>1850.9238181064329</v>
          </cell>
          <cell r="Y11">
            <v>1778.6039584520029</v>
          </cell>
          <cell r="Z11">
            <v>2156.1729786741062</v>
          </cell>
          <cell r="AA11">
            <v>2316.9358516994612</v>
          </cell>
          <cell r="AB11">
            <v>2792.6326913925659</v>
          </cell>
          <cell r="AC11">
            <v>2969.3240910055642</v>
          </cell>
          <cell r="AD11">
            <v>3898.649242243252</v>
          </cell>
          <cell r="AE11">
            <v>3417.7053781154505</v>
          </cell>
          <cell r="AF11">
            <v>4059.0203006482993</v>
          </cell>
          <cell r="AG11">
            <v>5325.0273377771709</v>
          </cell>
          <cell r="AH11">
            <v>8054.6528689637316</v>
          </cell>
          <cell r="AI11">
            <v>10720.108700498131</v>
          </cell>
          <cell r="AJ11">
            <v>11573.334242849758</v>
          </cell>
          <cell r="AK11">
            <v>12848.616984687058</v>
          </cell>
          <cell r="AL11">
            <v>15487.720200856742</v>
          </cell>
          <cell r="AM11">
            <v>21884.064191590202</v>
          </cell>
          <cell r="AN11">
            <v>27845.334686702059</v>
          </cell>
          <cell r="AO11">
            <v>33111.75389559615</v>
          </cell>
          <cell r="AP11">
            <v>44100.30054145238</v>
          </cell>
          <cell r="AQ11">
            <v>47950.48717948718</v>
          </cell>
          <cell r="AR11">
            <v>54007.129579982124</v>
          </cell>
          <cell r="AS11">
            <v>60423.474491889021</v>
          </cell>
          <cell r="AT11">
            <v>66601.259113300504</v>
          </cell>
          <cell r="AU11">
            <v>79539.857142857145</v>
          </cell>
          <cell r="AV11">
            <v>73434.480382775131</v>
          </cell>
          <cell r="AW11">
            <v>82188.391389432494</v>
          </cell>
          <cell r="AX11">
            <v>82547.032567049799</v>
          </cell>
        </row>
        <row r="12">
          <cell r="A12" t="str">
            <v xml:space="preserve">      Tabaco</v>
          </cell>
          <cell r="C12">
            <v>0.27900361010830321</v>
          </cell>
          <cell r="D12">
            <v>0.36100278551532033</v>
          </cell>
          <cell r="E12">
            <v>0.60438879873300166</v>
          </cell>
          <cell r="F12">
            <v>0.69599999999999995</v>
          </cell>
          <cell r="G12">
            <v>1.7190005824111823</v>
          </cell>
          <cell r="H12">
            <v>1.92</v>
          </cell>
          <cell r="I12">
            <v>2.177</v>
          </cell>
          <cell r="J12">
            <v>2.2380004472271917</v>
          </cell>
          <cell r="K12">
            <v>3.5790000000000002</v>
          </cell>
          <cell r="L12">
            <v>4.2390002360160484</v>
          </cell>
          <cell r="M12">
            <v>1.9989999999999999</v>
          </cell>
          <cell r="N12">
            <v>2.6804620199108213</v>
          </cell>
          <cell r="O12">
            <v>2.5317283112436169</v>
          </cell>
          <cell r="P12">
            <v>4.3349875000000004</v>
          </cell>
          <cell r="Q12">
            <v>3.4153236514522818</v>
          </cell>
          <cell r="R12">
            <v>3.6088979399727492</v>
          </cell>
          <cell r="S12">
            <v>5.8069428042141675</v>
          </cell>
          <cell r="T12">
            <v>8.1018002024879454</v>
          </cell>
          <cell r="U12">
            <v>7.9531565967764974</v>
          </cell>
          <cell r="V12">
            <v>9.7515613600170834</v>
          </cell>
          <cell r="W12">
            <v>12.186317921162672</v>
          </cell>
          <cell r="X12">
            <v>12.941147456858232</v>
          </cell>
          <cell r="Y12">
            <v>13.606940342388722</v>
          </cell>
          <cell r="Z12">
            <v>17.674161132075245</v>
          </cell>
          <cell r="AA12">
            <v>20.47979257664521</v>
          </cell>
          <cell r="AB12">
            <v>23.516796665681081</v>
          </cell>
          <cell r="AC12">
            <v>18.951740524909077</v>
          </cell>
          <cell r="AD12">
            <v>22.84250983857665</v>
          </cell>
          <cell r="AE12">
            <v>23.062994316693732</v>
          </cell>
          <cell r="AF12">
            <v>21.126798307572574</v>
          </cell>
          <cell r="AG12">
            <v>39.907941843373031</v>
          </cell>
          <cell r="AH12">
            <v>43.852529550208573</v>
          </cell>
          <cell r="AI12">
            <v>80.03929872920402</v>
          </cell>
          <cell r="AJ12">
            <v>85.584710519678808</v>
          </cell>
          <cell r="AK12">
            <v>102.67695269239601</v>
          </cell>
          <cell r="AL12">
            <v>114.7982590623031</v>
          </cell>
          <cell r="AM12">
            <v>131.72791870998691</v>
          </cell>
          <cell r="AN12">
            <v>185.2861392838538</v>
          </cell>
          <cell r="AO12">
            <v>172.30418081196694</v>
          </cell>
          <cell r="AP12">
            <v>173.43288176967013</v>
          </cell>
          <cell r="AQ12">
            <v>206.82930890924229</v>
          </cell>
          <cell r="AR12">
            <v>296.01956745623067</v>
          </cell>
          <cell r="AS12">
            <v>314.23975488360134</v>
          </cell>
          <cell r="AT12">
            <v>283.77619893428067</v>
          </cell>
          <cell r="AU12">
            <v>335.1732851985559</v>
          </cell>
          <cell r="AV12">
            <v>494.9981498612396</v>
          </cell>
          <cell r="AW12">
            <v>629.45726970033286</v>
          </cell>
          <cell r="AX12">
            <v>963.33398628795305</v>
          </cell>
        </row>
        <row r="13">
          <cell r="A13" t="str">
            <v xml:space="preserve">    Vestuário e calçado</v>
          </cell>
          <cell r="C13">
            <v>90.334786150667895</v>
          </cell>
          <cell r="D13">
            <v>85.313024202267371</v>
          </cell>
          <cell r="E13">
            <v>100.38389744011027</v>
          </cell>
          <cell r="F13">
            <v>119.39887179391374</v>
          </cell>
          <cell r="G13">
            <v>107.7106832966368</v>
          </cell>
          <cell r="H13">
            <v>104.34215825438966</v>
          </cell>
          <cell r="I13">
            <v>132.26449916324111</v>
          </cell>
          <cell r="J13">
            <v>179.62765509613192</v>
          </cell>
          <cell r="K13">
            <v>169.33946521665604</v>
          </cell>
          <cell r="L13">
            <v>190.69655430459395</v>
          </cell>
          <cell r="M13">
            <v>176.17467011199562</v>
          </cell>
          <cell r="N13">
            <v>170.41787695182475</v>
          </cell>
          <cell r="O13">
            <v>181.05341939637984</v>
          </cell>
          <cell r="P13">
            <v>208.83326287108466</v>
          </cell>
          <cell r="Q13">
            <v>273.04610504480178</v>
          </cell>
          <cell r="R13">
            <v>565.52759801143804</v>
          </cell>
          <cell r="S13">
            <v>740.50076848217009</v>
          </cell>
          <cell r="T13">
            <v>932.68874079639056</v>
          </cell>
          <cell r="U13">
            <v>1032.8803689325912</v>
          </cell>
          <cell r="V13">
            <v>1360.7591996060885</v>
          </cell>
          <cell r="W13">
            <v>1894.8333841445813</v>
          </cell>
          <cell r="X13">
            <v>2153.7156939400384</v>
          </cell>
          <cell r="Y13">
            <v>2541.5896139687175</v>
          </cell>
          <cell r="Z13">
            <v>3030.4267643473554</v>
          </cell>
          <cell r="AA13">
            <v>3721.0283295790427</v>
          </cell>
          <cell r="AB13">
            <v>4936.3983365357008</v>
          </cell>
          <cell r="AC13">
            <v>5671.7626247487569</v>
          </cell>
          <cell r="AD13">
            <v>5746.7781463796628</v>
          </cell>
          <cell r="AE13">
            <v>5872.5949193852985</v>
          </cell>
          <cell r="AF13">
            <v>7324.6881576681008</v>
          </cell>
          <cell r="AG13">
            <v>12901.017440035979</v>
          </cell>
          <cell r="AH13">
            <v>22275.296304282798</v>
          </cell>
          <cell r="AI13">
            <v>32048.346687100355</v>
          </cell>
          <cell r="AJ13">
            <v>40026.835857757746</v>
          </cell>
          <cell r="AK13">
            <v>52253.947335340854</v>
          </cell>
          <cell r="AL13">
            <v>72377.830812081942</v>
          </cell>
          <cell r="AM13">
            <v>120872.65661782587</v>
          </cell>
          <cell r="AN13">
            <v>188309.30866448054</v>
          </cell>
          <cell r="AO13">
            <v>270729.64175959281</v>
          </cell>
          <cell r="AP13">
            <v>358183.66993502335</v>
          </cell>
          <cell r="AQ13">
            <v>422471.81399238855</v>
          </cell>
          <cell r="AR13">
            <v>548043.99282596435</v>
          </cell>
          <cell r="AS13">
            <v>625532.80547299387</v>
          </cell>
          <cell r="AT13">
            <v>689481.51693653583</v>
          </cell>
          <cell r="AU13">
            <v>744623.67418112129</v>
          </cell>
          <cell r="AV13">
            <v>711731.26565823215</v>
          </cell>
          <cell r="AW13">
            <v>786394.20969912247</v>
          </cell>
          <cell r="AX13">
            <v>817637.46890082059</v>
          </cell>
        </row>
        <row r="14">
          <cell r="A14" t="str">
            <v xml:space="preserve">      Vestuário e acessórios</v>
          </cell>
          <cell r="C14">
            <v>68.62031120530186</v>
          </cell>
          <cell r="D14">
            <v>62.726112731870678</v>
          </cell>
          <cell r="E14">
            <v>64.692939609722444</v>
          </cell>
          <cell r="F14">
            <v>72.585204375354436</v>
          </cell>
          <cell r="G14">
            <v>63.947346862532868</v>
          </cell>
          <cell r="H14">
            <v>58.962001557225037</v>
          </cell>
          <cell r="I14">
            <v>80.181330016993968</v>
          </cell>
          <cell r="J14">
            <v>122.73036709683016</v>
          </cell>
          <cell r="K14">
            <v>102.00883689263041</v>
          </cell>
          <cell r="L14">
            <v>124.90177236081692</v>
          </cell>
          <cell r="M14">
            <v>112.12588784639746</v>
          </cell>
          <cell r="N14">
            <v>105.13185590923682</v>
          </cell>
          <cell r="O14">
            <v>128.91736044928723</v>
          </cell>
          <cell r="P14">
            <v>150.48112969043646</v>
          </cell>
          <cell r="Q14">
            <v>194.79709492416126</v>
          </cell>
          <cell r="R14">
            <v>484.57464066400854</v>
          </cell>
          <cell r="S14">
            <v>619.40222993991267</v>
          </cell>
          <cell r="T14">
            <v>757.80702076947102</v>
          </cell>
          <cell r="U14">
            <v>907.28271125961294</v>
          </cell>
          <cell r="V14">
            <v>1180.9001978027434</v>
          </cell>
          <cell r="W14">
            <v>1626.3953907026757</v>
          </cell>
          <cell r="X14">
            <v>1852.9648944383471</v>
          </cell>
          <cell r="Y14">
            <v>2137.8412240513808</v>
          </cell>
          <cell r="Z14">
            <v>2613.0589475575002</v>
          </cell>
          <cell r="AA14">
            <v>3233.5070009928322</v>
          </cell>
          <cell r="AB14">
            <v>4429.916920923295</v>
          </cell>
          <cell r="AC14">
            <v>5016.0190081572528</v>
          </cell>
          <cell r="AD14">
            <v>4918.923970979803</v>
          </cell>
          <cell r="AE14">
            <v>4881.924808719712</v>
          </cell>
          <cell r="AF14">
            <v>5864.0628957825675</v>
          </cell>
          <cell r="AG14">
            <v>10481.095791112146</v>
          </cell>
          <cell r="AH14">
            <v>17442.151531221069</v>
          </cell>
          <cell r="AI14">
            <v>25284.998020030525</v>
          </cell>
          <cell r="AJ14">
            <v>31530.220047087543</v>
          </cell>
          <cell r="AK14">
            <v>42320.81607506553</v>
          </cell>
          <cell r="AL14">
            <v>57745.989902222689</v>
          </cell>
          <cell r="AM14">
            <v>91968.490729854762</v>
          </cell>
          <cell r="AN14">
            <v>143607.67879118808</v>
          </cell>
          <cell r="AO14">
            <v>197927.75823518171</v>
          </cell>
          <cell r="AP14">
            <v>259647.19997716145</v>
          </cell>
          <cell r="AQ14">
            <v>303583.90900649951</v>
          </cell>
          <cell r="AR14">
            <v>398776.5187376726</v>
          </cell>
          <cell r="AS14">
            <v>450657.40794984199</v>
          </cell>
          <cell r="AT14">
            <v>497109.78957528953</v>
          </cell>
          <cell r="AU14">
            <v>529666.76808721514</v>
          </cell>
          <cell r="AV14">
            <v>485926.89718719688</v>
          </cell>
          <cell r="AW14">
            <v>520051.10951008648</v>
          </cell>
          <cell r="AX14">
            <v>547404.07046332047</v>
          </cell>
        </row>
        <row r="15">
          <cell r="A15" t="str">
            <v xml:space="preserve">      Calçado</v>
          </cell>
          <cell r="C15">
            <v>21.714474945366018</v>
          </cell>
          <cell r="D15">
            <v>22.586911470396693</v>
          </cell>
          <cell r="E15">
            <v>35.690957830387809</v>
          </cell>
          <cell r="F15">
            <v>46.813667418559291</v>
          </cell>
          <cell r="G15">
            <v>43.763336434103934</v>
          </cell>
          <cell r="H15">
            <v>45.380156697164651</v>
          </cell>
          <cell r="I15">
            <v>52.08316914624718</v>
          </cell>
          <cell r="J15">
            <v>56.897287999301746</v>
          </cell>
          <cell r="K15">
            <v>67.330628324025611</v>
          </cell>
          <cell r="L15">
            <v>65.794781943777039</v>
          </cell>
          <cell r="M15">
            <v>64.048782265598163</v>
          </cell>
          <cell r="N15">
            <v>65.286021042587947</v>
          </cell>
          <cell r="O15">
            <v>52.136058947092621</v>
          </cell>
          <cell r="P15">
            <v>58.352133180648217</v>
          </cell>
          <cell r="Q15">
            <v>78.249010120640477</v>
          </cell>
          <cell r="R15">
            <v>80.952957347429475</v>
          </cell>
          <cell r="S15">
            <v>121.09853854225732</v>
          </cell>
          <cell r="T15">
            <v>174.88172002691945</v>
          </cell>
          <cell r="U15">
            <v>125.5976576729782</v>
          </cell>
          <cell r="V15">
            <v>179.85900180334474</v>
          </cell>
          <cell r="W15">
            <v>268.43799344190558</v>
          </cell>
          <cell r="X15">
            <v>300.7507995016914</v>
          </cell>
          <cell r="Y15">
            <v>403.74838991733628</v>
          </cell>
          <cell r="Z15">
            <v>417.36781678985517</v>
          </cell>
          <cell r="AA15">
            <v>487.52132858620956</v>
          </cell>
          <cell r="AB15">
            <v>506.48141561240533</v>
          </cell>
          <cell r="AC15">
            <v>655.74361659150441</v>
          </cell>
          <cell r="AD15">
            <v>827.85417539985986</v>
          </cell>
          <cell r="AE15">
            <v>990.67011066558609</v>
          </cell>
          <cell r="AF15">
            <v>1460.6252618855333</v>
          </cell>
          <cell r="AG15">
            <v>2419.9216489238338</v>
          </cell>
          <cell r="AH15">
            <v>4833.1447730617274</v>
          </cell>
          <cell r="AI15">
            <v>6763.3486670698385</v>
          </cell>
          <cell r="AJ15">
            <v>8496.6158106702023</v>
          </cell>
          <cell r="AK15">
            <v>9933.1312602753278</v>
          </cell>
          <cell r="AL15">
            <v>14631.840909859262</v>
          </cell>
          <cell r="AM15">
            <v>28904.165887971085</v>
          </cell>
          <cell r="AN15">
            <v>44701.629873292426</v>
          </cell>
          <cell r="AO15">
            <v>72801.883524411096</v>
          </cell>
          <cell r="AP15">
            <v>98536.469957862006</v>
          </cell>
          <cell r="AQ15">
            <v>118887.90498588901</v>
          </cell>
          <cell r="AR15">
            <v>149267.47408829172</v>
          </cell>
          <cell r="AS15">
            <v>174875.39752315186</v>
          </cell>
          <cell r="AT15">
            <v>192371.72736124639</v>
          </cell>
          <cell r="AU15">
            <v>214956.90609390612</v>
          </cell>
          <cell r="AV15">
            <v>225804.36847103515</v>
          </cell>
          <cell r="AW15">
            <v>266343.10018903587</v>
          </cell>
          <cell r="AX15">
            <v>270233.3984375</v>
          </cell>
        </row>
        <row r="16">
          <cell r="A16" t="str">
            <v xml:space="preserve">    Outros</v>
          </cell>
          <cell r="C16">
            <v>295.99890260415424</v>
          </cell>
          <cell r="D16">
            <v>306.86681776156132</v>
          </cell>
          <cell r="E16">
            <v>296.37149165356351</v>
          </cell>
          <cell r="F16">
            <v>360.42224573833431</v>
          </cell>
          <cell r="G16">
            <v>348.55145689994816</v>
          </cell>
          <cell r="H16">
            <v>372.19000447844996</v>
          </cell>
          <cell r="I16">
            <v>388.81273280245756</v>
          </cell>
          <cell r="J16">
            <v>436.42752110442137</v>
          </cell>
          <cell r="K16">
            <v>487.95318993056753</v>
          </cell>
          <cell r="L16">
            <v>511.11997370748151</v>
          </cell>
          <cell r="M16">
            <v>595.60936090561154</v>
          </cell>
          <cell r="N16">
            <v>570.1324638786781</v>
          </cell>
          <cell r="O16">
            <v>462.92176410496671</v>
          </cell>
          <cell r="P16">
            <v>469.17467719342545</v>
          </cell>
          <cell r="Q16">
            <v>587.89449425301802</v>
          </cell>
          <cell r="R16">
            <v>710.23918304988797</v>
          </cell>
          <cell r="S16">
            <v>829.6543971454073</v>
          </cell>
          <cell r="T16">
            <v>959.89820186635484</v>
          </cell>
          <cell r="U16">
            <v>1098.6877824952014</v>
          </cell>
          <cell r="V16">
            <v>1376.5129536809584</v>
          </cell>
          <cell r="W16">
            <v>1581.2270471109896</v>
          </cell>
          <cell r="X16">
            <v>1597.0885884024954</v>
          </cell>
          <cell r="Y16">
            <v>1764.6577200804147</v>
          </cell>
          <cell r="Z16">
            <v>1905.8550686406254</v>
          </cell>
          <cell r="AA16">
            <v>2231.0086797733443</v>
          </cell>
          <cell r="AB16">
            <v>2712.989805602313</v>
          </cell>
          <cell r="AC16">
            <v>2870.359445337609</v>
          </cell>
          <cell r="AD16">
            <v>3570.2065876776282</v>
          </cell>
          <cell r="AE16">
            <v>3194.3339870250288</v>
          </cell>
          <cell r="AF16">
            <v>3815.8319851228448</v>
          </cell>
          <cell r="AG16">
            <v>7206.9070037697702</v>
          </cell>
          <cell r="AH16">
            <v>11412.729321255521</v>
          </cell>
          <cell r="AI16">
            <v>15664.862604313321</v>
          </cell>
          <cell r="AJ16">
            <v>21945.1980154507</v>
          </cell>
          <cell r="AK16">
            <v>22625.933499337756</v>
          </cell>
          <cell r="AL16">
            <v>33659.547839732317</v>
          </cell>
          <cell r="AM16">
            <v>46150.213269173473</v>
          </cell>
          <cell r="AN16">
            <v>57418.014391001052</v>
          </cell>
          <cell r="AO16">
            <v>80958.50003548828</v>
          </cell>
          <cell r="AP16">
            <v>91613.642270068667</v>
          </cell>
          <cell r="AQ16">
            <v>122764.43349282298</v>
          </cell>
          <cell r="AR16">
            <v>153531.94747274529</v>
          </cell>
          <cell r="AS16">
            <v>177839.84617317875</v>
          </cell>
          <cell r="AT16">
            <v>187321.1922330097</v>
          </cell>
          <cell r="AU16">
            <v>197542.52462311558</v>
          </cell>
          <cell r="AV16">
            <v>222128.51620086457</v>
          </cell>
          <cell r="AW16">
            <v>261470.79933992284</v>
          </cell>
          <cell r="AX16">
            <v>292573.89846559876</v>
          </cell>
        </row>
        <row r="17">
          <cell r="A17" t="str">
            <v xml:space="preserve">  Bens duradouros</v>
          </cell>
          <cell r="C17">
            <v>39.889540913633361</v>
          </cell>
          <cell r="D17">
            <v>28.470930016353414</v>
          </cell>
          <cell r="E17">
            <v>35.345980185377606</v>
          </cell>
          <cell r="F17">
            <v>43.923042650153945</v>
          </cell>
          <cell r="G17">
            <v>60.85288478049965</v>
          </cell>
          <cell r="H17">
            <v>59.240605596952285</v>
          </cell>
          <cell r="I17">
            <v>58.237322716197305</v>
          </cell>
          <cell r="J17">
            <v>63.008787906179741</v>
          </cell>
          <cell r="K17">
            <v>58.045492031294437</v>
          </cell>
          <cell r="L17">
            <v>55.222125551230484</v>
          </cell>
          <cell r="M17">
            <v>66.99794532884664</v>
          </cell>
          <cell r="N17">
            <v>80.740558742458333</v>
          </cell>
          <cell r="O17">
            <v>70.280898055716861</v>
          </cell>
          <cell r="P17">
            <v>64.77194969886898</v>
          </cell>
          <cell r="Q17">
            <v>87.465543695049035</v>
          </cell>
          <cell r="R17">
            <v>115.35541733316865</v>
          </cell>
          <cell r="S17">
            <v>167.2709265631141</v>
          </cell>
          <cell r="T17">
            <v>194.50377912856629</v>
          </cell>
          <cell r="U17">
            <v>256.61476584287607</v>
          </cell>
          <cell r="V17">
            <v>356.62680350763378</v>
          </cell>
          <cell r="W17">
            <v>507.12846959580992</v>
          </cell>
          <cell r="X17">
            <v>692.67852095404317</v>
          </cell>
          <cell r="Y17">
            <v>761.9481814973758</v>
          </cell>
          <cell r="Z17">
            <v>955.73195980272783</v>
          </cell>
          <cell r="AA17">
            <v>1310.8964010768743</v>
          </cell>
          <cell r="AB17">
            <v>1621.2546886472669</v>
          </cell>
          <cell r="AC17">
            <v>1737.4527800930473</v>
          </cell>
          <cell r="AD17">
            <v>2006.959736158437</v>
          </cell>
          <cell r="AE17">
            <v>1742.6395713423337</v>
          </cell>
          <cell r="AF17">
            <v>2479.4240791059792</v>
          </cell>
          <cell r="AG17">
            <v>3918.7042919295641</v>
          </cell>
          <cell r="AH17">
            <v>4947.2023609508433</v>
          </cell>
          <cell r="AI17">
            <v>7692.5330116809937</v>
          </cell>
          <cell r="AJ17">
            <v>11062.83957312932</v>
          </cell>
          <cell r="AK17">
            <v>14605.498302567501</v>
          </cell>
          <cell r="AL17">
            <v>19493.800196077533</v>
          </cell>
          <cell r="AM17">
            <v>30299.237244219337</v>
          </cell>
          <cell r="AN17">
            <v>33306.003539149213</v>
          </cell>
          <cell r="AO17">
            <v>41022.774817895544</v>
          </cell>
          <cell r="AP17">
            <v>58246.760678425904</v>
          </cell>
          <cell r="AQ17">
            <v>68505.067380207038</v>
          </cell>
          <cell r="AR17">
            <v>92394.802190899907</v>
          </cell>
          <cell r="AS17">
            <v>125384.87940684544</v>
          </cell>
          <cell r="AT17">
            <v>131391.3760919967</v>
          </cell>
          <cell r="AU17">
            <v>159602.02017245616</v>
          </cell>
          <cell r="AV17">
            <v>167071.68717073751</v>
          </cell>
          <cell r="AW17">
            <v>184742.69364198664</v>
          </cell>
          <cell r="AX17">
            <v>356986.99791299389</v>
          </cell>
        </row>
        <row r="18">
          <cell r="A18" t="str">
            <v xml:space="preserve">    Automóveis ligeiros de passageiros</v>
          </cell>
          <cell r="C18">
            <v>8.7719985503490516</v>
          </cell>
          <cell r="D18">
            <v>2.2953966425337771</v>
          </cell>
          <cell r="E18">
            <v>3.7938208451453841</v>
          </cell>
          <cell r="F18">
            <v>2.7992368728121355</v>
          </cell>
          <cell r="G18">
            <v>4.3190633814667763</v>
          </cell>
          <cell r="H18">
            <v>3.8422594043887153</v>
          </cell>
          <cell r="I18">
            <v>5.654483834562896</v>
          </cell>
          <cell r="J18">
            <v>3.0637337567171468</v>
          </cell>
          <cell r="K18">
            <v>3.513157894736842</v>
          </cell>
          <cell r="L18">
            <v>6.2893474852245852</v>
          </cell>
          <cell r="M18">
            <v>3.4285163879598666</v>
          </cell>
          <cell r="N18">
            <v>6.2286653159272261</v>
          </cell>
          <cell r="O18">
            <v>3.0159397397040482</v>
          </cell>
          <cell r="P18">
            <v>1.9324246153846154</v>
          </cell>
          <cell r="Q18">
            <v>0.44811585365853646</v>
          </cell>
          <cell r="R18">
            <v>0.63316030534351153</v>
          </cell>
          <cell r="S18">
            <v>0.42677343750000002</v>
          </cell>
          <cell r="T18">
            <v>0.48707913669064751</v>
          </cell>
          <cell r="U18">
            <v>1.1072500000000001</v>
          </cell>
          <cell r="V18">
            <v>1.866454363564565</v>
          </cell>
          <cell r="W18">
            <v>0.99925253991291729</v>
          </cell>
          <cell r="X18">
            <v>0.87977328587652359</v>
          </cell>
          <cell r="Y18">
            <v>1.5049470198675494</v>
          </cell>
          <cell r="Z18">
            <v>2.6215820465654072</v>
          </cell>
          <cell r="AA18">
            <v>1.1121416386663221</v>
          </cell>
          <cell r="AB18">
            <v>0.99008859195180343</v>
          </cell>
          <cell r="AC18">
            <v>0.69844863013698621</v>
          </cell>
          <cell r="AD18">
            <v>7.1583653395784541</v>
          </cell>
          <cell r="AE18">
            <v>8.1552514483864318</v>
          </cell>
          <cell r="AF18">
            <v>24.78828025818817</v>
          </cell>
          <cell r="AG18">
            <v>14.864869620335313</v>
          </cell>
          <cell r="AH18">
            <v>106.59475976500799</v>
          </cell>
          <cell r="AI18">
            <v>496.39842448614252</v>
          </cell>
          <cell r="AJ18">
            <v>2438.661092339984</v>
          </cell>
          <cell r="AK18">
            <v>3522.1055894940837</v>
          </cell>
          <cell r="AL18">
            <v>4492.495942411424</v>
          </cell>
          <cell r="AM18">
            <v>5889.0922781627423</v>
          </cell>
          <cell r="AN18">
            <v>4371.6267757551495</v>
          </cell>
          <cell r="AO18">
            <v>7786.0730686293309</v>
          </cell>
          <cell r="AP18">
            <v>16765.537493347634</v>
          </cell>
          <cell r="AQ18">
            <v>23683.30067243036</v>
          </cell>
          <cell r="AR18">
            <v>39321.833161688985</v>
          </cell>
          <cell r="AS18">
            <v>44797.725284925116</v>
          </cell>
          <cell r="AT18">
            <v>34880.981781376518</v>
          </cell>
          <cell r="AU18">
            <v>50727.398916967504</v>
          </cell>
          <cell r="AV18">
            <v>54498.352254353522</v>
          </cell>
          <cell r="AW18">
            <v>35667.228429719878</v>
          </cell>
          <cell r="AX18">
            <v>177904.02181438421</v>
          </cell>
        </row>
        <row r="19">
          <cell r="A19" t="str">
            <v xml:space="preserve">    Electrodomésticos</v>
          </cell>
          <cell r="C19">
            <v>3.7039106710959584</v>
          </cell>
          <cell r="D19">
            <v>4.0689909372361388</v>
          </cell>
          <cell r="E19">
            <v>3.4099650109142923</v>
          </cell>
          <cell r="F19">
            <v>3.1843631396789016</v>
          </cell>
          <cell r="G19">
            <v>3.520506695836648</v>
          </cell>
          <cell r="H19">
            <v>3.0061540775014457</v>
          </cell>
          <cell r="I19">
            <v>4.3352328519788808</v>
          </cell>
          <cell r="J19">
            <v>3.2842292914012741</v>
          </cell>
          <cell r="K19">
            <v>5.4936153481119927</v>
          </cell>
          <cell r="L19">
            <v>2.5400965617830393</v>
          </cell>
          <cell r="M19">
            <v>3.2846733333333331</v>
          </cell>
          <cell r="N19">
            <v>2.8055983076600208</v>
          </cell>
          <cell r="O19">
            <v>0.9091164500643053</v>
          </cell>
          <cell r="P19">
            <v>0.97431961942257217</v>
          </cell>
          <cell r="Q19">
            <v>1.5947764080173072</v>
          </cell>
          <cell r="R19">
            <v>1.3442727150653053</v>
          </cell>
          <cell r="S19">
            <v>3.3693619379189457</v>
          </cell>
          <cell r="T19">
            <v>2.7086591371943585</v>
          </cell>
          <cell r="U19">
            <v>2.9662599264009102</v>
          </cell>
          <cell r="V19">
            <v>3.1904012223546143</v>
          </cell>
          <cell r="W19">
            <v>2.1648039307196645</v>
          </cell>
          <cell r="X19">
            <v>2.224447996377632</v>
          </cell>
          <cell r="Y19">
            <v>2.9465943971814035</v>
          </cell>
          <cell r="Z19">
            <v>3.2135664138412428</v>
          </cell>
          <cell r="AA19">
            <v>4.0306753394664803</v>
          </cell>
          <cell r="AB19">
            <v>2.4789868576801628</v>
          </cell>
          <cell r="AC19">
            <v>3.0090850952854895</v>
          </cell>
          <cell r="AD19">
            <v>4.8993852440191379</v>
          </cell>
          <cell r="AE19">
            <v>2.8523314192343605</v>
          </cell>
          <cell r="AF19">
            <v>2.5753367429986205</v>
          </cell>
          <cell r="AG19">
            <v>3.65767241535726</v>
          </cell>
          <cell r="AH19">
            <v>36.130956872747575</v>
          </cell>
          <cell r="AI19">
            <v>51.765051668970479</v>
          </cell>
          <cell r="AJ19">
            <v>225.82786557932022</v>
          </cell>
          <cell r="AK19">
            <v>233.2268796460468</v>
          </cell>
          <cell r="AL19">
            <v>394.35224358093706</v>
          </cell>
          <cell r="AM19">
            <v>1099.6528678081911</v>
          </cell>
          <cell r="AN19">
            <v>1536.9538798327333</v>
          </cell>
          <cell r="AO19">
            <v>2113.033468886149</v>
          </cell>
          <cell r="AP19">
            <v>2532.4031762070981</v>
          </cell>
          <cell r="AQ19">
            <v>4156.0695573622406</v>
          </cell>
          <cell r="AR19">
            <v>6973.6788389513104</v>
          </cell>
          <cell r="AS19">
            <v>14067.648882076986</v>
          </cell>
          <cell r="AT19">
            <v>17767.053069719044</v>
          </cell>
          <cell r="AU19">
            <v>19581.240667976424</v>
          </cell>
          <cell r="AV19">
            <v>18843.318277310926</v>
          </cell>
          <cell r="AW19">
            <v>24383.78652849741</v>
          </cell>
          <cell r="AX19">
            <v>25936.993110236221</v>
          </cell>
        </row>
        <row r="20">
          <cell r="A20" t="str">
            <v xml:space="preserve">    Mobiliário</v>
          </cell>
          <cell r="C20">
            <v>4.6268392303895851</v>
          </cell>
          <cell r="D20">
            <v>5.5742384570777013</v>
          </cell>
          <cell r="E20">
            <v>7.3893986596632004</v>
          </cell>
          <cell r="F20">
            <v>11.049360915883764</v>
          </cell>
          <cell r="G20">
            <v>8.7913842204745176</v>
          </cell>
          <cell r="H20">
            <v>9.1893427991513477</v>
          </cell>
          <cell r="I20">
            <v>15.602314517179298</v>
          </cell>
          <cell r="J20">
            <v>20.933394752132411</v>
          </cell>
          <cell r="K20">
            <v>16.779485311743034</v>
          </cell>
          <cell r="L20">
            <v>12.564857350220326</v>
          </cell>
          <cell r="M20">
            <v>19.673048504222962</v>
          </cell>
          <cell r="N20">
            <v>19.853619676498322</v>
          </cell>
          <cell r="O20">
            <v>17.055191529288781</v>
          </cell>
          <cell r="P20">
            <v>18.146386325315117</v>
          </cell>
          <cell r="Q20">
            <v>14.625185989341107</v>
          </cell>
          <cell r="R20">
            <v>15.612063288084604</v>
          </cell>
          <cell r="S20">
            <v>22.103024571419862</v>
          </cell>
          <cell r="T20">
            <v>25.509010459330689</v>
          </cell>
          <cell r="U20">
            <v>32.568314951331629</v>
          </cell>
          <cell r="V20">
            <v>38.853861476146733</v>
          </cell>
          <cell r="W20">
            <v>46.801865717719586</v>
          </cell>
          <cell r="X20">
            <v>59.297291126212258</v>
          </cell>
          <cell r="Y20">
            <v>42.018725673644369</v>
          </cell>
          <cell r="Z20">
            <v>42.510245812395411</v>
          </cell>
          <cell r="AA20">
            <v>30.165680852200559</v>
          </cell>
          <cell r="AB20">
            <v>41.448573228285213</v>
          </cell>
          <cell r="AC20">
            <v>24.862277099247034</v>
          </cell>
          <cell r="AD20">
            <v>25.676873273018671</v>
          </cell>
          <cell r="AE20">
            <v>40.953210085454032</v>
          </cell>
          <cell r="AF20">
            <v>55.745778269543237</v>
          </cell>
          <cell r="AG20">
            <v>105.22842401118247</v>
          </cell>
          <cell r="AH20">
            <v>249.99081414983181</v>
          </cell>
          <cell r="AI20">
            <v>474.56479088698063</v>
          </cell>
          <cell r="AJ20">
            <v>408.96833712860746</v>
          </cell>
          <cell r="AK20">
            <v>607.7411617874069</v>
          </cell>
          <cell r="AL20">
            <v>968.05929900133606</v>
          </cell>
          <cell r="AM20">
            <v>1111.9570342033753</v>
          </cell>
          <cell r="AN20">
            <v>2132.2382786558123</v>
          </cell>
          <cell r="AO20">
            <v>3120.7654078225037</v>
          </cell>
          <cell r="AP20">
            <v>4757.3738249521875</v>
          </cell>
          <cell r="AQ20">
            <v>6784.8711484593841</v>
          </cell>
          <cell r="AR20">
            <v>9065.224376731303</v>
          </cell>
          <cell r="AS20">
            <v>12588.526884963641</v>
          </cell>
          <cell r="AT20">
            <v>16772.331067961164</v>
          </cell>
          <cell r="AU20">
            <v>19669.171218487398</v>
          </cell>
          <cell r="AV20">
            <v>17356.256637168142</v>
          </cell>
          <cell r="AW20">
            <v>18691.044147843942</v>
          </cell>
          <cell r="AX20">
            <v>20703.512315270938</v>
          </cell>
        </row>
        <row r="21">
          <cell r="A21" t="str">
            <v xml:space="preserve">    Outros</v>
          </cell>
          <cell r="C21">
            <v>22.786792461798761</v>
          </cell>
          <cell r="D21">
            <v>16.532303979505794</v>
          </cell>
          <cell r="E21">
            <v>20.752795669654731</v>
          </cell>
          <cell r="F21">
            <v>26.890081721779147</v>
          </cell>
          <cell r="G21">
            <v>44.221930482721696</v>
          </cell>
          <cell r="H21">
            <v>43.202849315910775</v>
          </cell>
          <cell r="I21">
            <v>32.64529151247622</v>
          </cell>
          <cell r="J21">
            <v>35.727430105928917</v>
          </cell>
          <cell r="K21">
            <v>32.259233476702569</v>
          </cell>
          <cell r="L21">
            <v>33.827824154002542</v>
          </cell>
          <cell r="M21">
            <v>40.611707103330481</v>
          </cell>
          <cell r="N21">
            <v>51.852675442372764</v>
          </cell>
          <cell r="O21">
            <v>49.300650336659722</v>
          </cell>
          <cell r="P21">
            <v>43.718819138746667</v>
          </cell>
          <cell r="Q21">
            <v>70.797465444032085</v>
          </cell>
          <cell r="R21">
            <v>97.765921024675237</v>
          </cell>
          <cell r="S21">
            <v>141.37176661627529</v>
          </cell>
          <cell r="T21">
            <v>165.7990303953506</v>
          </cell>
          <cell r="U21">
            <v>219.97294096514352</v>
          </cell>
          <cell r="V21">
            <v>312.7160864455679</v>
          </cell>
          <cell r="W21">
            <v>457.16254740745779</v>
          </cell>
          <cell r="X21">
            <v>630.27700854557679</v>
          </cell>
          <cell r="Y21">
            <v>715.47791440668232</v>
          </cell>
          <cell r="Z21">
            <v>907.38656552992552</v>
          </cell>
          <cell r="AA21">
            <v>1275.5879032465409</v>
          </cell>
          <cell r="AB21">
            <v>1576.3370399693499</v>
          </cell>
          <cell r="AC21">
            <v>1708.8829692683776</v>
          </cell>
          <cell r="AD21">
            <v>1969.2251123018204</v>
          </cell>
          <cell r="AE21">
            <v>1690.6787783892589</v>
          </cell>
          <cell r="AF21">
            <v>2396.3146838352495</v>
          </cell>
          <cell r="AG21">
            <v>3794.9533258826891</v>
          </cell>
          <cell r="AH21">
            <v>4554.4858301632576</v>
          </cell>
          <cell r="AI21">
            <v>6669.8047446388973</v>
          </cell>
          <cell r="AJ21">
            <v>7989.3822780814098</v>
          </cell>
          <cell r="AK21">
            <v>10242.424671639963</v>
          </cell>
          <cell r="AL21">
            <v>13638.892711083838</v>
          </cell>
          <cell r="AM21">
            <v>22198.535064045023</v>
          </cell>
          <cell r="AN21">
            <v>25265.184604905528</v>
          </cell>
          <cell r="AO21">
            <v>28002.902872557563</v>
          </cell>
          <cell r="AP21">
            <v>34191.446183918975</v>
          </cell>
          <cell r="AQ21">
            <v>33880.826001955036</v>
          </cell>
          <cell r="AR21">
            <v>37034.065813528337</v>
          </cell>
          <cell r="AS21">
            <v>53930.97835487972</v>
          </cell>
          <cell r="AT21">
            <v>61971.010172939976</v>
          </cell>
          <cell r="AU21">
            <v>69624.209369024858</v>
          </cell>
          <cell r="AV21">
            <v>76373.760001904884</v>
          </cell>
          <cell r="AW21">
            <v>106000.6345359254</v>
          </cell>
          <cell r="AX21">
            <v>132442.47067310259</v>
          </cell>
        </row>
        <row r="23">
          <cell r="A23" t="str">
            <v>Bens de Investimento</v>
          </cell>
          <cell r="C23">
            <v>109.19753396567816</v>
          </cell>
          <cell r="D23">
            <v>126.30309559223538</v>
          </cell>
          <cell r="E23">
            <v>166.58768922330287</v>
          </cell>
          <cell r="F23">
            <v>183.80887997741308</v>
          </cell>
          <cell r="G23">
            <v>211.34275398297441</v>
          </cell>
          <cell r="H23">
            <v>182.48121196689812</v>
          </cell>
          <cell r="I23">
            <v>215.4784613774423</v>
          </cell>
          <cell r="J23">
            <v>228.84753025425752</v>
          </cell>
          <cell r="K23">
            <v>237.70073714286895</v>
          </cell>
          <cell r="L23">
            <v>330.16343292302469</v>
          </cell>
          <cell r="M23">
            <v>303.34779050072365</v>
          </cell>
          <cell r="N23">
            <v>381.74336787024794</v>
          </cell>
          <cell r="O23">
            <v>369.70939200711297</v>
          </cell>
          <cell r="P23">
            <v>409.37579658405065</v>
          </cell>
          <cell r="Q23">
            <v>442.29835482719051</v>
          </cell>
          <cell r="R23">
            <v>448.34535624053115</v>
          </cell>
          <cell r="S23">
            <v>636.4260546200029</v>
          </cell>
          <cell r="T23">
            <v>767.8736989034611</v>
          </cell>
          <cell r="U23">
            <v>870.60536822354754</v>
          </cell>
          <cell r="V23">
            <v>1127.3450452993484</v>
          </cell>
          <cell r="W23">
            <v>1198.8705126530165</v>
          </cell>
          <cell r="X23">
            <v>1559.1071966099157</v>
          </cell>
          <cell r="Y23">
            <v>1892.5268425604636</v>
          </cell>
          <cell r="Z23">
            <v>2205.4137251296784</v>
          </cell>
          <cell r="AA23">
            <v>2976.7450729328675</v>
          </cell>
          <cell r="AB23">
            <v>5199.2533360809603</v>
          </cell>
          <cell r="AC23">
            <v>5497.4841240977885</v>
          </cell>
          <cell r="AD23">
            <v>4644.946597829281</v>
          </cell>
          <cell r="AE23">
            <v>5146.1233192656327</v>
          </cell>
          <cell r="AF23">
            <v>7846.6990693987236</v>
          </cell>
          <cell r="AG23">
            <v>9973.9418579706889</v>
          </cell>
          <cell r="AH23">
            <v>16271.387457303057</v>
          </cell>
          <cell r="AI23">
            <v>23393.070293923331</v>
          </cell>
          <cell r="AJ23">
            <v>22008.000728366176</v>
          </cell>
          <cell r="AK23">
            <v>29950.617721929866</v>
          </cell>
          <cell r="AL23">
            <v>48162.117358497424</v>
          </cell>
          <cell r="AM23">
            <v>87238.452162392234</v>
          </cell>
          <cell r="AN23">
            <v>102362.09665881284</v>
          </cell>
          <cell r="AO23">
            <v>122226.36018894307</v>
          </cell>
          <cell r="AP23">
            <v>158231.3835557265</v>
          </cell>
          <cell r="AQ23">
            <v>198640.53661285064</v>
          </cell>
          <cell r="AR23">
            <v>288205.2261835371</v>
          </cell>
          <cell r="AS23">
            <v>335292.63830090727</v>
          </cell>
          <cell r="AT23">
            <v>333596.73689350788</v>
          </cell>
          <cell r="AU23">
            <v>367959.33506311424</v>
          </cell>
          <cell r="AV23">
            <v>338839.99698545848</v>
          </cell>
          <cell r="AW23">
            <v>440886.15006894094</v>
          </cell>
          <cell r="AX23">
            <v>582758.92409095727</v>
          </cell>
        </row>
        <row r="24">
          <cell r="A24" t="str">
            <v xml:space="preserve">  Máquinas e aparelhos</v>
          </cell>
          <cell r="C24">
            <v>45.169146334349392</v>
          </cell>
          <cell r="D24">
            <v>49.725316485629222</v>
          </cell>
          <cell r="E24">
            <v>56.475622452865309</v>
          </cell>
          <cell r="F24">
            <v>71.039345928524099</v>
          </cell>
          <cell r="G24">
            <v>100.48767350680352</v>
          </cell>
          <cell r="H24">
            <v>67.724204451487267</v>
          </cell>
          <cell r="I24">
            <v>98.629660117624326</v>
          </cell>
          <cell r="J24">
            <v>79.690068067524436</v>
          </cell>
          <cell r="K24">
            <v>86.782470481957759</v>
          </cell>
          <cell r="L24">
            <v>116.15697521307804</v>
          </cell>
          <cell r="M24">
            <v>115.5708599223437</v>
          </cell>
          <cell r="N24">
            <v>137.81530541015053</v>
          </cell>
          <cell r="O24">
            <v>133.9352861812047</v>
          </cell>
          <cell r="P24">
            <v>147.33100076567075</v>
          </cell>
          <cell r="Q24">
            <v>222.37873117843631</v>
          </cell>
          <cell r="R24">
            <v>194.04096144657302</v>
          </cell>
          <cell r="S24">
            <v>322.14185379819332</v>
          </cell>
          <cell r="T24">
            <v>374.43582483262111</v>
          </cell>
          <cell r="U24">
            <v>416.28289856069404</v>
          </cell>
          <cell r="V24">
            <v>540.55577030971745</v>
          </cell>
          <cell r="W24">
            <v>596.96180830356104</v>
          </cell>
          <cell r="X24">
            <v>833.71193482288163</v>
          </cell>
          <cell r="Y24">
            <v>894.95718815875625</v>
          </cell>
          <cell r="Z24">
            <v>1288.4211067921642</v>
          </cell>
          <cell r="AA24">
            <v>2097.9197291348396</v>
          </cell>
          <cell r="AB24">
            <v>3501.810972129987</v>
          </cell>
          <cell r="AC24">
            <v>3320.3260318075359</v>
          </cell>
          <cell r="AD24">
            <v>3109.7510793645456</v>
          </cell>
          <cell r="AE24">
            <v>2918.1216199098217</v>
          </cell>
          <cell r="AF24">
            <v>4683.5137656588613</v>
          </cell>
          <cell r="AG24">
            <v>5015.894309400288</v>
          </cell>
          <cell r="AH24">
            <v>8642.8292553306783</v>
          </cell>
          <cell r="AI24">
            <v>9990.8947658858779</v>
          </cell>
          <cell r="AJ24">
            <v>11614.708590086342</v>
          </cell>
          <cell r="AK24">
            <v>14486.736548287854</v>
          </cell>
          <cell r="AL24">
            <v>23064.585784972067</v>
          </cell>
          <cell r="AM24">
            <v>38304.228986830225</v>
          </cell>
          <cell r="AN24">
            <v>48325.510127157948</v>
          </cell>
          <cell r="AO24">
            <v>52737.105906848214</v>
          </cell>
          <cell r="AP24">
            <v>67045.335681190554</v>
          </cell>
          <cell r="AQ24">
            <v>93323.59905660378</v>
          </cell>
          <cell r="AR24">
            <v>125703.25735294117</v>
          </cell>
          <cell r="AS24">
            <v>164213.6667504349</v>
          </cell>
          <cell r="AT24">
            <v>173658.52852852855</v>
          </cell>
          <cell r="AU24">
            <v>177886.54432989692</v>
          </cell>
          <cell r="AV24">
            <v>146433.34038461538</v>
          </cell>
          <cell r="AW24">
            <v>212126.96248766044</v>
          </cell>
          <cell r="AX24">
            <v>282149.89275074482</v>
          </cell>
        </row>
        <row r="25">
          <cell r="A25" t="str">
            <v xml:space="preserve">  Material de transporte</v>
          </cell>
          <cell r="C25">
            <v>28.547369794452969</v>
          </cell>
          <cell r="D25">
            <v>46.699658909173699</v>
          </cell>
          <cell r="E25">
            <v>76.822074019374412</v>
          </cell>
          <cell r="F25">
            <v>72.522686147884485</v>
          </cell>
          <cell r="G25">
            <v>74.953951111562432</v>
          </cell>
          <cell r="H25">
            <v>79.187247180144539</v>
          </cell>
          <cell r="I25">
            <v>82.39705206887507</v>
          </cell>
          <cell r="J25">
            <v>110.33521782486129</v>
          </cell>
          <cell r="K25">
            <v>101.39274634559487</v>
          </cell>
          <cell r="L25">
            <v>147.54149017739698</v>
          </cell>
          <cell r="M25">
            <v>120.10166773595</v>
          </cell>
          <cell r="N25">
            <v>185.38240960743212</v>
          </cell>
          <cell r="O25">
            <v>179.10791625641826</v>
          </cell>
          <cell r="P25">
            <v>201.70762318178328</v>
          </cell>
          <cell r="Q25">
            <v>152.27730277723873</v>
          </cell>
          <cell r="R25">
            <v>181.07954093326617</v>
          </cell>
          <cell r="S25">
            <v>197.2382533673327</v>
          </cell>
          <cell r="T25">
            <v>248.44478369487754</v>
          </cell>
          <cell r="U25">
            <v>325.04198253406253</v>
          </cell>
          <cell r="V25">
            <v>442.2957804010677</v>
          </cell>
          <cell r="W25">
            <v>337.44055962779396</v>
          </cell>
          <cell r="X25">
            <v>364.8264989234317</v>
          </cell>
          <cell r="Y25">
            <v>521.22281666599542</v>
          </cell>
          <cell r="Z25">
            <v>580.73369010106103</v>
          </cell>
          <cell r="AA25">
            <v>716.83625750526573</v>
          </cell>
          <cell r="AB25">
            <v>1307.7029871421969</v>
          </cell>
          <cell r="AC25">
            <v>1364.5977461172788</v>
          </cell>
          <cell r="AD25">
            <v>945.18533400389958</v>
          </cell>
          <cell r="AE25">
            <v>1309.2749491140771</v>
          </cell>
          <cell r="AF25">
            <v>2186.8803618398674</v>
          </cell>
          <cell r="AG25">
            <v>3340.5572426208114</v>
          </cell>
          <cell r="AH25">
            <v>5952.5758416059189</v>
          </cell>
          <cell r="AI25">
            <v>9515.6689017188964</v>
          </cell>
          <cell r="AJ25">
            <v>4853.3386783868546</v>
          </cell>
          <cell r="AK25">
            <v>10599.141638702375</v>
          </cell>
          <cell r="AL25">
            <v>18073.193187708919</v>
          </cell>
          <cell r="AM25">
            <v>32930.337738374357</v>
          </cell>
          <cell r="AN25">
            <v>42015.533002415301</v>
          </cell>
          <cell r="AO25">
            <v>54368.234900759977</v>
          </cell>
          <cell r="AP25">
            <v>72319.530673122179</v>
          </cell>
          <cell r="AQ25">
            <v>93391.348788130941</v>
          </cell>
          <cell r="AR25">
            <v>147844.88728937731</v>
          </cell>
          <cell r="AS25">
            <v>151917.81223109359</v>
          </cell>
          <cell r="AT25">
            <v>139412.45910828951</v>
          </cell>
          <cell r="AU25">
            <v>161839.7524309399</v>
          </cell>
          <cell r="AV25">
            <v>159636.96977939137</v>
          </cell>
          <cell r="AW25">
            <v>196945.53063185266</v>
          </cell>
          <cell r="AX25">
            <v>250721.52143769129</v>
          </cell>
        </row>
        <row r="26">
          <cell r="A26" t="str">
            <v xml:space="preserve">  Outros</v>
          </cell>
          <cell r="C26">
            <v>35.481017836875814</v>
          </cell>
          <cell r="D26">
            <v>29.87812019743243</v>
          </cell>
          <cell r="E26">
            <v>33.289992751063131</v>
          </cell>
          <cell r="F26">
            <v>40.246847901004486</v>
          </cell>
          <cell r="G26">
            <v>35.901129364608451</v>
          </cell>
          <cell r="H26">
            <v>35.569760335266317</v>
          </cell>
          <cell r="I26">
            <v>34.45174919094287</v>
          </cell>
          <cell r="J26">
            <v>38.822244361871796</v>
          </cell>
          <cell r="K26">
            <v>49.525520315316328</v>
          </cell>
          <cell r="L26">
            <v>66.464967532549693</v>
          </cell>
          <cell r="M26">
            <v>67.675262842429916</v>
          </cell>
          <cell r="N26">
            <v>58.545652852665263</v>
          </cell>
          <cell r="O26">
            <v>56.66618956948998</v>
          </cell>
          <cell r="P26">
            <v>60.337172636596577</v>
          </cell>
          <cell r="Q26">
            <v>67.642320871515466</v>
          </cell>
          <cell r="R26">
            <v>73.224853860691937</v>
          </cell>
          <cell r="S26">
            <v>117.04594745447682</v>
          </cell>
          <cell r="T26">
            <v>144.99309037596242</v>
          </cell>
          <cell r="U26">
            <v>129.28048712879104</v>
          </cell>
          <cell r="V26">
            <v>144.49349458856352</v>
          </cell>
          <cell r="W26">
            <v>264.46814472166147</v>
          </cell>
          <cell r="X26">
            <v>360.56876286360239</v>
          </cell>
          <cell r="Y26">
            <v>476.34683773571197</v>
          </cell>
          <cell r="Z26">
            <v>336.25892823645376</v>
          </cell>
          <cell r="AA26">
            <v>161.98908629276218</v>
          </cell>
          <cell r="AB26">
            <v>389.73937680877623</v>
          </cell>
          <cell r="AC26">
            <v>812.56034617297371</v>
          </cell>
          <cell r="AD26">
            <v>590.01018446083583</v>
          </cell>
          <cell r="AE26">
            <v>918.72675024173475</v>
          </cell>
          <cell r="AF26">
            <v>976.30494189999501</v>
          </cell>
          <cell r="AG26">
            <v>1617.4903059495909</v>
          </cell>
          <cell r="AH26">
            <v>1675.9823603664595</v>
          </cell>
          <cell r="AI26">
            <v>3886.5066263185577</v>
          </cell>
          <cell r="AJ26">
            <v>5539.9534598929831</v>
          </cell>
          <cell r="AK26">
            <v>4864.7395349396411</v>
          </cell>
          <cell r="AL26">
            <v>7024.338385816437</v>
          </cell>
          <cell r="AM26">
            <v>16003.885437187651</v>
          </cell>
          <cell r="AN26">
            <v>12021.053529239583</v>
          </cell>
          <cell r="AO26">
            <v>15121.0193813349</v>
          </cell>
          <cell r="AP26">
            <v>18866.51720141371</v>
          </cell>
          <cell r="AQ26">
            <v>11925.588768115942</v>
          </cell>
          <cell r="AR26">
            <v>14657.081541218637</v>
          </cell>
          <cell r="AS26">
            <v>19161.159319378723</v>
          </cell>
          <cell r="AT26">
            <v>20525.749256689793</v>
          </cell>
          <cell r="AU26">
            <v>28233.038302277433</v>
          </cell>
          <cell r="AV26">
            <v>32769.686821451716</v>
          </cell>
          <cell r="AW26">
            <v>31813.656949427856</v>
          </cell>
          <cell r="AX26">
            <v>49887.509902521226</v>
          </cell>
        </row>
        <row r="28">
          <cell r="A28" t="str">
            <v>Bens intermédios</v>
          </cell>
          <cell r="C28">
            <v>2431.1100449906562</v>
          </cell>
          <cell r="D28">
            <v>2280.672635158367</v>
          </cell>
          <cell r="E28">
            <v>3248.1802473411158</v>
          </cell>
          <cell r="F28">
            <v>4104.5322734321726</v>
          </cell>
          <cell r="G28">
            <v>4173.6180768254999</v>
          </cell>
          <cell r="H28">
            <v>4274.809174703646</v>
          </cell>
          <cell r="I28">
            <v>4525.6202089532471</v>
          </cell>
          <cell r="J28">
            <v>4575.5126089220566</v>
          </cell>
          <cell r="K28">
            <v>5123.7834278407909</v>
          </cell>
          <cell r="L28">
            <v>4947.8921402467204</v>
          </cell>
          <cell r="M28">
            <v>4630.1994246965041</v>
          </cell>
          <cell r="N28">
            <v>4628.6252591918292</v>
          </cell>
          <cell r="O28">
            <v>5416.134669895695</v>
          </cell>
          <cell r="P28">
            <v>5478.658174959508</v>
          </cell>
          <cell r="Q28">
            <v>6739.8519589798598</v>
          </cell>
          <cell r="R28">
            <v>6995.1952457707503</v>
          </cell>
          <cell r="S28">
            <v>8595.3585214953837</v>
          </cell>
          <cell r="T28">
            <v>9191.9036895331574</v>
          </cell>
          <cell r="U28">
            <v>10313.827377770041</v>
          </cell>
          <cell r="V28">
            <v>11005.891094598042</v>
          </cell>
          <cell r="W28">
            <v>11862.671273314374</v>
          </cell>
          <cell r="X28">
            <v>13486.404958159666</v>
          </cell>
          <cell r="Y28">
            <v>13942.429136869347</v>
          </cell>
          <cell r="Z28">
            <v>14457.696851103252</v>
          </cell>
          <cell r="AA28">
            <v>16789.688681321983</v>
          </cell>
          <cell r="AB28">
            <v>18847.458810753527</v>
          </cell>
          <cell r="AC28">
            <v>20459.170817017857</v>
          </cell>
          <cell r="AD28">
            <v>23859.089176700407</v>
          </cell>
          <cell r="AE28">
            <v>24989.964862489112</v>
          </cell>
          <cell r="AF28">
            <v>25504.806350650713</v>
          </cell>
          <cell r="AG28">
            <v>38245.907579810046</v>
          </cell>
          <cell r="AH28">
            <v>59322.404164811516</v>
          </cell>
          <cell r="AI28">
            <v>78640.556468632538</v>
          </cell>
          <cell r="AJ28">
            <v>92426.32300283802</v>
          </cell>
          <cell r="AK28">
            <v>123955.58033316529</v>
          </cell>
          <cell r="AL28">
            <v>167802.08730928009</v>
          </cell>
          <cell r="AM28">
            <v>232022.49513513476</v>
          </cell>
          <cell r="AN28">
            <v>345219.01405848528</v>
          </cell>
          <cell r="AO28">
            <v>387827.58327157516</v>
          </cell>
          <cell r="AP28">
            <v>406232.82376537757</v>
          </cell>
          <cell r="AQ28">
            <v>484976.61618798954</v>
          </cell>
          <cell r="AR28">
            <v>629215.7726051925</v>
          </cell>
          <cell r="AS28">
            <v>794008.31919196714</v>
          </cell>
          <cell r="AT28">
            <v>802050.9777070065</v>
          </cell>
          <cell r="AU28">
            <v>794418.18002081173</v>
          </cell>
          <cell r="AV28">
            <v>823651.98573316063</v>
          </cell>
          <cell r="AW28">
            <v>939860.50665788224</v>
          </cell>
          <cell r="AX28">
            <v>1084848.1587623465</v>
          </cell>
        </row>
        <row r="30">
          <cell r="A30" t="str">
            <v>Energéticos</v>
          </cell>
          <cell r="C30">
            <v>24.795732990067538</v>
          </cell>
          <cell r="D30">
            <v>15.414823008015848</v>
          </cell>
          <cell r="E30">
            <v>10.820719677523968</v>
          </cell>
          <cell r="F30">
            <v>11.536642792578538</v>
          </cell>
          <cell r="G30">
            <v>66.673333642192546</v>
          </cell>
          <cell r="H30">
            <v>10.026768532854692</v>
          </cell>
          <cell r="I30">
            <v>298.41864583475814</v>
          </cell>
          <cell r="J30">
            <v>232.00934407249207</v>
          </cell>
          <cell r="K30">
            <v>231.05171036128033</v>
          </cell>
          <cell r="L30">
            <v>225.60865035525308</v>
          </cell>
          <cell r="M30">
            <v>427.36061491444212</v>
          </cell>
          <cell r="N30">
            <v>342.66602884358502</v>
          </cell>
          <cell r="O30">
            <v>312.78517498482563</v>
          </cell>
          <cell r="P30">
            <v>254.12289331125638</v>
          </cell>
          <cell r="Q30">
            <v>163.73207222521597</v>
          </cell>
          <cell r="R30">
            <v>230.82349402625906</v>
          </cell>
          <cell r="S30">
            <v>287.53263385050872</v>
          </cell>
          <cell r="T30">
            <v>246.58506252930059</v>
          </cell>
          <cell r="U30">
            <v>290.19530255976991</v>
          </cell>
          <cell r="V30">
            <v>270.5276145093643</v>
          </cell>
          <cell r="W30">
            <v>250.9937644005395</v>
          </cell>
          <cell r="X30">
            <v>276.43199892711385</v>
          </cell>
          <cell r="Y30">
            <v>703.72963783177613</v>
          </cell>
          <cell r="Z30">
            <v>726.03432615812085</v>
          </cell>
          <cell r="AA30">
            <v>603.23895508853536</v>
          </cell>
          <cell r="AB30">
            <v>531.9594367724452</v>
          </cell>
          <cell r="AC30">
            <v>781.69551362141056</v>
          </cell>
          <cell r="AD30">
            <v>834.17503771591907</v>
          </cell>
          <cell r="AE30">
            <v>1027.1606190793605</v>
          </cell>
          <cell r="AF30">
            <v>1105.4774678753652</v>
          </cell>
          <cell r="AG30">
            <v>1608.9809223908489</v>
          </cell>
          <cell r="AH30">
            <v>4199.3132949120445</v>
          </cell>
          <cell r="AI30">
            <v>7877.8136564015695</v>
          </cell>
          <cell r="AJ30">
            <v>12337.809330743732</v>
          </cell>
          <cell r="AK30">
            <v>11392.972252124317</v>
          </cell>
          <cell r="AL30">
            <v>25061.735691440641</v>
          </cell>
          <cell r="AM30">
            <v>20651.943074257131</v>
          </cell>
          <cell r="AN30">
            <v>35414.459090178185</v>
          </cell>
          <cell r="AO30">
            <v>53140.124963518283</v>
          </cell>
          <cell r="AP30">
            <v>24422.484026266033</v>
          </cell>
          <cell r="AQ30">
            <v>38917.165156092655</v>
          </cell>
          <cell r="AR30">
            <v>56418.271835132487</v>
          </cell>
          <cell r="AS30">
            <v>62001.580230850843</v>
          </cell>
          <cell r="AT30">
            <v>55888.720739219709</v>
          </cell>
          <cell r="AU30">
            <v>81125.390036452009</v>
          </cell>
          <cell r="AV30">
            <v>71439.5361794848</v>
          </cell>
          <cell r="AW30">
            <v>120699.72290144555</v>
          </cell>
          <cell r="AX30">
            <v>106983.11128737261</v>
          </cell>
        </row>
        <row r="32">
          <cell r="A32" t="str">
            <v>Produtos acima não incluídos (inclui electricidade)</v>
          </cell>
          <cell r="C32">
            <v>33.015491018040059</v>
          </cell>
          <cell r="D32">
            <v>29.785735406159855</v>
          </cell>
          <cell r="E32">
            <v>39.015095024625936</v>
          </cell>
          <cell r="F32">
            <v>43.651037028694972</v>
          </cell>
          <cell r="G32">
            <v>44.214268378134797</v>
          </cell>
          <cell r="H32">
            <v>54.721415620299211</v>
          </cell>
          <cell r="I32">
            <v>47.327204481055524</v>
          </cell>
          <cell r="J32">
            <v>47.312405251873692</v>
          </cell>
          <cell r="K32">
            <v>54.233584043661132</v>
          </cell>
          <cell r="L32">
            <v>41.521822893250651</v>
          </cell>
          <cell r="M32">
            <v>36.016613288551255</v>
          </cell>
          <cell r="N32">
            <v>55.852676202583986</v>
          </cell>
          <cell r="O32">
            <v>67.690735074425319</v>
          </cell>
          <cell r="P32">
            <v>68.82393937446848</v>
          </cell>
          <cell r="Q32">
            <v>46.08935135785044</v>
          </cell>
          <cell r="R32">
            <v>93.761978671123302</v>
          </cell>
          <cell r="S32">
            <v>139.12435126071369</v>
          </cell>
          <cell r="T32">
            <v>154.74793892526981</v>
          </cell>
          <cell r="U32">
            <v>209.5950083097047</v>
          </cell>
          <cell r="V32">
            <v>262.72055609567633</v>
          </cell>
          <cell r="W32">
            <v>292.0459656494599</v>
          </cell>
          <cell r="X32">
            <v>345.42092023677912</v>
          </cell>
          <cell r="Y32">
            <v>375.81323864739949</v>
          </cell>
          <cell r="Z32">
            <v>350.47225910556585</v>
          </cell>
          <cell r="AA32">
            <v>261.97757230784885</v>
          </cell>
          <cell r="AB32">
            <v>335.34538233461825</v>
          </cell>
          <cell r="AC32">
            <v>229.067299142937</v>
          </cell>
          <cell r="AD32">
            <v>388.41514714896084</v>
          </cell>
          <cell r="AE32">
            <v>970.80372858110456</v>
          </cell>
          <cell r="AF32">
            <v>1126.6862207891263</v>
          </cell>
          <cell r="AG32">
            <v>2185.286391724816</v>
          </cell>
          <cell r="AH32">
            <v>2928.0938129658211</v>
          </cell>
          <cell r="AI32">
            <v>3175.3003524104006</v>
          </cell>
          <cell r="AJ32">
            <v>3451.4117431762784</v>
          </cell>
          <cell r="AK32">
            <v>6478.621527113809</v>
          </cell>
          <cell r="AL32">
            <v>12972.532570891386</v>
          </cell>
          <cell r="AM32">
            <v>9586.9151717706845</v>
          </cell>
          <cell r="AN32">
            <v>18319.003315843558</v>
          </cell>
          <cell r="AO32">
            <v>14273.347765407334</v>
          </cell>
          <cell r="AP32">
            <v>10353.692047987273</v>
          </cell>
          <cell r="AQ32">
            <v>9224.0973241595111</v>
          </cell>
          <cell r="AR32">
            <v>11237.189139321921</v>
          </cell>
          <cell r="AS32">
            <v>10488.803420336175</v>
          </cell>
          <cell r="AT32">
            <v>12991.747348858406</v>
          </cell>
          <cell r="AU32">
            <v>12856.940476601854</v>
          </cell>
          <cell r="AV32">
            <v>16320.716903745997</v>
          </cell>
          <cell r="AW32">
            <v>12994.934362100224</v>
          </cell>
          <cell r="AX32">
            <v>16281.65370319767</v>
          </cell>
        </row>
        <row r="34">
          <cell r="A34" t="str">
            <v>TOTAL</v>
          </cell>
          <cell r="C34">
            <v>4535.9524701303089</v>
          </cell>
          <cell r="D34">
            <v>4113.9693356677381</v>
          </cell>
          <cell r="E34">
            <v>5370.6710664231578</v>
          </cell>
          <cell r="F34">
            <v>6587.9150085517849</v>
          </cell>
          <cell r="G34">
            <v>6839.0425593964364</v>
          </cell>
          <cell r="H34">
            <v>6879.0723903030503</v>
          </cell>
          <cell r="I34">
            <v>7712.5126424757873</v>
          </cell>
          <cell r="J34">
            <v>8141.8019377379751</v>
          </cell>
          <cell r="K34">
            <v>8557.8060028332293</v>
          </cell>
          <cell r="L34">
            <v>8645.2856214010153</v>
          </cell>
          <cell r="M34">
            <v>8794.4913859039643</v>
          </cell>
          <cell r="N34">
            <v>8749.8745375215531</v>
          </cell>
          <cell r="O34">
            <v>9092.2606918873571</v>
          </cell>
          <cell r="P34">
            <v>9594.3799963421552</v>
          </cell>
          <cell r="Q34">
            <v>11241.634060639135</v>
          </cell>
          <cell r="R34">
            <v>11959.286772667809</v>
          </cell>
          <cell r="S34">
            <v>14581.748506318914</v>
          </cell>
          <cell r="T34">
            <v>16312.367318997271</v>
          </cell>
          <cell r="U34">
            <v>18059.407564489822</v>
          </cell>
          <cell r="V34">
            <v>20189.797984367611</v>
          </cell>
          <cell r="W34">
            <v>22428.255100469931</v>
          </cell>
          <cell r="X34">
            <v>24887.958404293233</v>
          </cell>
          <cell r="Y34">
            <v>26810.789638619786</v>
          </cell>
          <cell r="Z34">
            <v>28788.727687621031</v>
          </cell>
          <cell r="AA34">
            <v>33592.970370114737</v>
          </cell>
          <cell r="AB34">
            <v>40830.826211095831</v>
          </cell>
          <cell r="AC34">
            <v>43016.984104837524</v>
          </cell>
          <cell r="AD34">
            <v>48858.122364972216</v>
          </cell>
          <cell r="AE34">
            <v>51781.87792380419</v>
          </cell>
          <cell r="AF34">
            <v>57766.499966573007</v>
          </cell>
          <cell r="AG34">
            <v>87467.112311969831</v>
          </cell>
          <cell r="AH34">
            <v>138193.97855954539</v>
          </cell>
          <cell r="AI34">
            <v>190726.02620477532</v>
          </cell>
          <cell r="AJ34">
            <v>225687.80606107315</v>
          </cell>
          <cell r="AK34">
            <v>286992.84903325321</v>
          </cell>
          <cell r="AL34">
            <v>414424.18959570827</v>
          </cell>
          <cell r="AM34">
            <v>594795.28941842238</v>
          </cell>
          <cell r="AN34">
            <v>842262.27679700695</v>
          </cell>
          <cell r="AO34">
            <v>1047477.2750323714</v>
          </cell>
          <cell r="AP34">
            <v>1201481.7050679962</v>
          </cell>
          <cell r="AQ34">
            <v>1446992.1696437569</v>
          </cell>
          <cell r="AR34">
            <v>1900638.8522899121</v>
          </cell>
          <cell r="AS34">
            <v>2269640.2387908292</v>
          </cell>
          <cell r="AT34">
            <v>2371442.3022886598</v>
          </cell>
          <cell r="AU34">
            <v>2535832.1069973665</v>
          </cell>
          <cell r="AV34">
            <v>2518487.0683031497</v>
          </cell>
          <cell r="AW34">
            <v>2944292.2816872685</v>
          </cell>
          <cell r="AX34">
            <v>3479591.6832186533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IMPORTAÇÕES DE MERCADORIAS</v>
          </cell>
        </row>
        <row r="2">
          <cell r="A2" t="str">
            <v>Preços do ano anterior</v>
          </cell>
        </row>
        <row r="3">
          <cell r="A3" t="str">
            <v>Unidade: milhões de escudos</v>
          </cell>
        </row>
        <row r="5">
          <cell r="C5">
            <v>1948</v>
          </cell>
          <cell r="D5">
            <v>1949</v>
          </cell>
          <cell r="E5">
            <v>1950</v>
          </cell>
          <cell r="F5">
            <v>1951</v>
          </cell>
          <cell r="G5">
            <v>1952</v>
          </cell>
          <cell r="H5">
            <v>1953</v>
          </cell>
          <cell r="I5">
            <v>1954</v>
          </cell>
          <cell r="J5">
            <v>1955</v>
          </cell>
          <cell r="K5">
            <v>1956</v>
          </cell>
          <cell r="L5">
            <v>1957</v>
          </cell>
          <cell r="M5">
            <v>1958</v>
          </cell>
          <cell r="N5">
            <v>1959</v>
          </cell>
          <cell r="O5">
            <v>1960</v>
          </cell>
          <cell r="P5">
            <v>1961</v>
          </cell>
          <cell r="Q5">
            <v>1962</v>
          </cell>
          <cell r="R5">
            <v>1963</v>
          </cell>
          <cell r="S5">
            <v>1964</v>
          </cell>
          <cell r="T5">
            <v>1965</v>
          </cell>
          <cell r="U5">
            <v>1966</v>
          </cell>
          <cell r="V5">
            <v>1967</v>
          </cell>
          <cell r="W5">
            <v>1968</v>
          </cell>
          <cell r="X5">
            <v>1969</v>
          </cell>
          <cell r="Y5">
            <v>1970</v>
          </cell>
          <cell r="Z5">
            <v>1971</v>
          </cell>
          <cell r="AA5">
            <v>1972</v>
          </cell>
          <cell r="AB5">
            <v>1973</v>
          </cell>
          <cell r="AC5">
            <v>1974</v>
          </cell>
          <cell r="AD5">
            <v>1975</v>
          </cell>
          <cell r="AE5">
            <v>1976</v>
          </cell>
          <cell r="AF5">
            <v>1977</v>
          </cell>
          <cell r="AG5">
            <v>1978</v>
          </cell>
          <cell r="AH5">
            <v>1979</v>
          </cell>
          <cell r="AI5">
            <v>1980</v>
          </cell>
          <cell r="AJ5">
            <v>1981</v>
          </cell>
          <cell r="AK5">
            <v>1982</v>
          </cell>
          <cell r="AL5">
            <v>1983</v>
          </cell>
          <cell r="AM5">
            <v>1984</v>
          </cell>
          <cell r="AN5">
            <v>1985</v>
          </cell>
          <cell r="AO5">
            <v>1986</v>
          </cell>
          <cell r="AP5">
            <v>1987</v>
          </cell>
          <cell r="AQ5">
            <v>1988</v>
          </cell>
          <cell r="AR5">
            <v>1989</v>
          </cell>
          <cell r="AS5">
            <v>1990</v>
          </cell>
          <cell r="AT5">
            <v>1991</v>
          </cell>
          <cell r="AU5">
            <v>1992</v>
          </cell>
          <cell r="AV5">
            <v>1993</v>
          </cell>
          <cell r="AW5">
            <v>1994</v>
          </cell>
          <cell r="AX5">
            <v>1995</v>
          </cell>
        </row>
        <row r="7">
          <cell r="A7" t="str">
            <v>Bens de Consumo</v>
          </cell>
          <cell r="C7">
            <v>1421.8168637666608</v>
          </cell>
          <cell r="D7">
            <v>1230.0600055423422</v>
          </cell>
          <cell r="E7">
            <v>1231.0132174333739</v>
          </cell>
          <cell r="F7">
            <v>1166.8600249992189</v>
          </cell>
          <cell r="G7">
            <v>965.93710156159807</v>
          </cell>
          <cell r="H7">
            <v>1090.99575941392</v>
          </cell>
          <cell r="I7">
            <v>1233.4344954329511</v>
          </cell>
          <cell r="J7">
            <v>1393.8309948116571</v>
          </cell>
          <cell r="K7">
            <v>2010.4846647111276</v>
          </cell>
          <cell r="L7">
            <v>1853.7033381594842</v>
          </cell>
          <cell r="M7">
            <v>1959.7357737795201</v>
          </cell>
          <cell r="N7">
            <v>2220.1896902000353</v>
          </cell>
          <cell r="O7">
            <v>2386.1114884170329</v>
          </cell>
          <cell r="P7">
            <v>2699.8072242035651</v>
          </cell>
          <cell r="Q7">
            <v>2118.7222720889768</v>
          </cell>
          <cell r="R7">
            <v>2600.2374904929966</v>
          </cell>
          <cell r="S7">
            <v>2896.3613997289535</v>
          </cell>
          <cell r="T7">
            <v>4183.9413667893514</v>
          </cell>
          <cell r="U7">
            <v>4459.7088821032012</v>
          </cell>
          <cell r="V7">
            <v>6027.4444628185283</v>
          </cell>
          <cell r="W7">
            <v>6129.4319915913638</v>
          </cell>
          <cell r="X7">
            <v>6184.2463057740397</v>
          </cell>
          <cell r="Y7">
            <v>7140.394618667292</v>
          </cell>
          <cell r="Z7">
            <v>9347.1220473716367</v>
          </cell>
          <cell r="AA7">
            <v>11930.226175565613</v>
          </cell>
          <cell r="AB7">
            <v>13007.705656025646</v>
          </cell>
          <cell r="AC7">
            <v>17501.85140254939</v>
          </cell>
          <cell r="AD7">
            <v>15380.850610853016</v>
          </cell>
          <cell r="AE7">
            <v>17310.155561548774</v>
          </cell>
          <cell r="AF7">
            <v>16080.13732244639</v>
          </cell>
          <cell r="AG7">
            <v>16203.320889617422</v>
          </cell>
          <cell r="AH7">
            <v>24293.611002315058</v>
          </cell>
          <cell r="AI7">
            <v>31902.801349062032</v>
          </cell>
          <cell r="AJ7">
            <v>48089.436375066129</v>
          </cell>
          <cell r="AK7">
            <v>68634.65161268595</v>
          </cell>
          <cell r="AL7">
            <v>71837.727130037601</v>
          </cell>
          <cell r="AM7">
            <v>91707.185344809026</v>
          </cell>
          <cell r="AN7">
            <v>140514.96692682401</v>
          </cell>
          <cell r="AO7">
            <v>184666.53821839066</v>
          </cell>
          <cell r="AP7">
            <v>317592.35920188361</v>
          </cell>
          <cell r="AQ7">
            <v>497921.028405349</v>
          </cell>
          <cell r="AR7">
            <v>562628.73856234085</v>
          </cell>
          <cell r="AS7">
            <v>746018.01669261616</v>
          </cell>
          <cell r="AT7">
            <v>961527.91714316397</v>
          </cell>
          <cell r="AU7">
            <v>1180364.5072495225</v>
          </cell>
          <cell r="AV7">
            <v>1242536.8022264417</v>
          </cell>
          <cell r="AW7">
            <v>1343522.6798217988</v>
          </cell>
          <cell r="AX7">
            <v>1455313.9011575386</v>
          </cell>
        </row>
        <row r="8">
          <cell r="A8" t="str">
            <v xml:space="preserve">  Bens não duradouros</v>
          </cell>
          <cell r="C8">
            <v>815.66702059144575</v>
          </cell>
          <cell r="D8">
            <v>890.48749182854419</v>
          </cell>
          <cell r="E8">
            <v>832.69571456755841</v>
          </cell>
          <cell r="F8">
            <v>783.38081514009343</v>
          </cell>
          <cell r="G8">
            <v>532.99850766890336</v>
          </cell>
          <cell r="H8">
            <v>596.98177692369768</v>
          </cell>
          <cell r="I8">
            <v>598.46053828852848</v>
          </cell>
          <cell r="J8">
            <v>638.07652028102507</v>
          </cell>
          <cell r="K8">
            <v>1207.4927272726245</v>
          </cell>
          <cell r="L8">
            <v>989.77921791899166</v>
          </cell>
          <cell r="M8">
            <v>953.66580812991037</v>
          </cell>
          <cell r="N8">
            <v>1054.5607878299884</v>
          </cell>
          <cell r="O8">
            <v>1302.2491471754845</v>
          </cell>
          <cell r="P8">
            <v>1464.3537296450781</v>
          </cell>
          <cell r="Q8">
            <v>1135.100913842221</v>
          </cell>
          <cell r="R8">
            <v>1473.2911976728635</v>
          </cell>
          <cell r="S8">
            <v>1710.7869116169909</v>
          </cell>
          <cell r="T8">
            <v>2362.8119907482956</v>
          </cell>
          <cell r="U8">
            <v>2440.7644037697737</v>
          </cell>
          <cell r="V8">
            <v>3643.4913067141097</v>
          </cell>
          <cell r="W8">
            <v>3517.7264618076483</v>
          </cell>
          <cell r="X8">
            <v>3169.1337879058174</v>
          </cell>
          <cell r="Y8">
            <v>3627.9068237970409</v>
          </cell>
          <cell r="Z8">
            <v>5370.1534463401476</v>
          </cell>
          <cell r="AA8">
            <v>7174.2435735172594</v>
          </cell>
          <cell r="AB8">
            <v>7877.700501319493</v>
          </cell>
          <cell r="AC8">
            <v>10921.521543550865</v>
          </cell>
          <cell r="AD8">
            <v>10324.925047383478</v>
          </cell>
          <cell r="AE8">
            <v>11584.603740807728</v>
          </cell>
          <cell r="AF8">
            <v>12374.84744051547</v>
          </cell>
          <cell r="AG8">
            <v>11163.087218007746</v>
          </cell>
          <cell r="AH8">
            <v>15705.889035893075</v>
          </cell>
          <cell r="AI8">
            <v>18703.840271900255</v>
          </cell>
          <cell r="AJ8">
            <v>25702.731544312941</v>
          </cell>
          <cell r="AK8">
            <v>39692.205119849983</v>
          </cell>
          <cell r="AL8">
            <v>39275.780345087594</v>
          </cell>
          <cell r="AM8">
            <v>50007.308011425936</v>
          </cell>
          <cell r="AN8">
            <v>77658.021702980361</v>
          </cell>
          <cell r="AO8">
            <v>110951.94219238353</v>
          </cell>
          <cell r="AP8">
            <v>189461.55688644471</v>
          </cell>
          <cell r="AQ8">
            <v>274846.59784517536</v>
          </cell>
          <cell r="AR8">
            <v>321488.63627254544</v>
          </cell>
          <cell r="AS8">
            <v>427260.11551270919</v>
          </cell>
          <cell r="AT8">
            <v>567189.0706172944</v>
          </cell>
          <cell r="AU8">
            <v>684620.89186945406</v>
          </cell>
          <cell r="AV8">
            <v>756607.80610020331</v>
          </cell>
          <cell r="AW8">
            <v>846607.34772235225</v>
          </cell>
          <cell r="AX8">
            <v>949041.08593140612</v>
          </cell>
        </row>
        <row r="9">
          <cell r="A9" t="str">
            <v xml:space="preserve">    Alimentação, bebidas e tabaco</v>
          </cell>
          <cell r="C9">
            <v>608.38020498263427</v>
          </cell>
          <cell r="D9">
            <v>660.38663107846912</v>
          </cell>
          <cell r="E9">
            <v>602.33564880535073</v>
          </cell>
          <cell r="F9">
            <v>544.72916578993647</v>
          </cell>
          <cell r="G9">
            <v>265.95490176616448</v>
          </cell>
          <cell r="H9">
            <v>324.26625111651327</v>
          </cell>
          <cell r="I9">
            <v>251.09396956770999</v>
          </cell>
          <cell r="J9">
            <v>304.86586955041582</v>
          </cell>
          <cell r="K9">
            <v>815.79683611755183</v>
          </cell>
          <cell r="L9">
            <v>559.50035587378773</v>
          </cell>
          <cell r="M9">
            <v>489.6819912497067</v>
          </cell>
          <cell r="N9">
            <v>544.88814645789716</v>
          </cell>
          <cell r="O9">
            <v>704.00972095737143</v>
          </cell>
          <cell r="P9">
            <v>820.58350391746046</v>
          </cell>
          <cell r="Q9">
            <v>517.05718647531899</v>
          </cell>
          <cell r="R9">
            <v>796.4579371280754</v>
          </cell>
          <cell r="S9">
            <v>911.57032543434229</v>
          </cell>
          <cell r="T9">
            <v>1340.2910808052241</v>
          </cell>
          <cell r="U9">
            <v>1253.5255567246272</v>
          </cell>
          <cell r="V9">
            <v>2175.9627409252125</v>
          </cell>
          <cell r="W9">
            <v>1536.1463011163423</v>
          </cell>
          <cell r="X9">
            <v>1348.9350565581833</v>
          </cell>
          <cell r="Y9">
            <v>1780.9461804739769</v>
          </cell>
          <cell r="Z9">
            <v>2813.5673620474663</v>
          </cell>
          <cell r="AA9">
            <v>4329.7230727445676</v>
          </cell>
          <cell r="AB9">
            <v>4000.1708389635619</v>
          </cell>
          <cell r="AC9">
            <v>6092.9201745679302</v>
          </cell>
          <cell r="AD9">
            <v>6150.6562712372934</v>
          </cell>
          <cell r="AE9">
            <v>7340.5657679115002</v>
          </cell>
          <cell r="AF9">
            <v>7402.4068534517337</v>
          </cell>
          <cell r="AG9">
            <v>6448.6817092064257</v>
          </cell>
          <cell r="AH9">
            <v>7349.7861823278281</v>
          </cell>
          <cell r="AI9">
            <v>7825.8075688346908</v>
          </cell>
          <cell r="AJ9">
            <v>10859.731942035827</v>
          </cell>
          <cell r="AK9">
            <v>23144.149085739002</v>
          </cell>
          <cell r="AL9">
            <v>20917.609982137266</v>
          </cell>
          <cell r="AM9">
            <v>25230.90453306177</v>
          </cell>
          <cell r="AN9">
            <v>46823.420408544429</v>
          </cell>
          <cell r="AO9">
            <v>52954.279289190119</v>
          </cell>
          <cell r="AP9">
            <v>96157.358240735412</v>
          </cell>
          <cell r="AQ9">
            <v>140404.45843694254</v>
          </cell>
          <cell r="AR9">
            <v>158731.53883113858</v>
          </cell>
          <cell r="AS9">
            <v>195740.9850216952</v>
          </cell>
          <cell r="AT9">
            <v>250442.0842856114</v>
          </cell>
          <cell r="AU9">
            <v>292627.91144909756</v>
          </cell>
          <cell r="AV9">
            <v>326568.61404721747</v>
          </cell>
          <cell r="AW9">
            <v>395213.22328621091</v>
          </cell>
          <cell r="AX9">
            <v>439873.19867548195</v>
          </cell>
        </row>
        <row r="10">
          <cell r="A10" t="str">
            <v xml:space="preserve">      Alimentação</v>
          </cell>
          <cell r="C10">
            <v>593.8058589623455</v>
          </cell>
          <cell r="D10">
            <v>650.42484740777252</v>
          </cell>
          <cell r="E10">
            <v>589.8891834642219</v>
          </cell>
          <cell r="F10">
            <v>536.30867968047176</v>
          </cell>
          <cell r="G10">
            <v>255.52120088862534</v>
          </cell>
          <cell r="H10">
            <v>293.66220148642662</v>
          </cell>
          <cell r="I10">
            <v>239.59762581682568</v>
          </cell>
          <cell r="J10">
            <v>288.70771440141056</v>
          </cell>
          <cell r="K10">
            <v>802.36819665647579</v>
          </cell>
          <cell r="L10">
            <v>544.13184118255253</v>
          </cell>
          <cell r="M10">
            <v>473.67196927510605</v>
          </cell>
          <cell r="N10">
            <v>528.09908661268355</v>
          </cell>
          <cell r="O10">
            <v>678.25234123716109</v>
          </cell>
          <cell r="P10">
            <v>791.72081085704724</v>
          </cell>
          <cell r="Q10">
            <v>490.2783791041216</v>
          </cell>
          <cell r="R10">
            <v>772.9698548366905</v>
          </cell>
          <cell r="S10">
            <v>879.24201608506496</v>
          </cell>
          <cell r="T10">
            <v>1303.1485179376805</v>
          </cell>
          <cell r="U10">
            <v>1207.0303990680734</v>
          </cell>
          <cell r="V10">
            <v>2125.8846726542483</v>
          </cell>
          <cell r="W10">
            <v>1479.5127212505101</v>
          </cell>
          <cell r="X10">
            <v>1292.285976111838</v>
          </cell>
          <cell r="Y10">
            <v>1709.1342866614918</v>
          </cell>
          <cell r="Z10">
            <v>2731.6598000295498</v>
          </cell>
          <cell r="AA10">
            <v>4247.8850283272623</v>
          </cell>
          <cell r="AB10">
            <v>3654.8462196018245</v>
          </cell>
          <cell r="AC10">
            <v>5635.2382400589559</v>
          </cell>
          <cell r="AD10">
            <v>6054.0755042857127</v>
          </cell>
          <cell r="AE10">
            <v>7238.7741554373688</v>
          </cell>
          <cell r="AF10">
            <v>7228.3536184980176</v>
          </cell>
          <cell r="AG10">
            <v>5564.5813628146079</v>
          </cell>
          <cell r="AH10">
            <v>6101.8269510882274</v>
          </cell>
          <cell r="AI10">
            <v>7445.2184911962804</v>
          </cell>
          <cell r="AJ10">
            <v>10037.236709377066</v>
          </cell>
          <cell r="AK10">
            <v>21573.091481698317</v>
          </cell>
          <cell r="AL10">
            <v>20252.705704352073</v>
          </cell>
          <cell r="AM10">
            <v>24428.752214285261</v>
          </cell>
          <cell r="AN10">
            <v>45781.927719507818</v>
          </cell>
          <cell r="AO10">
            <v>50488.08085428601</v>
          </cell>
          <cell r="AP10">
            <v>90383.116615611056</v>
          </cell>
          <cell r="AQ10">
            <v>131547.87350597611</v>
          </cell>
          <cell r="AR10">
            <v>135561.2140871177</v>
          </cell>
          <cell r="AS10">
            <v>177953.78201486199</v>
          </cell>
          <cell r="AT10">
            <v>230422.81302325582</v>
          </cell>
          <cell r="AU10">
            <v>266985.16559139785</v>
          </cell>
          <cell r="AV10">
            <v>296693.351952861</v>
          </cell>
          <cell r="AW10">
            <v>348285.53121336171</v>
          </cell>
          <cell r="AX10">
            <v>394658.62055951165</v>
          </cell>
        </row>
        <row r="11">
          <cell r="A11" t="str">
            <v xml:space="preserve">      Bebidas</v>
          </cell>
          <cell r="C11">
            <v>5.7756163093725927</v>
          </cell>
          <cell r="D11">
            <v>6.2258351699014636</v>
          </cell>
          <cell r="E11">
            <v>3.8439640581255725</v>
          </cell>
          <cell r="F11">
            <v>3.8159809568702765</v>
          </cell>
          <cell r="G11">
            <v>4.2625403171839924</v>
          </cell>
          <cell r="H11">
            <v>23.727281626070553</v>
          </cell>
          <cell r="I11">
            <v>5.7153167555792104</v>
          </cell>
          <cell r="J11">
            <v>8.5690782938276033</v>
          </cell>
          <cell r="K11">
            <v>5.7298829648735685</v>
          </cell>
          <cell r="L11">
            <v>6.6391902678898074</v>
          </cell>
          <cell r="M11">
            <v>7.5745905352045684</v>
          </cell>
          <cell r="N11">
            <v>8.6813881004948872</v>
          </cell>
          <cell r="O11">
            <v>14.568076832149018</v>
          </cell>
          <cell r="P11">
            <v>16.308135934741006</v>
          </cell>
          <cell r="Q11">
            <v>13.137585125058376</v>
          </cell>
          <cell r="R11">
            <v>11.567957662416189</v>
          </cell>
          <cell r="S11">
            <v>16.027255870975889</v>
          </cell>
          <cell r="T11">
            <v>19.139833270094755</v>
          </cell>
          <cell r="U11">
            <v>22.975873748632171</v>
          </cell>
          <cell r="V11">
            <v>27.14705597841348</v>
          </cell>
          <cell r="W11">
            <v>34.860704137994006</v>
          </cell>
          <cell r="X11">
            <v>36.451630581350997</v>
          </cell>
          <cell r="Y11">
            <v>45.506363142263893</v>
          </cell>
          <cell r="Z11">
            <v>59.788428308762406</v>
          </cell>
          <cell r="AA11">
            <v>52.803052295162004</v>
          </cell>
          <cell r="AB11">
            <v>309.89255604108126</v>
          </cell>
          <cell r="AC11">
            <v>423.06488756395777</v>
          </cell>
          <cell r="AD11">
            <v>66.841315859921082</v>
          </cell>
          <cell r="AE11">
            <v>81.817347024693717</v>
          </cell>
          <cell r="AF11">
            <v>160.73510172390186</v>
          </cell>
          <cell r="AG11">
            <v>864.37801890116282</v>
          </cell>
          <cell r="AH11">
            <v>1223.4577538719177</v>
          </cell>
          <cell r="AI11">
            <v>345.65998639606568</v>
          </cell>
          <cell r="AJ11">
            <v>781.99335434408795</v>
          </cell>
          <cell r="AK11">
            <v>1438.914769880904</v>
          </cell>
          <cell r="AL11">
            <v>634.08802928342743</v>
          </cell>
          <cell r="AM11">
            <v>774.56542950633639</v>
          </cell>
          <cell r="AN11">
            <v>1005.5875185061108</v>
          </cell>
          <cell r="AO11">
            <v>2366.7223033917849</v>
          </cell>
          <cell r="AP11">
            <v>5618.7047114862007</v>
          </cell>
          <cell r="AQ11">
            <v>8714.08</v>
          </cell>
          <cell r="AR11">
            <v>22943.751879699244</v>
          </cell>
          <cell r="AS11">
            <v>17534.109048350445</v>
          </cell>
          <cell r="AT11">
            <v>19109.684403669722</v>
          </cell>
          <cell r="AU11">
            <v>23495.880116959066</v>
          </cell>
          <cell r="AV11">
            <v>26290.852390852393</v>
          </cell>
          <cell r="AW11">
            <v>40658.734879032265</v>
          </cell>
          <cell r="AX11">
            <v>37670.799231508165</v>
          </cell>
        </row>
        <row r="12">
          <cell r="A12" t="str">
            <v xml:space="preserve">      Tabaco</v>
          </cell>
          <cell r="C12">
            <v>8.7987297109162501</v>
          </cell>
          <cell r="D12">
            <v>3.7359485007951507</v>
          </cell>
          <cell r="E12">
            <v>8.6025012830033294</v>
          </cell>
          <cell r="F12">
            <v>4.6045051525944212</v>
          </cell>
          <cell r="G12">
            <v>6.1711605603551156</v>
          </cell>
          <cell r="H12">
            <v>6.8767680040160419</v>
          </cell>
          <cell r="I12">
            <v>5.7810269953050479</v>
          </cell>
          <cell r="J12">
            <v>7.5890768551776864</v>
          </cell>
          <cell r="K12">
            <v>7.6987564962025345</v>
          </cell>
          <cell r="L12">
            <v>8.72932442334562</v>
          </cell>
          <cell r="M12">
            <v>8.4354314393960905</v>
          </cell>
          <cell r="N12">
            <v>8.1076717447186155</v>
          </cell>
          <cell r="O12">
            <v>11.189302888061309</v>
          </cell>
          <cell r="P12">
            <v>12.554557125672186</v>
          </cell>
          <cell r="Q12">
            <v>13.641222246139099</v>
          </cell>
          <cell r="R12">
            <v>11.920124628968678</v>
          </cell>
          <cell r="S12">
            <v>16.301053478301483</v>
          </cell>
          <cell r="T12">
            <v>18.002729597448798</v>
          </cell>
          <cell r="U12">
            <v>23.51928390792164</v>
          </cell>
          <cell r="V12">
            <v>22.931012292550406</v>
          </cell>
          <cell r="W12">
            <v>21.772875727838198</v>
          </cell>
          <cell r="X12">
            <v>20.197449864994486</v>
          </cell>
          <cell r="Y12">
            <v>26.305530670221597</v>
          </cell>
          <cell r="Z12">
            <v>22.11913370915439</v>
          </cell>
          <cell r="AA12">
            <v>29.034992122144164</v>
          </cell>
          <cell r="AB12">
            <v>35.43206332065531</v>
          </cell>
          <cell r="AC12">
            <v>34.61704694501644</v>
          </cell>
          <cell r="AD12">
            <v>29.739451091660161</v>
          </cell>
          <cell r="AE12">
            <v>19.974265449438207</v>
          </cell>
          <cell r="AF12">
            <v>13.318133229813666</v>
          </cell>
          <cell r="AG12">
            <v>19.722327490653953</v>
          </cell>
          <cell r="AH12">
            <v>24.501477367682732</v>
          </cell>
          <cell r="AI12">
            <v>34.929091242343567</v>
          </cell>
          <cell r="AJ12">
            <v>40.501878314673206</v>
          </cell>
          <cell r="AK12">
            <v>132.14283415977937</v>
          </cell>
          <cell r="AL12">
            <v>30.816248501769113</v>
          </cell>
          <cell r="AM12">
            <v>27.586889270170644</v>
          </cell>
          <cell r="AN12">
            <v>35.905170530498559</v>
          </cell>
          <cell r="AO12">
            <v>99.476131512323988</v>
          </cell>
          <cell r="AP12">
            <v>155.53691363815688</v>
          </cell>
          <cell r="AQ12">
            <v>142.50493096646943</v>
          </cell>
          <cell r="AR12">
            <v>226.57286432160805</v>
          </cell>
          <cell r="AS12">
            <v>253.09395848279328</v>
          </cell>
          <cell r="AT12">
            <v>909.58685868586861</v>
          </cell>
          <cell r="AU12">
            <v>2146.8657407407409</v>
          </cell>
          <cell r="AV12">
            <v>3584.4097035040431</v>
          </cell>
          <cell r="AW12">
            <v>6268.9571938168847</v>
          </cell>
          <cell r="AX12">
            <v>7543.7788844621518</v>
          </cell>
        </row>
        <row r="13">
          <cell r="A13" t="str">
            <v xml:space="preserve">    Vestuário e calçado</v>
          </cell>
          <cell r="C13">
            <v>24.812591230558834</v>
          </cell>
          <cell r="D13">
            <v>15.977359342950358</v>
          </cell>
          <cell r="E13">
            <v>6.8698484425500208</v>
          </cell>
          <cell r="F13">
            <v>14.817017711567233</v>
          </cell>
          <cell r="G13">
            <v>23.477527475985418</v>
          </cell>
          <cell r="H13">
            <v>25.312082038647443</v>
          </cell>
          <cell r="I13">
            <v>29.151553763426911</v>
          </cell>
          <cell r="J13">
            <v>34.717395587248852</v>
          </cell>
          <cell r="K13">
            <v>27.476011176059366</v>
          </cell>
          <cell r="L13">
            <v>27.521323667695764</v>
          </cell>
          <cell r="M13">
            <v>30.763226228333021</v>
          </cell>
          <cell r="N13">
            <v>32.034908356820509</v>
          </cell>
          <cell r="O13">
            <v>22.725102389611195</v>
          </cell>
          <cell r="P13">
            <v>31.383847856669213</v>
          </cell>
          <cell r="Q13">
            <v>21.718324618951304</v>
          </cell>
          <cell r="R13">
            <v>21.26391137821096</v>
          </cell>
          <cell r="S13">
            <v>38.055109095119164</v>
          </cell>
          <cell r="T13">
            <v>82.382992838527286</v>
          </cell>
          <cell r="U13">
            <v>83.808151384030836</v>
          </cell>
          <cell r="V13">
            <v>107.94275145210919</v>
          </cell>
          <cell r="W13">
            <v>139.97516255185079</v>
          </cell>
          <cell r="X13">
            <v>133.86372631970619</v>
          </cell>
          <cell r="Y13">
            <v>289.25771324934158</v>
          </cell>
          <cell r="Z13">
            <v>371.87600626124186</v>
          </cell>
          <cell r="AA13">
            <v>358.20196107773012</v>
          </cell>
          <cell r="AB13">
            <v>632.14096718409644</v>
          </cell>
          <cell r="AC13">
            <v>976.34468868900058</v>
          </cell>
          <cell r="AD13">
            <v>637.94677742248518</v>
          </cell>
          <cell r="AE13">
            <v>582.35952722159527</v>
          </cell>
          <cell r="AF13">
            <v>343.05446462563708</v>
          </cell>
          <cell r="AG13">
            <v>285.67295363192159</v>
          </cell>
          <cell r="AH13">
            <v>362.90797693812328</v>
          </cell>
          <cell r="AI13">
            <v>642.49754124758965</v>
          </cell>
          <cell r="AJ13">
            <v>1191.221306844398</v>
          </cell>
          <cell r="AK13">
            <v>2334.5672987869721</v>
          </cell>
          <cell r="AL13">
            <v>2344.5583551922737</v>
          </cell>
          <cell r="AM13">
            <v>2117.0774326070273</v>
          </cell>
          <cell r="AN13">
            <v>3610.1347655404788</v>
          </cell>
          <cell r="AO13">
            <v>11926.480702549614</v>
          </cell>
          <cell r="AP13">
            <v>23712.102510182227</v>
          </cell>
          <cell r="AQ13">
            <v>37373.349225364691</v>
          </cell>
          <cell r="AR13">
            <v>51635.716802309107</v>
          </cell>
          <cell r="AS13">
            <v>76434.733515583066</v>
          </cell>
          <cell r="AT13">
            <v>109370.61956369913</v>
          </cell>
          <cell r="AU13">
            <v>138694.68031758157</v>
          </cell>
          <cell r="AV13">
            <v>140840.76388017696</v>
          </cell>
          <cell r="AW13">
            <v>154288.23134941797</v>
          </cell>
          <cell r="AX13">
            <v>177203.0354035151</v>
          </cell>
        </row>
        <row r="14">
          <cell r="A14" t="str">
            <v xml:space="preserve">      Vestuário e acessórios</v>
          </cell>
          <cell r="C14">
            <v>23.231702398181252</v>
          </cell>
          <cell r="D14">
            <v>15.145621541398656</v>
          </cell>
          <cell r="E14">
            <v>6.800719264364548</v>
          </cell>
          <cell r="F14">
            <v>14.513661127937338</v>
          </cell>
          <cell r="G14">
            <v>21.547209134607627</v>
          </cell>
          <cell r="H14">
            <v>24.278728723479411</v>
          </cell>
          <cell r="I14">
            <v>28.047548012486853</v>
          </cell>
          <cell r="J14">
            <v>33.021729511167564</v>
          </cell>
          <cell r="K14">
            <v>25.677658645036328</v>
          </cell>
          <cell r="L14">
            <v>25.589944967496884</v>
          </cell>
          <cell r="M14">
            <v>29.448012834921499</v>
          </cell>
          <cell r="N14">
            <v>30.296889514853817</v>
          </cell>
          <cell r="O14">
            <v>20.352109495311389</v>
          </cell>
          <cell r="P14">
            <v>25.868535897181921</v>
          </cell>
          <cell r="Q14">
            <v>17.569998796315037</v>
          </cell>
          <cell r="R14">
            <v>18.265904499276733</v>
          </cell>
          <cell r="S14">
            <v>31.186657512381874</v>
          </cell>
          <cell r="T14">
            <v>72.403419838161483</v>
          </cell>
          <cell r="U14">
            <v>75.360227935957425</v>
          </cell>
          <cell r="V14">
            <v>95.511002971074006</v>
          </cell>
          <cell r="W14">
            <v>120.01316891643248</v>
          </cell>
          <cell r="X14">
            <v>107.91984318744896</v>
          </cell>
          <cell r="Y14">
            <v>247.42682272377422</v>
          </cell>
          <cell r="Z14">
            <v>336.51680252250787</v>
          </cell>
          <cell r="AA14">
            <v>327.86587887523177</v>
          </cell>
          <cell r="AB14">
            <v>580.88980567565045</v>
          </cell>
          <cell r="AC14">
            <v>845.25953523364944</v>
          </cell>
          <cell r="AD14">
            <v>515.20465928430019</v>
          </cell>
          <cell r="AE14">
            <v>511.33560497368723</v>
          </cell>
          <cell r="AF14">
            <v>291.06670453378553</v>
          </cell>
          <cell r="AG14">
            <v>266.69814544639723</v>
          </cell>
          <cell r="AH14">
            <v>315.32531695150925</v>
          </cell>
          <cell r="AI14">
            <v>578.88073646058353</v>
          </cell>
          <cell r="AJ14">
            <v>996.19421800232294</v>
          </cell>
          <cell r="AK14">
            <v>1999.6462989575955</v>
          </cell>
          <cell r="AL14">
            <v>1911.6285061365372</v>
          </cell>
          <cell r="AM14">
            <v>1609.3060492810223</v>
          </cell>
          <cell r="AN14">
            <v>2403.3028811233648</v>
          </cell>
          <cell r="AO14">
            <v>8804.0002763127577</v>
          </cell>
          <cell r="AP14">
            <v>15739.065239175799</v>
          </cell>
          <cell r="AQ14">
            <v>25906.838178294573</v>
          </cell>
          <cell r="AR14">
            <v>37538.620857699803</v>
          </cell>
          <cell r="AS14">
            <v>54988.52130682212</v>
          </cell>
          <cell r="AT14">
            <v>85141.473029045635</v>
          </cell>
          <cell r="AU14">
            <v>110219.99358288769</v>
          </cell>
          <cell r="AV14">
            <v>107428.1475409836</v>
          </cell>
          <cell r="AW14">
            <v>115920.68491735538</v>
          </cell>
          <cell r="AX14">
            <v>130299.4984260231</v>
          </cell>
        </row>
        <row r="15">
          <cell r="A15" t="str">
            <v xml:space="preserve">      Calçado</v>
          </cell>
          <cell r="C15">
            <v>1.5808888323775856</v>
          </cell>
          <cell r="D15">
            <v>0.83173780155170307</v>
          </cell>
          <cell r="E15">
            <v>6.9129178185473733E-2</v>
          </cell>
          <cell r="F15">
            <v>0.30335658362989326</v>
          </cell>
          <cell r="G15">
            <v>1.9303183413777973</v>
          </cell>
          <cell r="H15">
            <v>1.0333533151680292</v>
          </cell>
          <cell r="I15">
            <v>1.1040057509400574</v>
          </cell>
          <cell r="J15">
            <v>1.6956660760812927</v>
          </cell>
          <cell r="K15">
            <v>1.7983525310230346</v>
          </cell>
          <cell r="L15">
            <v>1.9313787001988836</v>
          </cell>
          <cell r="M15">
            <v>1.3152133934115211</v>
          </cell>
          <cell r="N15">
            <v>1.7380188419666944</v>
          </cell>
          <cell r="O15">
            <v>2.3729928942998084</v>
          </cell>
          <cell r="P15">
            <v>5.5153119594872848</v>
          </cell>
          <cell r="Q15">
            <v>4.1483258226362674</v>
          </cell>
          <cell r="R15">
            <v>2.9980068789342296</v>
          </cell>
          <cell r="S15">
            <v>6.8684515827372987</v>
          </cell>
          <cell r="T15">
            <v>9.9795730003657948</v>
          </cell>
          <cell r="U15">
            <v>8.4479234480734107</v>
          </cell>
          <cell r="V15">
            <v>12.431748481035182</v>
          </cell>
          <cell r="W15">
            <v>19.961993635418288</v>
          </cell>
          <cell r="X15">
            <v>25.943883132257248</v>
          </cell>
          <cell r="Y15">
            <v>41.830890525567334</v>
          </cell>
          <cell r="Z15">
            <v>35.35920373873406</v>
          </cell>
          <cell r="AA15">
            <v>30.336082202498282</v>
          </cell>
          <cell r="AB15">
            <v>51.251161508446067</v>
          </cell>
          <cell r="AC15">
            <v>131.08515345535096</v>
          </cell>
          <cell r="AD15">
            <v>122.74211813818498</v>
          </cell>
          <cell r="AE15">
            <v>71.023922247908075</v>
          </cell>
          <cell r="AF15">
            <v>51.987760091851577</v>
          </cell>
          <cell r="AG15">
            <v>18.974808185524363</v>
          </cell>
          <cell r="AH15">
            <v>47.582659986614061</v>
          </cell>
          <cell r="AI15">
            <v>63.616804787006132</v>
          </cell>
          <cell r="AJ15">
            <v>195.02708884207505</v>
          </cell>
          <cell r="AK15">
            <v>334.9209998293768</v>
          </cell>
          <cell r="AL15">
            <v>432.92984905573644</v>
          </cell>
          <cell r="AM15">
            <v>507.77138332600521</v>
          </cell>
          <cell r="AN15">
            <v>1206.8318844171135</v>
          </cell>
          <cell r="AO15">
            <v>3122.4804262368566</v>
          </cell>
          <cell r="AP15">
            <v>7973.0372710064275</v>
          </cell>
          <cell r="AQ15">
            <v>11466.511047070126</v>
          </cell>
          <cell r="AR15">
            <v>14097.0959446093</v>
          </cell>
          <cell r="AS15">
            <v>21446.212208760935</v>
          </cell>
          <cell r="AT15">
            <v>24229.146534653468</v>
          </cell>
          <cell r="AU15">
            <v>28474.686734693878</v>
          </cell>
          <cell r="AV15">
            <v>33412.616339193381</v>
          </cell>
          <cell r="AW15">
            <v>38367.546432062569</v>
          </cell>
          <cell r="AX15">
            <v>46903.53697749196</v>
          </cell>
        </row>
        <row r="16">
          <cell r="A16" t="str">
            <v xml:space="preserve">    Outros</v>
          </cell>
          <cell r="C16">
            <v>182.4742243782527</v>
          </cell>
          <cell r="D16">
            <v>214.12350140712473</v>
          </cell>
          <cell r="E16">
            <v>223.49021731965772</v>
          </cell>
          <cell r="F16">
            <v>223.83463163858968</v>
          </cell>
          <cell r="G16">
            <v>243.56607842675339</v>
          </cell>
          <cell r="H16">
            <v>247.40344376853699</v>
          </cell>
          <cell r="I16">
            <v>318.21501495739153</v>
          </cell>
          <cell r="J16">
            <v>298.49325514336033</v>
          </cell>
          <cell r="K16">
            <v>364.21987997901334</v>
          </cell>
          <cell r="L16">
            <v>402.7575383775079</v>
          </cell>
          <cell r="M16">
            <v>433.22059065187062</v>
          </cell>
          <cell r="N16">
            <v>477.63773301527078</v>
          </cell>
          <cell r="O16">
            <v>575.51432382850203</v>
          </cell>
          <cell r="P16">
            <v>612.38637787094854</v>
          </cell>
          <cell r="Q16">
            <v>596.32540274795065</v>
          </cell>
          <cell r="R16">
            <v>655.56934916657701</v>
          </cell>
          <cell r="S16">
            <v>761.16147708752919</v>
          </cell>
          <cell r="T16">
            <v>940.13791710454404</v>
          </cell>
          <cell r="U16">
            <v>1103.430695661116</v>
          </cell>
          <cell r="V16">
            <v>1359.5858143367875</v>
          </cell>
          <cell r="W16">
            <v>1841.6049981394547</v>
          </cell>
          <cell r="X16">
            <v>1686.335005027928</v>
          </cell>
          <cell r="Y16">
            <v>1557.702930073722</v>
          </cell>
          <cell r="Z16">
            <v>2184.7100780314386</v>
          </cell>
          <cell r="AA16">
            <v>2486.3185396949611</v>
          </cell>
          <cell r="AB16">
            <v>3245.3886951718355</v>
          </cell>
          <cell r="AC16">
            <v>3852.256680293935</v>
          </cell>
          <cell r="AD16">
            <v>3536.3219987236994</v>
          </cell>
          <cell r="AE16">
            <v>3661.6784456746327</v>
          </cell>
          <cell r="AF16">
            <v>4629.3861224380998</v>
          </cell>
          <cell r="AG16">
            <v>4428.7325551693975</v>
          </cell>
          <cell r="AH16">
            <v>7993.1948766271207</v>
          </cell>
          <cell r="AI16">
            <v>10235.535161817976</v>
          </cell>
          <cell r="AJ16">
            <v>13651.778295432714</v>
          </cell>
          <cell r="AK16">
            <v>14213.488735324008</v>
          </cell>
          <cell r="AL16">
            <v>16013.612007758051</v>
          </cell>
          <cell r="AM16">
            <v>22659.326045757138</v>
          </cell>
          <cell r="AN16">
            <v>27224.466528895457</v>
          </cell>
          <cell r="AO16">
            <v>46071.182200643794</v>
          </cell>
          <cell r="AP16">
            <v>69592.096135527085</v>
          </cell>
          <cell r="AQ16">
            <v>97068.79018286815</v>
          </cell>
          <cell r="AR16">
            <v>111121.38063909774</v>
          </cell>
          <cell r="AS16">
            <v>155084.39697543092</v>
          </cell>
          <cell r="AT16">
            <v>207376.3667679838</v>
          </cell>
          <cell r="AU16">
            <v>253298.30010277493</v>
          </cell>
          <cell r="AV16">
            <v>289198.42817280884</v>
          </cell>
          <cell r="AW16">
            <v>297105.89308672346</v>
          </cell>
          <cell r="AX16">
            <v>331964.85185240908</v>
          </cell>
        </row>
        <row r="17">
          <cell r="A17" t="str">
            <v xml:space="preserve">  Bens duradouros</v>
          </cell>
          <cell r="C17">
            <v>606.14984317521544</v>
          </cell>
          <cell r="D17">
            <v>339.57251371379772</v>
          </cell>
          <cell r="E17">
            <v>398.31750286581553</v>
          </cell>
          <cell r="F17">
            <v>383.47920985912566</v>
          </cell>
          <cell r="G17">
            <v>432.93859389269471</v>
          </cell>
          <cell r="H17">
            <v>494.01398249022242</v>
          </cell>
          <cell r="I17">
            <v>634.97395714442246</v>
          </cell>
          <cell r="J17">
            <v>755.75447453063214</v>
          </cell>
          <cell r="K17">
            <v>802.99193743850276</v>
          </cell>
          <cell r="L17">
            <v>863.9241202404927</v>
          </cell>
          <cell r="M17">
            <v>1006.0699656496098</v>
          </cell>
          <cell r="N17">
            <v>1165.6289023700474</v>
          </cell>
          <cell r="O17">
            <v>1083.8623412415484</v>
          </cell>
          <cell r="P17">
            <v>1235.4534945584874</v>
          </cell>
          <cell r="Q17">
            <v>983.62135824675568</v>
          </cell>
          <cell r="R17">
            <v>1126.9462928201337</v>
          </cell>
          <cell r="S17">
            <v>1185.5744881119624</v>
          </cell>
          <cell r="T17">
            <v>1821.129376041056</v>
          </cell>
          <cell r="U17">
            <v>2018.9444783334277</v>
          </cell>
          <cell r="V17">
            <v>2383.9531561044191</v>
          </cell>
          <cell r="W17">
            <v>2611.7055297837155</v>
          </cell>
          <cell r="X17">
            <v>3015.1125178682219</v>
          </cell>
          <cell r="Y17">
            <v>3512.487794870251</v>
          </cell>
          <cell r="Z17">
            <v>3976.968601031489</v>
          </cell>
          <cell r="AA17">
            <v>4755.9826020483542</v>
          </cell>
          <cell r="AB17">
            <v>5130.0051547061548</v>
          </cell>
          <cell r="AC17">
            <v>6580.3298589985252</v>
          </cell>
          <cell r="AD17">
            <v>5055.9255634695382</v>
          </cell>
          <cell r="AE17">
            <v>5725.5518207410441</v>
          </cell>
          <cell r="AF17">
            <v>3705.2898819309194</v>
          </cell>
          <cell r="AG17">
            <v>5040.233671609677</v>
          </cell>
          <cell r="AH17">
            <v>8587.7219664219847</v>
          </cell>
          <cell r="AI17">
            <v>13198.961077161779</v>
          </cell>
          <cell r="AJ17">
            <v>22386.70483075318</v>
          </cell>
          <cell r="AK17">
            <v>28942.44649283597</v>
          </cell>
          <cell r="AL17">
            <v>32561.946784950003</v>
          </cell>
          <cell r="AM17">
            <v>41699.87733338309</v>
          </cell>
          <cell r="AN17">
            <v>62856.945223843657</v>
          </cell>
          <cell r="AO17">
            <v>73714.59602600713</v>
          </cell>
          <cell r="AP17">
            <v>128130.80231543884</v>
          </cell>
          <cell r="AQ17">
            <v>223074.43056017367</v>
          </cell>
          <cell r="AR17">
            <v>241140.10228979538</v>
          </cell>
          <cell r="AS17">
            <v>318757.90117990691</v>
          </cell>
          <cell r="AT17">
            <v>394338.84652586945</v>
          </cell>
          <cell r="AU17">
            <v>495743.61538006866</v>
          </cell>
          <cell r="AV17">
            <v>485928.99612623849</v>
          </cell>
          <cell r="AW17">
            <v>496915.3320994465</v>
          </cell>
          <cell r="AX17">
            <v>506272.81522613257</v>
          </cell>
        </row>
        <row r="18">
          <cell r="A18" t="str">
            <v xml:space="preserve">    Automóveis ligeiros de passageiros</v>
          </cell>
          <cell r="C18">
            <v>383.39571197413039</v>
          </cell>
          <cell r="D18">
            <v>193.80824749931</v>
          </cell>
          <cell r="E18">
            <v>171.54651646111711</v>
          </cell>
          <cell r="F18">
            <v>190.37355751320771</v>
          </cell>
          <cell r="G18">
            <v>220.29069698459512</v>
          </cell>
          <cell r="H18">
            <v>244.86865630083793</v>
          </cell>
          <cell r="I18">
            <v>336.62976803800825</v>
          </cell>
          <cell r="J18">
            <v>379.04841025738392</v>
          </cell>
          <cell r="K18">
            <v>375.50789908234935</v>
          </cell>
          <cell r="L18">
            <v>410.12327352296109</v>
          </cell>
          <cell r="M18">
            <v>464.09557051729837</v>
          </cell>
          <cell r="N18">
            <v>561.14138586577678</v>
          </cell>
          <cell r="O18">
            <v>480.49542451965897</v>
          </cell>
          <cell r="P18">
            <v>544.18761066170771</v>
          </cell>
          <cell r="Q18">
            <v>542.10678977946418</v>
          </cell>
          <cell r="R18">
            <v>587.26048111992748</v>
          </cell>
          <cell r="S18">
            <v>483.246932870894</v>
          </cell>
          <cell r="T18">
            <v>969.6922151619849</v>
          </cell>
          <cell r="U18">
            <v>1042.6683311808831</v>
          </cell>
          <cell r="V18">
            <v>1333.6887709235909</v>
          </cell>
          <cell r="W18">
            <v>1264.8136315724912</v>
          </cell>
          <cell r="X18">
            <v>1533.9397743073134</v>
          </cell>
          <cell r="Y18">
            <v>1740.3049609635837</v>
          </cell>
          <cell r="Z18">
            <v>2114.2687475760263</v>
          </cell>
          <cell r="AA18">
            <v>2541.238014207901</v>
          </cell>
          <cell r="AB18">
            <v>2328.0301442424375</v>
          </cell>
          <cell r="AC18">
            <v>2838.1625368909381</v>
          </cell>
          <cell r="AD18">
            <v>1784.0449571202812</v>
          </cell>
          <cell r="AE18">
            <v>1364.0018093199969</v>
          </cell>
          <cell r="AF18">
            <v>506.49049948250695</v>
          </cell>
          <cell r="AG18">
            <v>1203.5423776036819</v>
          </cell>
          <cell r="AH18">
            <v>5154.275183726787</v>
          </cell>
          <cell r="AI18">
            <v>8035.1338739034618</v>
          </cell>
          <cell r="AJ18">
            <v>13969.523026097508</v>
          </cell>
          <cell r="AK18">
            <v>19328.331107534003</v>
          </cell>
          <cell r="AL18">
            <v>24825.052410869273</v>
          </cell>
          <cell r="AM18">
            <v>31361.996112163979</v>
          </cell>
          <cell r="AN18">
            <v>44621.21471578777</v>
          </cell>
          <cell r="AO18">
            <v>39850.687874284478</v>
          </cell>
          <cell r="AP18">
            <v>62206.890652964241</v>
          </cell>
          <cell r="AQ18">
            <v>146406.75022706631</v>
          </cell>
          <cell r="AR18">
            <v>144230.1777163904</v>
          </cell>
          <cell r="AS18">
            <v>183589.31821217338</v>
          </cell>
          <cell r="AT18">
            <v>222966.91030534351</v>
          </cell>
          <cell r="AU18">
            <v>305784.97815764486</v>
          </cell>
          <cell r="AV18">
            <v>302738.85183206171</v>
          </cell>
          <cell r="AW18">
            <v>325564.93235664786</v>
          </cell>
          <cell r="AX18">
            <v>318473.63042435166</v>
          </cell>
        </row>
        <row r="19">
          <cell r="A19" t="str">
            <v xml:space="preserve">    Electrodomésticos</v>
          </cell>
          <cell r="C19">
            <v>24.474217129559452</v>
          </cell>
          <cell r="D19">
            <v>11.594259818188904</v>
          </cell>
          <cell r="E19">
            <v>25.36793170443493</v>
          </cell>
          <cell r="F19">
            <v>36.607866635112579</v>
          </cell>
          <cell r="G19">
            <v>29.535300705292485</v>
          </cell>
          <cell r="H19">
            <v>38.731402731700413</v>
          </cell>
          <cell r="I19">
            <v>51.948752881825186</v>
          </cell>
          <cell r="J19">
            <v>64.829480390246516</v>
          </cell>
          <cell r="K19">
            <v>82.311100639271089</v>
          </cell>
          <cell r="L19">
            <v>76.469628977982836</v>
          </cell>
          <cell r="M19">
            <v>101.60607986314494</v>
          </cell>
          <cell r="N19">
            <v>131.02627375218242</v>
          </cell>
          <cell r="O19">
            <v>181.82377753488939</v>
          </cell>
          <cell r="P19">
            <v>173.90083920112079</v>
          </cell>
          <cell r="Q19">
            <v>135.46111075233205</v>
          </cell>
          <cell r="R19">
            <v>149.85353789635525</v>
          </cell>
          <cell r="S19">
            <v>204.58625643087893</v>
          </cell>
          <cell r="T19">
            <v>258.45176801829678</v>
          </cell>
          <cell r="U19">
            <v>295.68268661890721</v>
          </cell>
          <cell r="V19">
            <v>316.51528594773515</v>
          </cell>
          <cell r="W19">
            <v>335.16486928446153</v>
          </cell>
          <cell r="X19">
            <v>408.51486265357948</v>
          </cell>
          <cell r="Y19">
            <v>620.2813065538727</v>
          </cell>
          <cell r="Z19">
            <v>651.24810959644356</v>
          </cell>
          <cell r="AA19">
            <v>758.92878005653245</v>
          </cell>
          <cell r="AB19">
            <v>1014.8636615026206</v>
          </cell>
          <cell r="AC19">
            <v>1348.1993575139743</v>
          </cell>
          <cell r="AD19">
            <v>1274.6549748963134</v>
          </cell>
          <cell r="AE19">
            <v>1967.7660963667329</v>
          </cell>
          <cell r="AF19">
            <v>1202.3393606088148</v>
          </cell>
          <cell r="AG19">
            <v>1163.6095909370724</v>
          </cell>
          <cell r="AH19">
            <v>1175.6116658194092</v>
          </cell>
          <cell r="AI19">
            <v>1757.5045210502269</v>
          </cell>
          <cell r="AJ19">
            <v>2600.6446165809398</v>
          </cell>
          <cell r="AK19">
            <v>2896.7132941892219</v>
          </cell>
          <cell r="AL19">
            <v>2209.7017337436773</v>
          </cell>
          <cell r="AM19">
            <v>2716.9328444723137</v>
          </cell>
          <cell r="AN19">
            <v>4726.6102176345375</v>
          </cell>
          <cell r="AO19">
            <v>8834.9295688594648</v>
          </cell>
          <cell r="AP19">
            <v>15028.747968640537</v>
          </cell>
          <cell r="AQ19">
            <v>17024.150890346769</v>
          </cell>
          <cell r="AR19">
            <v>21036.901046622264</v>
          </cell>
          <cell r="AS19">
            <v>27556.652845236538</v>
          </cell>
          <cell r="AT19">
            <v>35626.383629191325</v>
          </cell>
          <cell r="AU19">
            <v>42930.979695431473</v>
          </cell>
          <cell r="AV19">
            <v>40005.023952095806</v>
          </cell>
          <cell r="AW19">
            <v>41503.862626262628</v>
          </cell>
          <cell r="AX19">
            <v>44117.366767983789</v>
          </cell>
        </row>
        <row r="20">
          <cell r="A20" t="str">
            <v xml:space="preserve">    Mobiliário</v>
          </cell>
          <cell r="C20">
            <v>1.6582834076554742</v>
          </cell>
          <cell r="D20">
            <v>2.6086283936252737</v>
          </cell>
          <cell r="E20">
            <v>4.4876007233590753</v>
          </cell>
          <cell r="F20">
            <v>1.5162438755429986</v>
          </cell>
          <cell r="G20">
            <v>2.3940000000000001</v>
          </cell>
          <cell r="H20">
            <v>5.9076325906633596</v>
          </cell>
          <cell r="I20">
            <v>3.4931095376823893</v>
          </cell>
          <cell r="J20">
            <v>4.7195645293075534</v>
          </cell>
          <cell r="K20">
            <v>7.3248408117845889</v>
          </cell>
          <cell r="L20">
            <v>5.0767053195036764</v>
          </cell>
          <cell r="M20">
            <v>6.4628888730666514</v>
          </cell>
          <cell r="N20">
            <v>10.651641167371363</v>
          </cell>
          <cell r="O20">
            <v>3.3385125850864572</v>
          </cell>
          <cell r="P20">
            <v>6.613553474695772</v>
          </cell>
          <cell r="Q20">
            <v>9.1690791906416909</v>
          </cell>
          <cell r="R20">
            <v>8.6474885185159422</v>
          </cell>
          <cell r="S20">
            <v>15.926499037278809</v>
          </cell>
          <cell r="T20">
            <v>14.855018416196485</v>
          </cell>
          <cell r="U20">
            <v>16.507499304739937</v>
          </cell>
          <cell r="V20">
            <v>20.352285827834223</v>
          </cell>
          <cell r="W20">
            <v>38.956476300192563</v>
          </cell>
          <cell r="X20">
            <v>41.21834157669538</v>
          </cell>
          <cell r="Y20">
            <v>60.021935581956093</v>
          </cell>
          <cell r="Z20">
            <v>82.37474794948335</v>
          </cell>
          <cell r="AA20">
            <v>90.435909691485008</v>
          </cell>
          <cell r="AB20">
            <v>167.95415885792156</v>
          </cell>
          <cell r="AC20">
            <v>238.0951853815082</v>
          </cell>
          <cell r="AD20">
            <v>200.85071576863405</v>
          </cell>
          <cell r="AE20">
            <v>159.54469536800477</v>
          </cell>
          <cell r="AF20">
            <v>93.18377164908695</v>
          </cell>
          <cell r="AG20">
            <v>85.913687116144814</v>
          </cell>
          <cell r="AH20">
            <v>41.5480270403324</v>
          </cell>
          <cell r="AI20">
            <v>58.156115920500362</v>
          </cell>
          <cell r="AJ20">
            <v>82.753420327440168</v>
          </cell>
          <cell r="AK20">
            <v>99.73207474370254</v>
          </cell>
          <cell r="AL20">
            <v>222.52822721248634</v>
          </cell>
          <cell r="AM20">
            <v>216.08970843598561</v>
          </cell>
          <cell r="AN20">
            <v>131.52753332291462</v>
          </cell>
          <cell r="AO20">
            <v>1176.7499006559367</v>
          </cell>
          <cell r="AP20">
            <v>4939.8762679780148</v>
          </cell>
          <cell r="AQ20">
            <v>5886.6131725417436</v>
          </cell>
          <cell r="AR20">
            <v>8506.6397273612474</v>
          </cell>
          <cell r="AS20">
            <v>12957.692268113266</v>
          </cell>
          <cell r="AT20">
            <v>17560.113320079523</v>
          </cell>
          <cell r="AU20">
            <v>23550.933856502241</v>
          </cell>
          <cell r="AV20">
            <v>19918.546370967742</v>
          </cell>
          <cell r="AW20">
            <v>18879.583580613256</v>
          </cell>
          <cell r="AX20">
            <v>22397.134312696748</v>
          </cell>
        </row>
        <row r="21">
          <cell r="A21" t="str">
            <v xml:space="preserve">    Outros</v>
          </cell>
          <cell r="C21">
            <v>196.62163066387001</v>
          </cell>
          <cell r="D21">
            <v>131.56137800267359</v>
          </cell>
          <cell r="E21">
            <v>196.91545397690439</v>
          </cell>
          <cell r="F21">
            <v>154.98154183526236</v>
          </cell>
          <cell r="G21">
            <v>180.71859620280708</v>
          </cell>
          <cell r="H21">
            <v>204.50629086702062</v>
          </cell>
          <cell r="I21">
            <v>242.9023266869066</v>
          </cell>
          <cell r="J21">
            <v>307.15701935369412</v>
          </cell>
          <cell r="K21">
            <v>337.84809690509786</v>
          </cell>
          <cell r="L21">
            <v>372.25451242004522</v>
          </cell>
          <cell r="M21">
            <v>433.90542639609987</v>
          </cell>
          <cell r="N21">
            <v>462.80960158471675</v>
          </cell>
          <cell r="O21">
            <v>418.20462660191328</v>
          </cell>
          <cell r="P21">
            <v>510.75149122096309</v>
          </cell>
          <cell r="Q21">
            <v>296.88437852431792</v>
          </cell>
          <cell r="R21">
            <v>381.18478528533512</v>
          </cell>
          <cell r="S21">
            <v>481.81479977291053</v>
          </cell>
          <cell r="T21">
            <v>578.13037444457757</v>
          </cell>
          <cell r="U21">
            <v>664.08596122889708</v>
          </cell>
          <cell r="V21">
            <v>713.39681340525885</v>
          </cell>
          <cell r="W21">
            <v>972.77055262656995</v>
          </cell>
          <cell r="X21">
            <v>1031.4395393306336</v>
          </cell>
          <cell r="Y21">
            <v>1091.879591770838</v>
          </cell>
          <cell r="Z21">
            <v>1129.0769959095364</v>
          </cell>
          <cell r="AA21">
            <v>1365.379898092436</v>
          </cell>
          <cell r="AB21">
            <v>1619.1571901031743</v>
          </cell>
          <cell r="AC21">
            <v>2155.872779212104</v>
          </cell>
          <cell r="AD21">
            <v>1796.3749156843107</v>
          </cell>
          <cell r="AE21">
            <v>2234.2392196863098</v>
          </cell>
          <cell r="AF21">
            <v>1903.2762501905106</v>
          </cell>
          <cell r="AG21">
            <v>2587.1680159527778</v>
          </cell>
          <cell r="AH21">
            <v>2216.2870898354563</v>
          </cell>
          <cell r="AI21">
            <v>3348.166566287593</v>
          </cell>
          <cell r="AJ21">
            <v>5733.7837677472899</v>
          </cell>
          <cell r="AK21">
            <v>6617.6700163690421</v>
          </cell>
          <cell r="AL21">
            <v>5304.6644131245612</v>
          </cell>
          <cell r="AM21">
            <v>7404.8586683108124</v>
          </cell>
          <cell r="AN21">
            <v>13377.592757098422</v>
          </cell>
          <cell r="AO21">
            <v>23852.22868220726</v>
          </cell>
          <cell r="AP21">
            <v>45955.287425856055</v>
          </cell>
          <cell r="AQ21">
            <v>53756.916270218841</v>
          </cell>
          <cell r="AR21">
            <v>67366.383799421412</v>
          </cell>
          <cell r="AS21">
            <v>94654.237854383697</v>
          </cell>
          <cell r="AT21">
            <v>118185.43927125506</v>
          </cell>
          <cell r="AU21">
            <v>123476.7236704901</v>
          </cell>
          <cell r="AV21">
            <v>123266.57397111313</v>
          </cell>
          <cell r="AW21">
            <v>110966.95353592263</v>
          </cell>
          <cell r="AX21">
            <v>121284.68372110024</v>
          </cell>
        </row>
        <row r="23">
          <cell r="A23" t="str">
            <v>Bens de Investimento</v>
          </cell>
          <cell r="C23">
            <v>2681.932706698014</v>
          </cell>
          <cell r="D23">
            <v>2238.330484354316</v>
          </cell>
          <cell r="E23">
            <v>1821.7670987231488</v>
          </cell>
          <cell r="F23">
            <v>1594.5964581838302</v>
          </cell>
          <cell r="G23">
            <v>2095.6918085225898</v>
          </cell>
          <cell r="H23">
            <v>2128.1471051140247</v>
          </cell>
          <cell r="I23">
            <v>2019.957466845437</v>
          </cell>
          <cell r="J23">
            <v>2524.8154716042031</v>
          </cell>
          <cell r="K23">
            <v>2317.152177898899</v>
          </cell>
          <cell r="L23">
            <v>2696.025700963572</v>
          </cell>
          <cell r="M23">
            <v>3227.4932725064573</v>
          </cell>
          <cell r="N23">
            <v>2902.0022486114603</v>
          </cell>
          <cell r="O23">
            <v>3226.5894819015484</v>
          </cell>
          <cell r="P23">
            <v>4712.4329362401977</v>
          </cell>
          <cell r="Q23">
            <v>4015.1404779539034</v>
          </cell>
          <cell r="R23">
            <v>4056.8171007734081</v>
          </cell>
          <cell r="S23">
            <v>4521.2328406053175</v>
          </cell>
          <cell r="T23">
            <v>5821.3955450396024</v>
          </cell>
          <cell r="U23">
            <v>7432.4087876991662</v>
          </cell>
          <cell r="V23">
            <v>7305.5743131015734</v>
          </cell>
          <cell r="W23">
            <v>8363.6735032321903</v>
          </cell>
          <cell r="X23">
            <v>8948.9400492061213</v>
          </cell>
          <cell r="Y23">
            <v>10548.360386221108</v>
          </cell>
          <cell r="Z23">
            <v>12257.03123037753</v>
          </cell>
          <cell r="AA23">
            <v>16461.733374302061</v>
          </cell>
          <cell r="AB23">
            <v>18999.944133371726</v>
          </cell>
          <cell r="AC23">
            <v>21612.603771273752</v>
          </cell>
          <cell r="AD23">
            <v>17581.176906825807</v>
          </cell>
          <cell r="AE23">
            <v>23935.461591110034</v>
          </cell>
          <cell r="AF23">
            <v>36487.842923457603</v>
          </cell>
          <cell r="AG23">
            <v>49173.440572703963</v>
          </cell>
          <cell r="AH23">
            <v>64422.369127303995</v>
          </cell>
          <cell r="AI23">
            <v>100166.85007655079</v>
          </cell>
          <cell r="AJ23">
            <v>129682.53053211737</v>
          </cell>
          <cell r="AK23">
            <v>155387.7011783559</v>
          </cell>
          <cell r="AL23">
            <v>172635.88124976491</v>
          </cell>
          <cell r="AM23">
            <v>166485.07976471525</v>
          </cell>
          <cell r="AN23">
            <v>214885.45812644571</v>
          </cell>
          <cell r="AO23">
            <v>328540.40512033185</v>
          </cell>
          <cell r="AP23">
            <v>525183.28639498237</v>
          </cell>
          <cell r="AQ23">
            <v>746169.0227077466</v>
          </cell>
          <cell r="AR23">
            <v>880362.49309362972</v>
          </cell>
          <cell r="AS23">
            <v>1049541.4941293136</v>
          </cell>
          <cell r="AT23">
            <v>1094057.587636685</v>
          </cell>
          <cell r="AU23">
            <v>1220853.9533795414</v>
          </cell>
          <cell r="AV23">
            <v>1031361.1597156887</v>
          </cell>
          <cell r="AW23">
            <v>1183121.8276259813</v>
          </cell>
          <cell r="AX23">
            <v>1367271.5050777202</v>
          </cell>
        </row>
        <row r="24">
          <cell r="A24" t="str">
            <v xml:space="preserve">  Máquinas e aparelhos</v>
          </cell>
          <cell r="C24">
            <v>917.65425634311703</v>
          </cell>
          <cell r="D24">
            <v>805.76667003975797</v>
          </cell>
          <cell r="E24">
            <v>1037.3780325292682</v>
          </cell>
          <cell r="F24">
            <v>961.9306734751591</v>
          </cell>
          <cell r="G24">
            <v>1129.6199238990671</v>
          </cell>
          <cell r="H24">
            <v>1152.1188963523289</v>
          </cell>
          <cell r="I24">
            <v>1107.032413966122</v>
          </cell>
          <cell r="J24">
            <v>1216.1107473410148</v>
          </cell>
          <cell r="K24">
            <v>1318.2835990359486</v>
          </cell>
          <cell r="L24">
            <v>1683.2655279111291</v>
          </cell>
          <cell r="M24">
            <v>1808.0675110374029</v>
          </cell>
          <cell r="N24">
            <v>1843.9755464942948</v>
          </cell>
          <cell r="O24">
            <v>1975.3050155936908</v>
          </cell>
          <cell r="P24">
            <v>2283.7427373628511</v>
          </cell>
          <cell r="Q24">
            <v>2513.9859194026631</v>
          </cell>
          <cell r="R24">
            <v>2526.211282985098</v>
          </cell>
          <cell r="S24">
            <v>3265.5866413695985</v>
          </cell>
          <cell r="T24">
            <v>3832.0198102580935</v>
          </cell>
          <cell r="U24">
            <v>4860.186245511879</v>
          </cell>
          <cell r="V24">
            <v>4529.8231814543469</v>
          </cell>
          <cell r="W24">
            <v>5072.4096052534187</v>
          </cell>
          <cell r="X24">
            <v>5282.1538271823492</v>
          </cell>
          <cell r="Y24">
            <v>6807.0894132977055</v>
          </cell>
          <cell r="Z24">
            <v>7634.0945968451188</v>
          </cell>
          <cell r="AA24">
            <v>9761.1399611413017</v>
          </cell>
          <cell r="AB24">
            <v>10933.436996827733</v>
          </cell>
          <cell r="AC24">
            <v>13424.796182814727</v>
          </cell>
          <cell r="AD24">
            <v>10460.21221518719</v>
          </cell>
          <cell r="AE24">
            <v>13637.737091059051</v>
          </cell>
          <cell r="AF24">
            <v>19722.993120643336</v>
          </cell>
          <cell r="AG24">
            <v>29508.550199694346</v>
          </cell>
          <cell r="AH24">
            <v>40383.022046952887</v>
          </cell>
          <cell r="AI24">
            <v>62431.037943542353</v>
          </cell>
          <cell r="AJ24">
            <v>80342.528937168128</v>
          </cell>
          <cell r="AK24">
            <v>93299.09225248087</v>
          </cell>
          <cell r="AL24">
            <v>105964.50448710697</v>
          </cell>
          <cell r="AM24">
            <v>104551.63550028889</v>
          </cell>
          <cell r="AN24">
            <v>136781.95539961019</v>
          </cell>
          <cell r="AO24">
            <v>202380.80345760871</v>
          </cell>
          <cell r="AP24">
            <v>321515.87815015338</v>
          </cell>
          <cell r="AQ24">
            <v>442777.16970802913</v>
          </cell>
          <cell r="AR24">
            <v>525225.15081652266</v>
          </cell>
          <cell r="AS24">
            <v>654897.2606851923</v>
          </cell>
          <cell r="AT24">
            <v>682341.98069105693</v>
          </cell>
          <cell r="AU24">
            <v>716784.66943866946</v>
          </cell>
          <cell r="AV24">
            <v>609566.88579940423</v>
          </cell>
          <cell r="AW24">
            <v>627930.92285438778</v>
          </cell>
          <cell r="AX24">
            <v>795620.91784989857</v>
          </cell>
        </row>
        <row r="25">
          <cell r="A25" t="str">
            <v xml:space="preserve">  Material de transporte</v>
          </cell>
          <cell r="C25">
            <v>1548.8521013396555</v>
          </cell>
          <cell r="D25">
            <v>1257.9888087110367</v>
          </cell>
          <cell r="E25">
            <v>632.34209778655509</v>
          </cell>
          <cell r="F25">
            <v>505.53413618925072</v>
          </cell>
          <cell r="G25">
            <v>794.64089516001434</v>
          </cell>
          <cell r="H25">
            <v>768.55924042395657</v>
          </cell>
          <cell r="I25">
            <v>691.66522298159407</v>
          </cell>
          <cell r="J25">
            <v>1047.310204708341</v>
          </cell>
          <cell r="K25">
            <v>688.75682940003833</v>
          </cell>
          <cell r="L25">
            <v>728.25917205108931</v>
          </cell>
          <cell r="M25">
            <v>1098.1502104474071</v>
          </cell>
          <cell r="N25">
            <v>690.54916977140272</v>
          </cell>
          <cell r="O25">
            <v>1015.5927391705133</v>
          </cell>
          <cell r="P25">
            <v>2099.9487490924457</v>
          </cell>
          <cell r="Q25">
            <v>1236.0313052267891</v>
          </cell>
          <cell r="R25">
            <v>1295.9487096739817</v>
          </cell>
          <cell r="S25">
            <v>966.20083376023183</v>
          </cell>
          <cell r="T25">
            <v>1510.2983631469765</v>
          </cell>
          <cell r="U25">
            <v>2104.3781900003187</v>
          </cell>
          <cell r="V25">
            <v>2285.4455001690494</v>
          </cell>
          <cell r="W25">
            <v>2706.2719840394675</v>
          </cell>
          <cell r="X25">
            <v>3179.9830019946185</v>
          </cell>
          <cell r="Y25">
            <v>2870.3109784660573</v>
          </cell>
          <cell r="Z25">
            <v>3708.2405562087347</v>
          </cell>
          <cell r="AA25">
            <v>5594.375530410186</v>
          </cell>
          <cell r="AB25">
            <v>6897.7684363580402</v>
          </cell>
          <cell r="AC25">
            <v>6548.0418983921263</v>
          </cell>
          <cell r="AD25">
            <v>5708.4480132921344</v>
          </cell>
          <cell r="AE25">
            <v>8366.8633704219865</v>
          </cell>
          <cell r="AF25">
            <v>13723.604217093018</v>
          </cell>
          <cell r="AG25">
            <v>15256.586467419189</v>
          </cell>
          <cell r="AH25">
            <v>17265.142426141381</v>
          </cell>
          <cell r="AI25">
            <v>27122.3260053964</v>
          </cell>
          <cell r="AJ25">
            <v>36677.192558909373</v>
          </cell>
          <cell r="AK25">
            <v>46985.345737028147</v>
          </cell>
          <cell r="AL25">
            <v>54273.69814650144</v>
          </cell>
          <cell r="AM25">
            <v>42836.482197353282</v>
          </cell>
          <cell r="AN25">
            <v>54283.104846071001</v>
          </cell>
          <cell r="AO25">
            <v>98630.239562835312</v>
          </cell>
          <cell r="AP25">
            <v>164679.9288313362</v>
          </cell>
          <cell r="AQ25">
            <v>247807.89837008799</v>
          </cell>
          <cell r="AR25">
            <v>290322.01021240675</v>
          </cell>
          <cell r="AS25">
            <v>314683.33041344763</v>
          </cell>
          <cell r="AT25">
            <v>313275.55269793107</v>
          </cell>
          <cell r="AU25">
            <v>394955.10289720859</v>
          </cell>
          <cell r="AV25">
            <v>330677.24494612124</v>
          </cell>
          <cell r="AW25">
            <v>443857.39456991857</v>
          </cell>
          <cell r="AX25">
            <v>448301.30043638096</v>
          </cell>
        </row>
        <row r="26">
          <cell r="A26" t="str">
            <v xml:space="preserve">  Outros</v>
          </cell>
          <cell r="C26">
            <v>215.42634901524104</v>
          </cell>
          <cell r="D26">
            <v>174.57500560352128</v>
          </cell>
          <cell r="E26">
            <v>152.04696840732569</v>
          </cell>
          <cell r="F26">
            <v>127.13164851942048</v>
          </cell>
          <cell r="G26">
            <v>171.43098946350872</v>
          </cell>
          <cell r="H26">
            <v>207.46896833773926</v>
          </cell>
          <cell r="I26">
            <v>221.25982989772086</v>
          </cell>
          <cell r="J26">
            <v>261.3945195548477</v>
          </cell>
          <cell r="K26">
            <v>310.11174946291271</v>
          </cell>
          <cell r="L26">
            <v>284.50100100135359</v>
          </cell>
          <cell r="M26">
            <v>321.27555102164786</v>
          </cell>
          <cell r="N26">
            <v>367.47753234576265</v>
          </cell>
          <cell r="O26">
            <v>235.69172713734412</v>
          </cell>
          <cell r="P26">
            <v>328.74144978490091</v>
          </cell>
          <cell r="Q26">
            <v>265.12325332445073</v>
          </cell>
          <cell r="R26">
            <v>234.65710811432834</v>
          </cell>
          <cell r="S26">
            <v>289.44536547548768</v>
          </cell>
          <cell r="T26">
            <v>479.0773716345326</v>
          </cell>
          <cell r="U26">
            <v>467.84435218696581</v>
          </cell>
          <cell r="V26">
            <v>490.30563147817674</v>
          </cell>
          <cell r="W26">
            <v>584.99191393930403</v>
          </cell>
          <cell r="X26">
            <v>486.80322002915392</v>
          </cell>
          <cell r="Y26">
            <v>870.95999445734583</v>
          </cell>
          <cell r="Z26">
            <v>914.6960773236749</v>
          </cell>
          <cell r="AA26">
            <v>1106.2178827505709</v>
          </cell>
          <cell r="AB26">
            <v>1168.738700185952</v>
          </cell>
          <cell r="AC26">
            <v>1639.7656900668962</v>
          </cell>
          <cell r="AD26">
            <v>1412.5166783464804</v>
          </cell>
          <cell r="AE26">
            <v>1930.8611296289926</v>
          </cell>
          <cell r="AF26">
            <v>3041.2455857212453</v>
          </cell>
          <cell r="AG26">
            <v>4408.3039055904301</v>
          </cell>
          <cell r="AH26">
            <v>6774.2046542097296</v>
          </cell>
          <cell r="AI26">
            <v>10613.486127612068</v>
          </cell>
          <cell r="AJ26">
            <v>12662.809036039871</v>
          </cell>
          <cell r="AK26">
            <v>15103.263188846935</v>
          </cell>
          <cell r="AL26">
            <v>12397.678616156514</v>
          </cell>
          <cell r="AM26">
            <v>19096.962067073062</v>
          </cell>
          <cell r="AN26">
            <v>23820.397880764496</v>
          </cell>
          <cell r="AO26">
            <v>27529.362099887709</v>
          </cell>
          <cell r="AP26">
            <v>38987.479413492823</v>
          </cell>
          <cell r="AQ26">
            <v>55583.954629629625</v>
          </cell>
          <cell r="AR26">
            <v>64815.332064700291</v>
          </cell>
          <cell r="AS26">
            <v>79960.903030673449</v>
          </cell>
          <cell r="AT26">
            <v>98440.054247697044</v>
          </cell>
          <cell r="AU26">
            <v>109114.18104366347</v>
          </cell>
          <cell r="AV26">
            <v>91117.028970163286</v>
          </cell>
          <cell r="AW26">
            <v>111333.51020167512</v>
          </cell>
          <cell r="AX26">
            <v>123349.28679144049</v>
          </cell>
        </row>
        <row r="28">
          <cell r="A28" t="str">
            <v>Bens intermédios</v>
          </cell>
          <cell r="C28">
            <v>4744.9050312045911</v>
          </cell>
          <cell r="D28">
            <v>4737.3274505360159</v>
          </cell>
          <cell r="E28">
            <v>4311.3035996134968</v>
          </cell>
          <cell r="F28">
            <v>4448.3531483070592</v>
          </cell>
          <cell r="G28">
            <v>5699.7909705998954</v>
          </cell>
          <cell r="H28">
            <v>5981.5276831480442</v>
          </cell>
          <cell r="I28">
            <v>6044.9337116696406</v>
          </cell>
          <cell r="J28">
            <v>5959.2680806310482</v>
          </cell>
          <cell r="K28">
            <v>6706.6719758507506</v>
          </cell>
          <cell r="L28">
            <v>7931.4100977837552</v>
          </cell>
          <cell r="M28">
            <v>7825.8245708556697</v>
          </cell>
          <cell r="N28">
            <v>7501.5393571457307</v>
          </cell>
          <cell r="O28">
            <v>8038.8910556519486</v>
          </cell>
          <cell r="P28">
            <v>10599.279279294782</v>
          </cell>
          <cell r="Q28">
            <v>9199.8700025590897</v>
          </cell>
          <cell r="R28">
            <v>10085.203898319374</v>
          </cell>
          <cell r="S28">
            <v>12276.806838667155</v>
          </cell>
          <cell r="T28">
            <v>14692.627458630792</v>
          </cell>
          <cell r="U28">
            <v>15916.4053957425</v>
          </cell>
          <cell r="V28">
            <v>16774.197269508233</v>
          </cell>
          <cell r="W28">
            <v>20643.268723200319</v>
          </cell>
          <cell r="X28">
            <v>20673.957397015336</v>
          </cell>
          <cell r="Y28">
            <v>22182.017263110443</v>
          </cell>
          <cell r="Z28">
            <v>26274.702411980048</v>
          </cell>
          <cell r="AA28">
            <v>27938.357921609335</v>
          </cell>
          <cell r="AB28">
            <v>31293.151913699021</v>
          </cell>
          <cell r="AC28">
            <v>39176.66370465434</v>
          </cell>
          <cell r="AD28">
            <v>44458.406878722031</v>
          </cell>
          <cell r="AE28">
            <v>58465.16656614728</v>
          </cell>
          <cell r="AF28">
            <v>77286.757473772552</v>
          </cell>
          <cell r="AG28">
            <v>96436.838573163113</v>
          </cell>
          <cell r="AH28">
            <v>119236.68001861325</v>
          </cell>
          <cell r="AI28">
            <v>189587.17207199699</v>
          </cell>
          <cell r="AJ28">
            <v>219991.93551503523</v>
          </cell>
          <cell r="AK28">
            <v>270646.99513778044</v>
          </cell>
          <cell r="AL28">
            <v>276619.17260977719</v>
          </cell>
          <cell r="AM28">
            <v>365177.63634085807</v>
          </cell>
          <cell r="AN28">
            <v>561408.10870390793</v>
          </cell>
          <cell r="AO28">
            <v>691323.92222683481</v>
          </cell>
          <cell r="AP28">
            <v>807685.85142438044</v>
          </cell>
          <cell r="AQ28">
            <v>924127.15026833618</v>
          </cell>
          <cell r="AR28">
            <v>1096930.0713623727</v>
          </cell>
          <cell r="AS28">
            <v>1399082.257587478</v>
          </cell>
          <cell r="AT28">
            <v>1425392.4230377167</v>
          </cell>
          <cell r="AU28">
            <v>1552319.277056277</v>
          </cell>
          <cell r="AV28">
            <v>1389655.9065830021</v>
          </cell>
          <cell r="AW28">
            <v>1602974.9190757156</v>
          </cell>
          <cell r="AX28">
            <v>1841597.8854192267</v>
          </cell>
        </row>
        <row r="30">
          <cell r="A30" t="str">
            <v>Energéticos</v>
          </cell>
          <cell r="C30">
            <v>936.4108841211139</v>
          </cell>
          <cell r="D30">
            <v>969.78947351349927</v>
          </cell>
          <cell r="E30">
            <v>944.82175443444703</v>
          </cell>
          <cell r="F30">
            <v>1018.13310195023</v>
          </cell>
          <cell r="G30">
            <v>1128.2572196911958</v>
          </cell>
          <cell r="H30">
            <v>1303.799118875454</v>
          </cell>
          <cell r="I30">
            <v>1280.3625335495381</v>
          </cell>
          <cell r="J30">
            <v>1372.9171944044499</v>
          </cell>
          <cell r="K30">
            <v>1489.0767944719589</v>
          </cell>
          <cell r="L30">
            <v>1698.0646234426742</v>
          </cell>
          <cell r="M30">
            <v>2014.5803887553977</v>
          </cell>
          <cell r="N30">
            <v>1614.3810722892056</v>
          </cell>
          <cell r="O30">
            <v>1661.4318532909879</v>
          </cell>
          <cell r="P30">
            <v>1729.3639063865407</v>
          </cell>
          <cell r="Q30">
            <v>1739.7463323427346</v>
          </cell>
          <cell r="R30">
            <v>1942.4138172387222</v>
          </cell>
          <cell r="S30">
            <v>2047.3097440042895</v>
          </cell>
          <cell r="T30">
            <v>2235.2209474941601</v>
          </cell>
          <cell r="U30">
            <v>2179.2443046629173</v>
          </cell>
          <cell r="V30">
            <v>2424.4048405781909</v>
          </cell>
          <cell r="W30">
            <v>2727.266687641752</v>
          </cell>
          <cell r="X30">
            <v>3214.770786419765</v>
          </cell>
          <cell r="Y30">
            <v>3810.9891709494268</v>
          </cell>
          <cell r="Z30">
            <v>4775.7049189062864</v>
          </cell>
          <cell r="AA30">
            <v>5234.4951162474817</v>
          </cell>
          <cell r="AB30">
            <v>4600.7937429641006</v>
          </cell>
          <cell r="AC30">
            <v>5783.8881373082695</v>
          </cell>
          <cell r="AD30">
            <v>13932.634484357492</v>
          </cell>
          <cell r="AE30">
            <v>17353.649634404399</v>
          </cell>
          <cell r="AF30">
            <v>21401.625351496059</v>
          </cell>
          <cell r="AG30">
            <v>31929.568582695858</v>
          </cell>
          <cell r="AH30">
            <v>42592.667859688925</v>
          </cell>
          <cell r="AI30">
            <v>65171.984049161685</v>
          </cell>
          <cell r="AJ30">
            <v>108505.77985958985</v>
          </cell>
          <cell r="AK30">
            <v>171322.06219116983</v>
          </cell>
          <cell r="AL30">
            <v>199675.01641511489</v>
          </cell>
          <cell r="AM30">
            <v>263631.55844550167</v>
          </cell>
          <cell r="AN30">
            <v>308549.99990775331</v>
          </cell>
          <cell r="AO30">
            <v>431538.70864875085</v>
          </cell>
          <cell r="AP30">
            <v>221021.6806586223</v>
          </cell>
          <cell r="AQ30">
            <v>250944.33431965089</v>
          </cell>
          <cell r="AR30">
            <v>265789.60837105074</v>
          </cell>
          <cell r="AS30">
            <v>350749.17802999535</v>
          </cell>
          <cell r="AT30">
            <v>394346.58127328218</v>
          </cell>
          <cell r="AU30">
            <v>403414.97768998862</v>
          </cell>
          <cell r="AV30">
            <v>340110.76993256819</v>
          </cell>
          <cell r="AW30">
            <v>400574.10759640788</v>
          </cell>
          <cell r="AX30">
            <v>438225.41883240436</v>
          </cell>
        </row>
        <row r="32">
          <cell r="A32" t="str">
            <v>Produtos acima não incluídos (inclui electricidade)</v>
          </cell>
          <cell r="C32">
            <v>164.34225891250045</v>
          </cell>
          <cell r="D32">
            <v>174.82753354037624</v>
          </cell>
          <cell r="E32">
            <v>67.673015744838068</v>
          </cell>
          <cell r="F32">
            <v>85.100988139402418</v>
          </cell>
          <cell r="G32">
            <v>168.13135134273358</v>
          </cell>
          <cell r="H32">
            <v>100.55100951062418</v>
          </cell>
          <cell r="I32">
            <v>101.6874073093764</v>
          </cell>
          <cell r="J32">
            <v>117.62631192572833</v>
          </cell>
          <cell r="K32">
            <v>127.45227868029014</v>
          </cell>
          <cell r="L32">
            <v>122.24294446530428</v>
          </cell>
          <cell r="M32">
            <v>170.02420597456867</v>
          </cell>
          <cell r="N32">
            <v>138.47455405634619</v>
          </cell>
          <cell r="O32">
            <v>240.61972723432629</v>
          </cell>
          <cell r="P32">
            <v>249.74741357973221</v>
          </cell>
          <cell r="Q32">
            <v>211.25839904376525</v>
          </cell>
          <cell r="R32">
            <v>249.36504200642673</v>
          </cell>
          <cell r="S32">
            <v>319.24040169007208</v>
          </cell>
          <cell r="T32">
            <v>15.259755836984061</v>
          </cell>
          <cell r="U32">
            <v>10.368157562015547</v>
          </cell>
          <cell r="V32">
            <v>12.822808211544517</v>
          </cell>
          <cell r="W32">
            <v>8.2678599014145959</v>
          </cell>
          <cell r="X32">
            <v>7.7353759791304562</v>
          </cell>
          <cell r="Y32">
            <v>11.311611435363176</v>
          </cell>
          <cell r="Z32">
            <v>15.69304613511855</v>
          </cell>
          <cell r="AA32">
            <v>15.419994451571297</v>
          </cell>
          <cell r="AB32">
            <v>19.247743345275289</v>
          </cell>
          <cell r="AC32">
            <v>27.902764978274412</v>
          </cell>
          <cell r="AD32">
            <v>353.01959255794907</v>
          </cell>
          <cell r="AE32">
            <v>1390.6874540425147</v>
          </cell>
          <cell r="AF32">
            <v>237.17542448114611</v>
          </cell>
          <cell r="AG32">
            <v>300.29673378300828</v>
          </cell>
          <cell r="AH32">
            <v>725.90665841851819</v>
          </cell>
          <cell r="AI32">
            <v>4835.9936445195672</v>
          </cell>
          <cell r="AJ32">
            <v>10616.96713243173</v>
          </cell>
          <cell r="AK32">
            <v>16291.797881351162</v>
          </cell>
          <cell r="AL32">
            <v>10626.158872515327</v>
          </cell>
          <cell r="AM32">
            <v>8359.7806578560612</v>
          </cell>
          <cell r="AN32">
            <v>16718.009552612068</v>
          </cell>
          <cell r="AO32">
            <v>18633.803287913412</v>
          </cell>
          <cell r="AP32">
            <v>21899.341199100494</v>
          </cell>
          <cell r="AQ32">
            <v>23406.057271760455</v>
          </cell>
          <cell r="AR32">
            <v>33019.951505947261</v>
          </cell>
          <cell r="AS32">
            <v>25286.507264903346</v>
          </cell>
          <cell r="AT32">
            <v>83910.488440048401</v>
          </cell>
          <cell r="AU32">
            <v>19121.754707505872</v>
          </cell>
          <cell r="AV32">
            <v>14756.936902622685</v>
          </cell>
          <cell r="AW32">
            <v>16365.67861540772</v>
          </cell>
          <cell r="AX32">
            <v>20281.602940504141</v>
          </cell>
        </row>
        <row r="34">
          <cell r="A34" t="str">
            <v>TOTAL</v>
          </cell>
          <cell r="C34">
            <v>9949.4077447028794</v>
          </cell>
          <cell r="D34">
            <v>9350.3349474865499</v>
          </cell>
          <cell r="E34">
            <v>8376.5786859493055</v>
          </cell>
          <cell r="F34">
            <v>8313.043721579741</v>
          </cell>
          <cell r="G34">
            <v>10057.808451718012</v>
          </cell>
          <cell r="H34">
            <v>10605.020676062068</v>
          </cell>
          <cell r="I34">
            <v>10680.375614806944</v>
          </cell>
          <cell r="J34">
            <v>11368.458053377086</v>
          </cell>
          <cell r="K34">
            <v>12650.837891613028</v>
          </cell>
          <cell r="L34">
            <v>14301.446704814789</v>
          </cell>
          <cell r="M34">
            <v>15197.658211871614</v>
          </cell>
          <cell r="N34">
            <v>14376.586922302778</v>
          </cell>
          <cell r="O34">
            <v>15553.643606495843</v>
          </cell>
          <cell r="P34">
            <v>19990.630759704814</v>
          </cell>
          <cell r="Q34">
            <v>17284.737483988469</v>
          </cell>
          <cell r="R34">
            <v>18934.037348830927</v>
          </cell>
          <cell r="S34">
            <v>22060.951224695789</v>
          </cell>
          <cell r="T34">
            <v>26948.445073790892</v>
          </cell>
          <cell r="U34">
            <v>29998.135527769799</v>
          </cell>
          <cell r="V34">
            <v>32544.443694218069</v>
          </cell>
          <cell r="W34">
            <v>37871.908765567045</v>
          </cell>
          <cell r="X34">
            <v>39029.649914394395</v>
          </cell>
          <cell r="Y34">
            <v>43693.073050383631</v>
          </cell>
          <cell r="Z34">
            <v>52670.253654770619</v>
          </cell>
          <cell r="AA34">
            <v>61580.232582176068</v>
          </cell>
          <cell r="AB34">
            <v>67920.843189405772</v>
          </cell>
          <cell r="AC34">
            <v>84102.909780764021</v>
          </cell>
          <cell r="AD34">
            <v>91706.088473316297</v>
          </cell>
          <cell r="AE34">
            <v>118455.120807253</v>
          </cell>
          <cell r="AF34">
            <v>151493.53849565375</v>
          </cell>
          <cell r="AG34">
            <v>194043.46535196339</v>
          </cell>
          <cell r="AH34">
            <v>251271.23466633976</v>
          </cell>
          <cell r="AI34">
            <v>391664.80119129107</v>
          </cell>
          <cell r="AJ34">
            <v>516886.64941424027</v>
          </cell>
          <cell r="AK34">
            <v>682283.2080013433</v>
          </cell>
          <cell r="AL34">
            <v>731393.95627720992</v>
          </cell>
          <cell r="AM34">
            <v>895361.24055374018</v>
          </cell>
          <cell r="AN34">
            <v>1242076.543217543</v>
          </cell>
          <cell r="AO34">
            <v>1654703.3775022216</v>
          </cell>
          <cell r="AP34">
            <v>1893382.5188789694</v>
          </cell>
          <cell r="AQ34">
            <v>2442567.592972843</v>
          </cell>
          <cell r="AR34">
            <v>2838730.8628953411</v>
          </cell>
          <cell r="AS34">
            <v>3570677.4537043064</v>
          </cell>
          <cell r="AT34">
            <v>3959234.9975308962</v>
          </cell>
          <cell r="AU34">
            <v>4376074.4700828362</v>
          </cell>
          <cell r="AV34">
            <v>4018421.5753603233</v>
          </cell>
          <cell r="AW34">
            <v>4546559.2127353111</v>
          </cell>
          <cell r="AX34">
            <v>5122690.3134273943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PRODUTO INTERNO BRUTO (ÓPTICA DA PRODUÇÃO)</v>
          </cell>
        </row>
        <row r="2">
          <cell r="A2" t="str">
            <v>Preços do ano anterior (10^9 esc)</v>
          </cell>
        </row>
        <row r="3">
          <cell r="A3" t="str">
            <v>Unidade: milhões de escudos</v>
          </cell>
        </row>
        <row r="5">
          <cell r="A5" t="str">
            <v>CAE</v>
          </cell>
          <cell r="D5">
            <v>1954</v>
          </cell>
          <cell r="E5">
            <v>1955</v>
          </cell>
          <cell r="F5">
            <v>1956</v>
          </cell>
          <cell r="G5">
            <v>1957</v>
          </cell>
          <cell r="H5">
            <v>1958</v>
          </cell>
          <cell r="I5">
            <v>1959</v>
          </cell>
          <cell r="J5">
            <v>1960</v>
          </cell>
          <cell r="K5">
            <v>1961</v>
          </cell>
          <cell r="L5">
            <v>1962</v>
          </cell>
          <cell r="M5">
            <v>1963</v>
          </cell>
          <cell r="N5">
            <v>1964</v>
          </cell>
          <cell r="O5">
            <v>1965</v>
          </cell>
          <cell r="P5">
            <v>1966</v>
          </cell>
          <cell r="Q5">
            <v>1967</v>
          </cell>
          <cell r="R5">
            <v>1968</v>
          </cell>
          <cell r="S5">
            <v>1969</v>
          </cell>
          <cell r="T5">
            <v>1970</v>
          </cell>
          <cell r="U5">
            <v>1971</v>
          </cell>
          <cell r="V5">
            <v>1972</v>
          </cell>
          <cell r="W5">
            <v>1973</v>
          </cell>
          <cell r="X5">
            <v>1974</v>
          </cell>
          <cell r="Y5">
            <v>1975</v>
          </cell>
          <cell r="Z5">
            <v>1976</v>
          </cell>
          <cell r="AA5">
            <v>1977</v>
          </cell>
          <cell r="AB5">
            <v>1978</v>
          </cell>
          <cell r="AC5">
            <v>1979</v>
          </cell>
          <cell r="AD5">
            <v>1980</v>
          </cell>
          <cell r="AE5">
            <v>1981</v>
          </cell>
          <cell r="AF5">
            <v>1982</v>
          </cell>
          <cell r="AG5">
            <v>1983</v>
          </cell>
          <cell r="AH5">
            <v>1984</v>
          </cell>
          <cell r="AI5">
            <v>1985</v>
          </cell>
          <cell r="AJ5">
            <v>1986</v>
          </cell>
          <cell r="AK5">
            <v>1987</v>
          </cell>
          <cell r="AL5">
            <v>1988</v>
          </cell>
          <cell r="AM5">
            <v>1989</v>
          </cell>
          <cell r="AN5">
            <v>1990</v>
          </cell>
          <cell r="AO5">
            <v>1991</v>
          </cell>
          <cell r="AP5">
            <v>1992</v>
          </cell>
          <cell r="AQ5">
            <v>1993</v>
          </cell>
          <cell r="AR5">
            <v>1994</v>
          </cell>
          <cell r="AS5">
            <v>1995</v>
          </cell>
        </row>
        <row r="6">
          <cell r="A6" t="str">
            <v>11+12</v>
          </cell>
          <cell r="B6" t="str">
            <v xml:space="preserve">Agricultura, Caça, Silvicultura e Exploração Florestal    </v>
          </cell>
          <cell r="D6">
            <v>16936.95841682949</v>
          </cell>
          <cell r="E6">
            <v>17177.036917707213</v>
          </cell>
          <cell r="F6">
            <v>16191.20753315957</v>
          </cell>
          <cell r="G6">
            <v>17151.99536602449</v>
          </cell>
          <cell r="H6">
            <v>18915.797183371953</v>
          </cell>
          <cell r="I6">
            <v>18122.023512254094</v>
          </cell>
          <cell r="J6">
            <v>17768.868703958782</v>
          </cell>
          <cell r="K6">
            <v>18803.034126115959</v>
          </cell>
          <cell r="L6">
            <v>21493.040909488591</v>
          </cell>
          <cell r="M6">
            <v>19953.607421111785</v>
          </cell>
          <cell r="N6">
            <v>18473.766485953172</v>
          </cell>
          <cell r="O6">
            <v>17960.366780531887</v>
          </cell>
          <cell r="P6">
            <v>18861.628876623854</v>
          </cell>
          <cell r="Q6">
            <v>20710.738707885102</v>
          </cell>
          <cell r="R6">
            <v>22240.915012548438</v>
          </cell>
          <cell r="S6">
            <v>18910.532831052471</v>
          </cell>
          <cell r="T6">
            <v>25043.750786326586</v>
          </cell>
          <cell r="U6">
            <v>25586.624665385396</v>
          </cell>
          <cell r="V6">
            <v>32621.661263312257</v>
          </cell>
          <cell r="W6">
            <v>32355.747474003765</v>
          </cell>
          <cell r="X6">
            <v>38769.768461385815</v>
          </cell>
          <cell r="Y6">
            <v>40511.435592223621</v>
          </cell>
          <cell r="Z6">
            <v>50932.376133892736</v>
          </cell>
          <cell r="AA6">
            <v>52835.182912041957</v>
          </cell>
          <cell r="AB6">
            <v>88243.343854656661</v>
          </cell>
          <cell r="AC6">
            <v>106766.08998271318</v>
          </cell>
          <cell r="AD6">
            <v>118593.46952673866</v>
          </cell>
          <cell r="AE6">
            <v>145701.96326945251</v>
          </cell>
          <cell r="AF6">
            <v>188862.0381349278</v>
          </cell>
          <cell r="AG6">
            <v>222066.74992770777</v>
          </cell>
          <cell r="AH6">
            <v>276959.28567119094</v>
          </cell>
          <cell r="AI6">
            <v>335282.62831208238</v>
          </cell>
          <cell r="AJ6">
            <v>401865.73515116179</v>
          </cell>
          <cell r="AK6">
            <v>441392.28315682092</v>
          </cell>
          <cell r="AL6">
            <v>403324.86259704822</v>
          </cell>
          <cell r="AM6">
            <v>569372.58069440548</v>
          </cell>
          <cell r="AN6">
            <v>712632.51664855634</v>
          </cell>
          <cell r="AO6">
            <v>740761.29360622482</v>
          </cell>
          <cell r="AP6">
            <v>746504.11103807052</v>
          </cell>
          <cell r="AQ6">
            <v>610323.10262561939</v>
          </cell>
          <cell r="AR6">
            <v>663043.13722149259</v>
          </cell>
          <cell r="AS6">
            <v>789755.62049785734</v>
          </cell>
        </row>
        <row r="7">
          <cell r="A7" t="str">
            <v>13</v>
          </cell>
          <cell r="B7" t="str">
            <v xml:space="preserve">Pesca   </v>
          </cell>
          <cell r="D7">
            <v>1036.6462751183974</v>
          </cell>
          <cell r="E7">
            <v>1037.6071210581279</v>
          </cell>
          <cell r="F7">
            <v>1325.5178752383943</v>
          </cell>
          <cell r="G7">
            <v>1330.2656990627411</v>
          </cell>
          <cell r="H7">
            <v>1349.5278146487494</v>
          </cell>
          <cell r="I7">
            <v>1194.6649868983725</v>
          </cell>
          <cell r="J7">
            <v>1338.253192797825</v>
          </cell>
          <cell r="K7">
            <v>1581.2720862601452</v>
          </cell>
          <cell r="L7">
            <v>1561.3223226294469</v>
          </cell>
          <cell r="M7">
            <v>1510.1760546211069</v>
          </cell>
          <cell r="N7">
            <v>1775.9652455611686</v>
          </cell>
          <cell r="O7">
            <v>1807.3549512890866</v>
          </cell>
          <cell r="P7">
            <v>1653.761220469311</v>
          </cell>
          <cell r="Q7">
            <v>2204.0580204646594</v>
          </cell>
          <cell r="R7">
            <v>2034.7222751289905</v>
          </cell>
          <cell r="S7">
            <v>1972.8628863692024</v>
          </cell>
          <cell r="T7">
            <v>2384.8907466428896</v>
          </cell>
          <cell r="U7">
            <v>2133.9400146709418</v>
          </cell>
          <cell r="V7">
            <v>2452.1459082873712</v>
          </cell>
          <cell r="W7">
            <v>2915.5356960865852</v>
          </cell>
          <cell r="X7">
            <v>2437.1946189193563</v>
          </cell>
          <cell r="Y7">
            <v>3329.9820315024044</v>
          </cell>
          <cell r="Z7">
            <v>4159.8938525668527</v>
          </cell>
          <cell r="AA7">
            <v>5501.8461103499449</v>
          </cell>
          <cell r="AB7">
            <v>6288.9667117611789</v>
          </cell>
          <cell r="AC7">
            <v>8270.6701377744976</v>
          </cell>
          <cell r="AD7">
            <v>12134.343756414361</v>
          </cell>
          <cell r="AE7">
            <v>12329.449528285752</v>
          </cell>
          <cell r="AF7">
            <v>13512.129355543098</v>
          </cell>
          <cell r="AG7">
            <v>16139.167308990171</v>
          </cell>
          <cell r="AH7">
            <v>20656.9684842116</v>
          </cell>
          <cell r="AI7">
            <v>26228.375513267943</v>
          </cell>
          <cell r="AJ7">
            <v>40421.34310004719</v>
          </cell>
          <cell r="AK7">
            <v>45642.348025167848</v>
          </cell>
          <cell r="AL7">
            <v>45262.606875487574</v>
          </cell>
          <cell r="AM7">
            <v>70199.527596571905</v>
          </cell>
          <cell r="AN7">
            <v>60379.429476652585</v>
          </cell>
          <cell r="AO7">
            <v>68335.389342528302</v>
          </cell>
          <cell r="AP7">
            <v>68177.61417115388</v>
          </cell>
          <cell r="AQ7">
            <v>59036.870877543879</v>
          </cell>
          <cell r="AR7">
            <v>52301.485699999997</v>
          </cell>
          <cell r="AS7">
            <v>56930.250599999999</v>
          </cell>
        </row>
        <row r="8">
          <cell r="A8">
            <v>21</v>
          </cell>
          <cell r="B8" t="str">
            <v xml:space="preserve">Extracção de Carvão   </v>
          </cell>
          <cell r="D8">
            <v>47.698414534684503</v>
          </cell>
          <cell r="E8">
            <v>48.429385246682692</v>
          </cell>
          <cell r="F8">
            <v>52.588516606610291</v>
          </cell>
          <cell r="G8">
            <v>61.334594347224439</v>
          </cell>
          <cell r="H8">
            <v>57.283727955648772</v>
          </cell>
          <cell r="I8">
            <v>50.271638874925834</v>
          </cell>
          <cell r="J8">
            <v>50.646391834567751</v>
          </cell>
          <cell r="K8">
            <v>44.236712953745538</v>
          </cell>
          <cell r="L8">
            <v>44.94154746777518</v>
          </cell>
          <cell r="M8">
            <v>41.907433688802598</v>
          </cell>
          <cell r="N8">
            <v>73.315721689158892</v>
          </cell>
          <cell r="O8">
            <v>73.384933244855006</v>
          </cell>
          <cell r="P8">
            <v>74.84555019494988</v>
          </cell>
          <cell r="Q8">
            <v>90.236937709657511</v>
          </cell>
          <cell r="R8">
            <v>67.660270876108143</v>
          </cell>
          <cell r="S8">
            <v>81.123187464764598</v>
          </cell>
          <cell r="T8">
            <v>60.898560165101586</v>
          </cell>
          <cell r="U8">
            <v>50.568414877767545</v>
          </cell>
          <cell r="V8">
            <v>45.074799080373708</v>
          </cell>
          <cell r="W8">
            <v>41.933939919969525</v>
          </cell>
          <cell r="X8">
            <v>56.108831662091809</v>
          </cell>
          <cell r="Y8">
            <v>95.225651874935664</v>
          </cell>
          <cell r="Z8">
            <v>138.99615265359225</v>
          </cell>
          <cell r="AA8">
            <v>161.84160126497503</v>
          </cell>
          <cell r="AB8">
            <v>146.26371942558919</v>
          </cell>
          <cell r="AC8">
            <v>193.52041337309964</v>
          </cell>
          <cell r="AD8">
            <v>263.03989311071871</v>
          </cell>
          <cell r="AE8">
            <v>444.55081930147162</v>
          </cell>
          <cell r="AF8">
            <v>694.23343948269053</v>
          </cell>
          <cell r="AG8">
            <v>1002.0858503518359</v>
          </cell>
          <cell r="AH8">
            <v>1328.9744754166929</v>
          </cell>
          <cell r="AI8">
            <v>2497.3019377791165</v>
          </cell>
          <cell r="AJ8">
            <v>1533.5000540944957</v>
          </cell>
          <cell r="AK8">
            <v>3581.8344057618556</v>
          </cell>
          <cell r="AL8">
            <v>2922.7478775419886</v>
          </cell>
          <cell r="AM8">
            <v>2949.9710760663811</v>
          </cell>
          <cell r="AN8">
            <v>3383.2595481800581</v>
          </cell>
          <cell r="AO8">
            <v>3413.9120893478807</v>
          </cell>
          <cell r="AP8">
            <v>3468.7038094489108</v>
          </cell>
          <cell r="AQ8">
            <v>3268.7168805289825</v>
          </cell>
          <cell r="AR8">
            <v>2636.183936072603</v>
          </cell>
          <cell r="AS8">
            <v>611.76427458474848</v>
          </cell>
        </row>
        <row r="9">
          <cell r="A9" t="str">
            <v>23</v>
          </cell>
          <cell r="B9" t="str">
            <v xml:space="preserve">Extracção de Minérios Metálicos   </v>
          </cell>
          <cell r="D9">
            <v>136.6889639254054</v>
          </cell>
          <cell r="E9">
            <v>82.424506656490635</v>
          </cell>
          <cell r="F9">
            <v>156.42510681749224</v>
          </cell>
          <cell r="G9">
            <v>321.66966125621821</v>
          </cell>
          <cell r="H9">
            <v>150.95274715630973</v>
          </cell>
          <cell r="I9">
            <v>120.07689524612641</v>
          </cell>
          <cell r="J9">
            <v>161.67210656064447</v>
          </cell>
          <cell r="K9">
            <v>85.608256409853993</v>
          </cell>
          <cell r="L9">
            <v>143.99058908116496</v>
          </cell>
          <cell r="M9">
            <v>95.849379442351719</v>
          </cell>
          <cell r="N9">
            <v>162.0472870542585</v>
          </cell>
          <cell r="O9">
            <v>156.45508403512957</v>
          </cell>
          <cell r="P9">
            <v>199.72097784189194</v>
          </cell>
          <cell r="Q9">
            <v>262.69269868758329</v>
          </cell>
          <cell r="R9">
            <v>276.88594784269105</v>
          </cell>
          <cell r="S9">
            <v>205.87186159134299</v>
          </cell>
          <cell r="T9">
            <v>290.50436930589848</v>
          </cell>
          <cell r="U9">
            <v>534.03970073370158</v>
          </cell>
          <cell r="V9">
            <v>387.22716960596523</v>
          </cell>
          <cell r="W9">
            <v>309.79652869546209</v>
          </cell>
          <cell r="X9">
            <v>189.14205617187929</v>
          </cell>
          <cell r="Y9">
            <v>792.81921632941885</v>
          </cell>
          <cell r="Z9">
            <v>653.52746494399707</v>
          </cell>
          <cell r="AA9">
            <v>763.84373784863737</v>
          </cell>
          <cell r="AB9">
            <v>1587.0914592427364</v>
          </cell>
          <cell r="AC9">
            <v>2619.0308857262953</v>
          </cell>
          <cell r="AD9">
            <v>3151.8422233023543</v>
          </cell>
          <cell r="AE9">
            <v>2338.4433876238354</v>
          </cell>
          <cell r="AF9">
            <v>2895.0232715021489</v>
          </cell>
          <cell r="AG9">
            <v>3043.5162893954953</v>
          </cell>
          <cell r="AH9">
            <v>3338.0132444533092</v>
          </cell>
          <cell r="AI9">
            <v>2845.3610882197049</v>
          </cell>
          <cell r="AJ9">
            <v>4333.3224337894362</v>
          </cell>
          <cell r="AK9">
            <v>3140.2295069335933</v>
          </cell>
          <cell r="AL9">
            <v>5821.1912379466421</v>
          </cell>
          <cell r="AM9">
            <v>5921.6473955630727</v>
          </cell>
          <cell r="AN9">
            <v>46340.275725525258</v>
          </cell>
          <cell r="AO9">
            <v>41523.571233096671</v>
          </cell>
          <cell r="AP9">
            <v>26366.959713934019</v>
          </cell>
          <cell r="AQ9">
            <v>24704.242508376548</v>
          </cell>
          <cell r="AR9">
            <v>14413.843383428861</v>
          </cell>
          <cell r="AS9">
            <v>23942.187292974799</v>
          </cell>
        </row>
        <row r="10">
          <cell r="A10">
            <v>29</v>
          </cell>
          <cell r="B10" t="str">
            <v xml:space="preserve">Extracção de Minérios não Metálicos   </v>
          </cell>
          <cell r="D10">
            <v>135.11543238214611</v>
          </cell>
          <cell r="E10">
            <v>110.2028501217543</v>
          </cell>
          <cell r="F10">
            <v>169.21615520553212</v>
          </cell>
          <cell r="G10">
            <v>168.98786925027972</v>
          </cell>
          <cell r="H10">
            <v>180.64115805427085</v>
          </cell>
          <cell r="I10">
            <v>204.34124523155478</v>
          </cell>
          <cell r="J10">
            <v>197.76339724014144</v>
          </cell>
          <cell r="K10">
            <v>153.41009706442983</v>
          </cell>
          <cell r="L10">
            <v>136.47570250081083</v>
          </cell>
          <cell r="M10">
            <v>168.23202287303255</v>
          </cell>
          <cell r="N10">
            <v>231.83115524498345</v>
          </cell>
          <cell r="O10">
            <v>230.93758829991862</v>
          </cell>
          <cell r="P10">
            <v>280.5682594342876</v>
          </cell>
          <cell r="Q10">
            <v>305.61896661119749</v>
          </cell>
          <cell r="R10">
            <v>351.87888677558715</v>
          </cell>
          <cell r="S10">
            <v>377.49994907084454</v>
          </cell>
          <cell r="T10">
            <v>362.21963754143371</v>
          </cell>
          <cell r="U10">
            <v>469.56289030584145</v>
          </cell>
          <cell r="V10">
            <v>550.14011698417244</v>
          </cell>
          <cell r="W10">
            <v>1229.7304277585458</v>
          </cell>
          <cell r="X10">
            <v>1089.6528714912058</v>
          </cell>
          <cell r="Y10">
            <v>838.35366945305702</v>
          </cell>
          <cell r="Z10">
            <v>1086.2690834845716</v>
          </cell>
          <cell r="AA10">
            <v>1380.4846893720826</v>
          </cell>
          <cell r="AB10">
            <v>2018.2889309545121</v>
          </cell>
          <cell r="AC10">
            <v>2624.6889641173179</v>
          </cell>
          <cell r="AD10">
            <v>3706.1531316959563</v>
          </cell>
          <cell r="AE10">
            <v>4831.9405413070626</v>
          </cell>
          <cell r="AF10">
            <v>6698.2329207180373</v>
          </cell>
          <cell r="AG10">
            <v>7649.4411548682801</v>
          </cell>
          <cell r="AH10">
            <v>9931.5221032725331</v>
          </cell>
          <cell r="AI10">
            <v>13025.00236624251</v>
          </cell>
          <cell r="AJ10">
            <v>17138.672960064327</v>
          </cell>
          <cell r="AK10">
            <v>22083.601308421767</v>
          </cell>
          <cell r="AL10">
            <v>31748.69622961905</v>
          </cell>
          <cell r="AM10">
            <v>38041.833080358629</v>
          </cell>
          <cell r="AN10">
            <v>72326.649675389548</v>
          </cell>
          <cell r="AO10">
            <v>86274.503733794176</v>
          </cell>
          <cell r="AP10">
            <v>95173.040216581678</v>
          </cell>
          <cell r="AQ10">
            <v>110394.55418995232</v>
          </cell>
          <cell r="AR10">
            <v>109319.82742213925</v>
          </cell>
          <cell r="AS10">
            <v>118279.47545715018</v>
          </cell>
        </row>
        <row r="11">
          <cell r="A11" t="str">
            <v>31</v>
          </cell>
          <cell r="B11" t="str">
            <v xml:space="preserve">Ind. da Alimentação, Bebidas e Tabaco   </v>
          </cell>
          <cell r="D11">
            <v>3382.5403743460229</v>
          </cell>
          <cell r="E11">
            <v>3244.908596035928</v>
          </cell>
          <cell r="F11">
            <v>3527.16658221853</v>
          </cell>
          <cell r="G11">
            <v>3311.4232790989736</v>
          </cell>
          <cell r="H11">
            <v>3273.2077852593852</v>
          </cell>
          <cell r="I11">
            <v>3933.4858344826375</v>
          </cell>
          <cell r="J11">
            <v>3703.4447875690707</v>
          </cell>
          <cell r="K11">
            <v>3854.7609147581024</v>
          </cell>
          <cell r="L11">
            <v>5081.78699432555</v>
          </cell>
          <cell r="M11">
            <v>4876.6794665439002</v>
          </cell>
          <cell r="N11">
            <v>5233.4246465272836</v>
          </cell>
          <cell r="O11">
            <v>5934.4132780390128</v>
          </cell>
          <cell r="P11">
            <v>6387.348092943872</v>
          </cell>
          <cell r="Q11">
            <v>6834.0151833005357</v>
          </cell>
          <cell r="R11">
            <v>8126.4971688297846</v>
          </cell>
          <cell r="S11">
            <v>9111.5664107110606</v>
          </cell>
          <cell r="T11">
            <v>9683.1161757659283</v>
          </cell>
          <cell r="U11">
            <v>10058.296803958057</v>
          </cell>
          <cell r="V11">
            <v>10600.431057874628</v>
          </cell>
          <cell r="W11">
            <v>12474.65992088408</v>
          </cell>
          <cell r="X11">
            <v>14570.592076830299</v>
          </cell>
          <cell r="Y11">
            <v>16716.293621749512</v>
          </cell>
          <cell r="Z11">
            <v>18813.080819906892</v>
          </cell>
          <cell r="AA11">
            <v>27930.329354496218</v>
          </cell>
          <cell r="AB11">
            <v>30839.551926157881</v>
          </cell>
          <cell r="AC11">
            <v>39672.868611691985</v>
          </cell>
          <cell r="AD11">
            <v>54718.149537721882</v>
          </cell>
          <cell r="AE11">
            <v>66130.842446625204</v>
          </cell>
          <cell r="AF11">
            <v>82995.640196884473</v>
          </cell>
          <cell r="AG11">
            <v>103080.49330214219</v>
          </cell>
          <cell r="AH11">
            <v>128310.10870232884</v>
          </cell>
          <cell r="AI11">
            <v>168743.61981869471</v>
          </cell>
          <cell r="AJ11">
            <v>221718.1594428008</v>
          </cell>
          <cell r="AK11">
            <v>262132.03219038268</v>
          </cell>
          <cell r="AL11">
            <v>324528.21831770422</v>
          </cell>
          <cell r="AM11">
            <v>367461.41246871895</v>
          </cell>
          <cell r="AN11">
            <v>451396.55423294747</v>
          </cell>
          <cell r="AO11">
            <v>515094.57343069458</v>
          </cell>
          <cell r="AP11">
            <v>581361.61858542287</v>
          </cell>
          <cell r="AQ11">
            <v>610857.4574877586</v>
          </cell>
          <cell r="AR11">
            <v>636075.30359448749</v>
          </cell>
          <cell r="AS11">
            <v>630531.89588946465</v>
          </cell>
        </row>
        <row r="12">
          <cell r="A12" t="str">
            <v>32</v>
          </cell>
          <cell r="B12" t="str">
            <v xml:space="preserve">Ind. Têxteis, do Vestuário e do Couro   </v>
          </cell>
          <cell r="D12">
            <v>5051.0814025284471</v>
          </cell>
          <cell r="E12">
            <v>4207.4586433273298</v>
          </cell>
          <cell r="F12">
            <v>4810.7457959252142</v>
          </cell>
          <cell r="G12">
            <v>4634.2372278378998</v>
          </cell>
          <cell r="H12">
            <v>5049.3562723592613</v>
          </cell>
          <cell r="I12">
            <v>4690.5904838205097</v>
          </cell>
          <cell r="J12">
            <v>5084.5590466825488</v>
          </cell>
          <cell r="K12">
            <v>4457.3562092918182</v>
          </cell>
          <cell r="L12">
            <v>5547.4085732119111</v>
          </cell>
          <cell r="M12">
            <v>6184.3026422421262</v>
          </cell>
          <cell r="N12">
            <v>7038.1999002100456</v>
          </cell>
          <cell r="O12">
            <v>9256.6994430196864</v>
          </cell>
          <cell r="P12">
            <v>9436.2381715225711</v>
          </cell>
          <cell r="Q12">
            <v>7912.1775478972513</v>
          </cell>
          <cell r="R12">
            <v>7847.8865034488717</v>
          </cell>
          <cell r="S12">
            <v>10104.502066339845</v>
          </cell>
          <cell r="T12">
            <v>12729.581199832201</v>
          </cell>
          <cell r="U12">
            <v>17590.573266827239</v>
          </cell>
          <cell r="V12">
            <v>13891.509110115299</v>
          </cell>
          <cell r="W12">
            <v>16692.814860238315</v>
          </cell>
          <cell r="X12">
            <v>21052.848684048513</v>
          </cell>
          <cell r="Y12">
            <v>21841.063419642207</v>
          </cell>
          <cell r="Z12">
            <v>31382.925543020345</v>
          </cell>
          <cell r="AA12">
            <v>34520.517977239062</v>
          </cell>
          <cell r="AB12">
            <v>42059.059794029417</v>
          </cell>
          <cell r="AC12">
            <v>48471.735760224517</v>
          </cell>
          <cell r="AD12">
            <v>70971.386584203821</v>
          </cell>
          <cell r="AE12">
            <v>96426.16962115129</v>
          </cell>
          <cell r="AF12">
            <v>112282.71701117889</v>
          </cell>
          <cell r="AG12">
            <v>115674.85356494147</v>
          </cell>
          <cell r="AH12">
            <v>176572.11322527938</v>
          </cell>
          <cell r="AI12">
            <v>212513.08927518121</v>
          </cell>
          <cell r="AJ12">
            <v>308561.85455149901</v>
          </cell>
          <cell r="AK12">
            <v>363388.05296327121</v>
          </cell>
          <cell r="AL12">
            <v>453376.60610802931</v>
          </cell>
          <cell r="AM12">
            <v>540281.13357804203</v>
          </cell>
          <cell r="AN12">
            <v>665785.17201792053</v>
          </cell>
          <cell r="AO12">
            <v>687541.19913516263</v>
          </cell>
          <cell r="AP12">
            <v>708250.68479768699</v>
          </cell>
          <cell r="AQ12">
            <v>721691.56221990369</v>
          </cell>
          <cell r="AR12">
            <v>732291.86123127805</v>
          </cell>
          <cell r="AS12">
            <v>737637.56588822452</v>
          </cell>
        </row>
        <row r="13">
          <cell r="A13" t="str">
            <v>33</v>
          </cell>
          <cell r="B13" t="str">
            <v xml:space="preserve">Ind. da Madeira e da Cortiça  </v>
          </cell>
          <cell r="D13">
            <v>1485.4642635805369</v>
          </cell>
          <cell r="E13">
            <v>2130.911674466618</v>
          </cell>
          <cell r="F13">
            <v>2252.6538707179825</v>
          </cell>
          <cell r="G13">
            <v>2790.728629595691</v>
          </cell>
          <cell r="H13">
            <v>2339.066269931127</v>
          </cell>
          <cell r="I13">
            <v>2502.3585449851344</v>
          </cell>
          <cell r="J13">
            <v>2370.817777862575</v>
          </cell>
          <cell r="K13">
            <v>2790.3631913321947</v>
          </cell>
          <cell r="L13">
            <v>3466.4348809081071</v>
          </cell>
          <cell r="M13">
            <v>3182.8656801729667</v>
          </cell>
          <cell r="N13">
            <v>4240.5612551641962</v>
          </cell>
          <cell r="O13">
            <v>4110.4607188081754</v>
          </cell>
          <cell r="P13">
            <v>5624.8511610501846</v>
          </cell>
          <cell r="Q13">
            <v>5395.7596258970943</v>
          </cell>
          <cell r="R13">
            <v>4680.4607531009342</v>
          </cell>
          <cell r="S13">
            <v>4796.1714871071472</v>
          </cell>
          <cell r="T13">
            <v>4761.4983079683243</v>
          </cell>
          <cell r="U13">
            <v>6439.6929320895033</v>
          </cell>
          <cell r="V13">
            <v>4958.5543784334977</v>
          </cell>
          <cell r="W13">
            <v>6789.9157571503583</v>
          </cell>
          <cell r="X13">
            <v>8746.3568681051056</v>
          </cell>
          <cell r="Y13">
            <v>8933.2753603292022</v>
          </cell>
          <cell r="Z13">
            <v>9651.8236625808313</v>
          </cell>
          <cell r="AA13">
            <v>14010.698886277918</v>
          </cell>
          <cell r="AB13">
            <v>18185.601855327172</v>
          </cell>
          <cell r="AC13">
            <v>24569.191371312943</v>
          </cell>
          <cell r="AD13">
            <v>37388.934547329096</v>
          </cell>
          <cell r="AE13">
            <v>39588.883707421759</v>
          </cell>
          <cell r="AF13">
            <v>30292.176328626592</v>
          </cell>
          <cell r="AG13">
            <v>36865.414592758716</v>
          </cell>
          <cell r="AH13">
            <v>40788.6739504098</v>
          </cell>
          <cell r="AI13">
            <v>54410.96983836632</v>
          </cell>
          <cell r="AJ13">
            <v>63654.417741909332</v>
          </cell>
          <cell r="AK13">
            <v>82190.755135105268</v>
          </cell>
          <cell r="AL13">
            <v>96074.996468559722</v>
          </cell>
          <cell r="AM13">
            <v>116621.54720207446</v>
          </cell>
          <cell r="AN13">
            <v>143583.72166556184</v>
          </cell>
          <cell r="AO13">
            <v>113486.55459528657</v>
          </cell>
          <cell r="AP13">
            <v>136989.58068062126</v>
          </cell>
          <cell r="AQ13">
            <v>138262.91628685629</v>
          </cell>
          <cell r="AR13">
            <v>171937.71923372426</v>
          </cell>
          <cell r="AS13">
            <v>193353.26682988106</v>
          </cell>
        </row>
        <row r="14">
          <cell r="A14" t="str">
            <v>34</v>
          </cell>
          <cell r="B14" t="str">
            <v xml:space="preserve">Ind. do Papel, tipografias e Afins   </v>
          </cell>
          <cell r="D14">
            <v>701.39400642537998</v>
          </cell>
          <cell r="E14">
            <v>667.97636242320573</v>
          </cell>
          <cell r="F14">
            <v>708.8828642815887</v>
          </cell>
          <cell r="G14">
            <v>991.37204964779448</v>
          </cell>
          <cell r="H14">
            <v>817.04731202106768</v>
          </cell>
          <cell r="I14">
            <v>981.61691628367578</v>
          </cell>
          <cell r="J14">
            <v>988.99387624833389</v>
          </cell>
          <cell r="K14">
            <v>1068.5486409500725</v>
          </cell>
          <cell r="L14">
            <v>1096.1674835620972</v>
          </cell>
          <cell r="M14">
            <v>1106.0390961785336</v>
          </cell>
          <cell r="N14">
            <v>1563.3410199307148</v>
          </cell>
          <cell r="O14">
            <v>2545.0650592925722</v>
          </cell>
          <cell r="P14">
            <v>2997.2793270460602</v>
          </cell>
          <cell r="Q14">
            <v>3320.8459855907604</v>
          </cell>
          <cell r="R14">
            <v>3759.1207083730023</v>
          </cell>
          <cell r="S14">
            <v>3924.5991034245285</v>
          </cell>
          <cell r="T14">
            <v>3881.0026264395783</v>
          </cell>
          <cell r="U14">
            <v>4201.3110580785215</v>
          </cell>
          <cell r="V14">
            <v>3951.163835286015</v>
          </cell>
          <cell r="W14">
            <v>5078.1691067713491</v>
          </cell>
          <cell r="X14">
            <v>6126.4883011870343</v>
          </cell>
          <cell r="Y14">
            <v>6970.5364959040053</v>
          </cell>
          <cell r="Z14">
            <v>7251.542800651504</v>
          </cell>
          <cell r="AA14">
            <v>7453.720799984254</v>
          </cell>
          <cell r="AB14">
            <v>11203.586521152782</v>
          </cell>
          <cell r="AC14">
            <v>15256.34550448807</v>
          </cell>
          <cell r="AD14">
            <v>23589.667540954673</v>
          </cell>
          <cell r="AE14">
            <v>27968.89536162512</v>
          </cell>
          <cell r="AF14">
            <v>32775.647450945195</v>
          </cell>
          <cell r="AG14">
            <v>36366.083614191717</v>
          </cell>
          <cell r="AH14">
            <v>48445.791648747952</v>
          </cell>
          <cell r="AI14">
            <v>74970.068600926519</v>
          </cell>
          <cell r="AJ14">
            <v>93660.143714156759</v>
          </cell>
          <cell r="AK14">
            <v>129664.61439450085</v>
          </cell>
          <cell r="AL14">
            <v>151161.6716944642</v>
          </cell>
          <cell r="AM14">
            <v>171454.0791107094</v>
          </cell>
          <cell r="AN14">
            <v>183323.4587466144</v>
          </cell>
          <cell r="AO14">
            <v>193899.4863531735</v>
          </cell>
          <cell r="AP14">
            <v>176582.48566507132</v>
          </cell>
          <cell r="AQ14">
            <v>170745.1605732938</v>
          </cell>
          <cell r="AR14">
            <v>177087.05535409052</v>
          </cell>
          <cell r="AS14">
            <v>219327.85879925906</v>
          </cell>
        </row>
        <row r="15">
          <cell r="A15" t="str">
            <v>35+22</v>
          </cell>
          <cell r="B15" t="str">
            <v xml:space="preserve">Ind. Químicas de Petróleo e Afins (a)   </v>
          </cell>
          <cell r="D15">
            <v>2984.1905288356547</v>
          </cell>
          <cell r="E15">
            <v>2799.4487656991082</v>
          </cell>
          <cell r="F15">
            <v>3591.3874622461199</v>
          </cell>
          <cell r="G15">
            <v>3402.0839565646856</v>
          </cell>
          <cell r="H15">
            <v>4499.3552028323465</v>
          </cell>
          <cell r="I15">
            <v>5383.8474088611847</v>
          </cell>
          <cell r="J15">
            <v>6304.003457072241</v>
          </cell>
          <cell r="K15">
            <v>5054.2688058137492</v>
          </cell>
          <cell r="L15">
            <v>7027.0966193728345</v>
          </cell>
          <cell r="M15">
            <v>7036.0976785172643</v>
          </cell>
          <cell r="N15">
            <v>7166.3253309685779</v>
          </cell>
          <cell r="O15">
            <v>8524.9176950539731</v>
          </cell>
          <cell r="P15">
            <v>8685.4858372254585</v>
          </cell>
          <cell r="Q15">
            <v>8570.3412908634382</v>
          </cell>
          <cell r="R15">
            <v>10670.309925018444</v>
          </cell>
          <cell r="S15">
            <v>10381.144261482437</v>
          </cell>
          <cell r="T15">
            <v>11679.597351195778</v>
          </cell>
          <cell r="U15">
            <v>9732.5059100321741</v>
          </cell>
          <cell r="V15">
            <v>10743.921546773992</v>
          </cell>
          <cell r="W15">
            <v>12947.136901858774</v>
          </cell>
          <cell r="X15">
            <v>14090.351125234698</v>
          </cell>
          <cell r="Y15">
            <v>13270.779751312544</v>
          </cell>
          <cell r="Z15">
            <v>14659.99316338823</v>
          </cell>
          <cell r="AA15">
            <v>18935.089951054462</v>
          </cell>
          <cell r="AB15">
            <v>18748.526613486385</v>
          </cell>
          <cell r="AC15">
            <v>27508.283618301313</v>
          </cell>
          <cell r="AD15">
            <v>35999.809115295393</v>
          </cell>
          <cell r="AE15">
            <v>36782.031934989507</v>
          </cell>
          <cell r="AF15">
            <v>40304.529287013465</v>
          </cell>
          <cell r="AG15">
            <v>39165.372375248204</v>
          </cell>
          <cell r="AH15">
            <v>63522.312886297645</v>
          </cell>
          <cell r="AI15">
            <v>101897.53001206239</v>
          </cell>
          <cell r="AJ15">
            <v>154690.33605834105</v>
          </cell>
          <cell r="AK15">
            <v>174510.45689519262</v>
          </cell>
          <cell r="AL15">
            <v>189432.79414498163</v>
          </cell>
          <cell r="AM15">
            <v>249746.14564877149</v>
          </cell>
          <cell r="AN15">
            <v>206552.35809774167</v>
          </cell>
          <cell r="AO15">
            <v>298098.52015395451</v>
          </cell>
          <cell r="AP15">
            <v>306340.14733030554</v>
          </cell>
          <cell r="AQ15">
            <v>293340.80362123012</v>
          </cell>
          <cell r="AR15">
            <v>307236.95382676582</v>
          </cell>
          <cell r="AS15">
            <v>324683.31669171614</v>
          </cell>
        </row>
        <row r="16">
          <cell r="A16" t="str">
            <v>36</v>
          </cell>
          <cell r="B16" t="str">
            <v xml:space="preserve">Ind. Prod. Minerais não metálicos   </v>
          </cell>
          <cell r="D16">
            <v>684.1877820298497</v>
          </cell>
          <cell r="E16">
            <v>719.70616106263935</v>
          </cell>
          <cell r="F16">
            <v>864.70688346843986</v>
          </cell>
          <cell r="G16">
            <v>932.08841654073478</v>
          </cell>
          <cell r="H16">
            <v>1161.1714477823498</v>
          </cell>
          <cell r="I16">
            <v>1306.8148364947854</v>
          </cell>
          <cell r="J16">
            <v>1702.629030914678</v>
          </cell>
          <cell r="K16">
            <v>1656.1579390517888</v>
          </cell>
          <cell r="L16">
            <v>1682.2815483308341</v>
          </cell>
          <cell r="M16">
            <v>1967.2406205188367</v>
          </cell>
          <cell r="N16">
            <v>2041.3554943847289</v>
          </cell>
          <cell r="O16">
            <v>3014.5081410106327</v>
          </cell>
          <cell r="P16">
            <v>3905.0536381590396</v>
          </cell>
          <cell r="Q16">
            <v>3605.7368012386737</v>
          </cell>
          <cell r="R16">
            <v>3853.2808902454576</v>
          </cell>
          <cell r="S16">
            <v>3912.26216502234</v>
          </cell>
          <cell r="T16">
            <v>4307.4790321879364</v>
          </cell>
          <cell r="U16">
            <v>3881.3598744590927</v>
          </cell>
          <cell r="V16">
            <v>5126.4604448515129</v>
          </cell>
          <cell r="W16">
            <v>5210.2049170386508</v>
          </cell>
          <cell r="X16">
            <v>6716.267165094866</v>
          </cell>
          <cell r="Y16">
            <v>7132.5184064040841</v>
          </cell>
          <cell r="Z16">
            <v>7497.3693045897144</v>
          </cell>
          <cell r="AA16">
            <v>11657.389071964331</v>
          </cell>
          <cell r="AB16">
            <v>16004.066901406446</v>
          </cell>
          <cell r="AC16">
            <v>19239.783746948098</v>
          </cell>
          <cell r="AD16">
            <v>25162.970286135285</v>
          </cell>
          <cell r="AE16">
            <v>29866.154453357653</v>
          </cell>
          <cell r="AF16">
            <v>35011.420785809845</v>
          </cell>
          <cell r="AG16">
            <v>39372.452206740723</v>
          </cell>
          <cell r="AH16">
            <v>53219.256175086142</v>
          </cell>
          <cell r="AI16">
            <v>66234.372163622058</v>
          </cell>
          <cell r="AJ16">
            <v>81453.868036545406</v>
          </cell>
          <cell r="AK16">
            <v>112946.53723792594</v>
          </cell>
          <cell r="AL16">
            <v>143903.23313328644</v>
          </cell>
          <cell r="AM16">
            <v>182287.20293641681</v>
          </cell>
          <cell r="AN16">
            <v>199519.94092185408</v>
          </cell>
          <cell r="AO16">
            <v>230084.68462271316</v>
          </cell>
          <cell r="AP16">
            <v>245244.56684921746</v>
          </cell>
          <cell r="AQ16">
            <v>292659.04888022249</v>
          </cell>
          <cell r="AR16">
            <v>316842.85916784505</v>
          </cell>
          <cell r="AS16">
            <v>345435.55679646076</v>
          </cell>
        </row>
        <row r="17">
          <cell r="A17" t="str">
            <v>37</v>
          </cell>
          <cell r="B17" t="str">
            <v xml:space="preserve">Ind. Metalúrgicas de Base   </v>
          </cell>
          <cell r="D17">
            <v>127.56161182868345</v>
          </cell>
          <cell r="E17">
            <v>117.17290331946366</v>
          </cell>
          <cell r="F17">
            <v>60.073484815979384</v>
          </cell>
          <cell r="G17">
            <v>28.770760820293681</v>
          </cell>
          <cell r="H17">
            <v>110.27698440950057</v>
          </cell>
          <cell r="I17">
            <v>101.63482384337661</v>
          </cell>
          <cell r="J17">
            <v>151.7491998583144</v>
          </cell>
          <cell r="K17">
            <v>216.24754610688339</v>
          </cell>
          <cell r="L17">
            <v>278.33307963083433</v>
          </cell>
          <cell r="M17">
            <v>333.60409043346459</v>
          </cell>
          <cell r="N17">
            <v>566.34366398481666</v>
          </cell>
          <cell r="O17">
            <v>756.67936731064515</v>
          </cell>
          <cell r="P17">
            <v>965.28167063395153</v>
          </cell>
          <cell r="Q17">
            <v>850.60900231262133</v>
          </cell>
          <cell r="R17">
            <v>1491.4028406800403</v>
          </cell>
          <cell r="S17">
            <v>1855.079690398386</v>
          </cell>
          <cell r="T17">
            <v>1944.6784202052406</v>
          </cell>
          <cell r="U17">
            <v>2326.7448162763699</v>
          </cell>
          <cell r="V17">
            <v>2677.9814628205113</v>
          </cell>
          <cell r="W17">
            <v>2713.0593649801012</v>
          </cell>
          <cell r="X17">
            <v>1988.2820547216047</v>
          </cell>
          <cell r="Y17">
            <v>1899.7618100749062</v>
          </cell>
          <cell r="Z17">
            <v>2794.4477345277273</v>
          </cell>
          <cell r="AA17">
            <v>4037.9474833930021</v>
          </cell>
          <cell r="AB17">
            <v>8139.4059861118958</v>
          </cell>
          <cell r="AC17">
            <v>9998.9688581190476</v>
          </cell>
          <cell r="AD17">
            <v>11993.507383018714</v>
          </cell>
          <cell r="AE17">
            <v>16058.014381555502</v>
          </cell>
          <cell r="AF17">
            <v>19874.169923122252</v>
          </cell>
          <cell r="AG17">
            <v>21768.593238496382</v>
          </cell>
          <cell r="AH17">
            <v>24069.860540528738</v>
          </cell>
          <cell r="AI17">
            <v>31951.037527347395</v>
          </cell>
          <cell r="AJ17">
            <v>38644.464977078613</v>
          </cell>
          <cell r="AK17">
            <v>56328.452137121712</v>
          </cell>
          <cell r="AL17">
            <v>55039.41205270488</v>
          </cell>
          <cell r="AM17">
            <v>59111.943527833981</v>
          </cell>
          <cell r="AN17">
            <v>80100.823164659232</v>
          </cell>
          <cell r="AO17">
            <v>66834.64684877127</v>
          </cell>
          <cell r="AP17">
            <v>58582.355570520471</v>
          </cell>
          <cell r="AQ17">
            <v>56069.830175046045</v>
          </cell>
          <cell r="AR17">
            <v>58835.601756910874</v>
          </cell>
          <cell r="AS17">
            <v>57167.661313927223</v>
          </cell>
        </row>
        <row r="18">
          <cell r="A18" t="str">
            <v>38</v>
          </cell>
          <cell r="B18" t="str">
            <v xml:space="preserve">Fab. Produtos Metálicos, Máq. e Mat. de Transporte   </v>
          </cell>
          <cell r="D18">
            <v>1306.4677423996138</v>
          </cell>
          <cell r="E18">
            <v>1158.7912341662416</v>
          </cell>
          <cell r="F18">
            <v>1494.208748713917</v>
          </cell>
          <cell r="G18">
            <v>2283.7745584164386</v>
          </cell>
          <cell r="H18">
            <v>2968.9364067705401</v>
          </cell>
          <cell r="I18">
            <v>3343.047926254153</v>
          </cell>
          <cell r="J18">
            <v>2929.3708537900839</v>
          </cell>
          <cell r="K18">
            <v>3015.3273521289625</v>
          </cell>
          <cell r="L18">
            <v>3809.5046877420527</v>
          </cell>
          <cell r="M18">
            <v>4956.0409632117153</v>
          </cell>
          <cell r="N18">
            <v>5131.9469061011941</v>
          </cell>
          <cell r="O18">
            <v>6327.2900525941695</v>
          </cell>
          <cell r="P18">
            <v>7330.9557931636682</v>
          </cell>
          <cell r="Q18">
            <v>8104.9780039696252</v>
          </cell>
          <cell r="R18">
            <v>8391.4365672069762</v>
          </cell>
          <cell r="S18">
            <v>10009.066128010583</v>
          </cell>
          <cell r="T18">
            <v>12567.507961637684</v>
          </cell>
          <cell r="U18">
            <v>15182.578147593509</v>
          </cell>
          <cell r="V18">
            <v>19214.512775751235</v>
          </cell>
          <cell r="W18">
            <v>21533.391247485823</v>
          </cell>
          <cell r="X18">
            <v>26720.056798840033</v>
          </cell>
          <cell r="Y18">
            <v>25427.8863334628</v>
          </cell>
          <cell r="Z18">
            <v>30494.847058722917</v>
          </cell>
          <cell r="AA18">
            <v>34728.607741934698</v>
          </cell>
          <cell r="AB18">
            <v>39739.759597060576</v>
          </cell>
          <cell r="AC18">
            <v>52545.873994740548</v>
          </cell>
          <cell r="AD18">
            <v>72040.950546385226</v>
          </cell>
          <cell r="AE18">
            <v>88908.58415763927</v>
          </cell>
          <cell r="AF18">
            <v>97002.632099845636</v>
          </cell>
          <cell r="AG18">
            <v>112881.41017723447</v>
          </cell>
          <cell r="AH18">
            <v>132785.50026497012</v>
          </cell>
          <cell r="AI18">
            <v>172961.59001187931</v>
          </cell>
          <cell r="AJ18">
            <v>195747.52625684347</v>
          </cell>
          <cell r="AK18">
            <v>257732.37494473046</v>
          </cell>
          <cell r="AL18">
            <v>281735.0275455364</v>
          </cell>
          <cell r="AM18">
            <v>357182.19361848634</v>
          </cell>
          <cell r="AN18">
            <v>442588.7598460773</v>
          </cell>
          <cell r="AO18">
            <v>471755.38442732452</v>
          </cell>
          <cell r="AP18">
            <v>498440.60772065807</v>
          </cell>
          <cell r="AQ18">
            <v>493397.52119426697</v>
          </cell>
          <cell r="AR18">
            <v>486341.12113163463</v>
          </cell>
          <cell r="AS18">
            <v>599042.00260982628</v>
          </cell>
        </row>
        <row r="19">
          <cell r="A19" t="str">
            <v>39</v>
          </cell>
          <cell r="B19" t="str">
            <v xml:space="preserve">Out. ind. transformadoras   </v>
          </cell>
          <cell r="D19">
            <v>104.03809629100398</v>
          </cell>
          <cell r="E19">
            <v>99.424310783619774</v>
          </cell>
          <cell r="F19">
            <v>114.73045762941797</v>
          </cell>
          <cell r="G19">
            <v>109.78347893987683</v>
          </cell>
          <cell r="H19">
            <v>133.08815496532583</v>
          </cell>
          <cell r="I19">
            <v>130.91183875226247</v>
          </cell>
          <cell r="J19">
            <v>143.4883531101286</v>
          </cell>
          <cell r="K19">
            <v>186.65586892706767</v>
          </cell>
          <cell r="L19">
            <v>201.37969501973748</v>
          </cell>
          <cell r="M19">
            <v>215.08642133371964</v>
          </cell>
          <cell r="N19">
            <v>171.5869279906006</v>
          </cell>
          <cell r="O19">
            <v>230.07287619515017</v>
          </cell>
          <cell r="P19">
            <v>230.04573356002902</v>
          </cell>
          <cell r="Q19">
            <v>252.92888167938466</v>
          </cell>
          <cell r="R19">
            <v>273.46196814960365</v>
          </cell>
          <cell r="S19">
            <v>338.27227912021885</v>
          </cell>
          <cell r="T19">
            <v>418.92471149690158</v>
          </cell>
          <cell r="U19">
            <v>426.70139988965917</v>
          </cell>
          <cell r="V19">
            <v>513.25337075234097</v>
          </cell>
          <cell r="W19">
            <v>661.2840141811763</v>
          </cell>
          <cell r="X19">
            <v>807.49422902857327</v>
          </cell>
          <cell r="Y19">
            <v>792.78811954021023</v>
          </cell>
          <cell r="Z19">
            <v>801.0951286509071</v>
          </cell>
          <cell r="AA19">
            <v>1394.918384398745</v>
          </cell>
          <cell r="AB19">
            <v>1711.7229808808784</v>
          </cell>
          <cell r="AC19">
            <v>2221.1396131341262</v>
          </cell>
          <cell r="AD19">
            <v>2838.1807239667055</v>
          </cell>
          <cell r="AE19">
            <v>2574.5445258468003</v>
          </cell>
          <cell r="AF19">
            <v>3025.4128401620437</v>
          </cell>
          <cell r="AG19">
            <v>3600.645833035092</v>
          </cell>
          <cell r="AH19">
            <v>5638.3877490383766</v>
          </cell>
          <cell r="AI19">
            <v>7502.8125397174981</v>
          </cell>
          <cell r="AJ19">
            <v>9391.5762958088544</v>
          </cell>
          <cell r="AK19">
            <v>11552.543031799069</v>
          </cell>
          <cell r="AL19">
            <v>11972.543730108149</v>
          </cell>
          <cell r="AM19">
            <v>14123.413527188754</v>
          </cell>
          <cell r="AN19">
            <v>18038.532645792468</v>
          </cell>
          <cell r="AO19">
            <v>22305.224961677617</v>
          </cell>
          <cell r="AP19">
            <v>25947.992859713515</v>
          </cell>
          <cell r="AQ19">
            <v>28519.460938611748</v>
          </cell>
          <cell r="AR19">
            <v>32371.513820943655</v>
          </cell>
          <cell r="AS19">
            <v>30450.947618598908</v>
          </cell>
        </row>
        <row r="20">
          <cell r="A20" t="str">
            <v>41</v>
          </cell>
          <cell r="B20" t="str">
            <v xml:space="preserve">Elect. gás e vapor    </v>
          </cell>
          <cell r="D20">
            <v>695.93574620401455</v>
          </cell>
          <cell r="E20">
            <v>866.73501035889626</v>
          </cell>
          <cell r="F20">
            <v>925.61451419762307</v>
          </cell>
          <cell r="G20">
            <v>883.88463138558268</v>
          </cell>
          <cell r="H20">
            <v>1102.1653681880878</v>
          </cell>
          <cell r="I20">
            <v>1312.6150723747926</v>
          </cell>
          <cell r="J20">
            <v>1406.6911910553745</v>
          </cell>
          <cell r="K20">
            <v>1589.4389610296255</v>
          </cell>
          <cell r="L20">
            <v>1822.5727195579498</v>
          </cell>
          <cell r="M20">
            <v>1867.5678268831182</v>
          </cell>
          <cell r="N20">
            <v>2058.8667703160586</v>
          </cell>
          <cell r="O20">
            <v>2184.6637718562088</v>
          </cell>
          <cell r="P20">
            <v>2326.3931915493322</v>
          </cell>
          <cell r="Q20">
            <v>2522.1596478118331</v>
          </cell>
          <cell r="R20">
            <v>2961.2901939764874</v>
          </cell>
          <cell r="S20">
            <v>3148.5681382084922</v>
          </cell>
          <cell r="T20">
            <v>3447.8212613434789</v>
          </cell>
          <cell r="U20">
            <v>4036.68848568463</v>
          </cell>
          <cell r="V20">
            <v>4289.227594924072</v>
          </cell>
          <cell r="W20">
            <v>4718.565618417696</v>
          </cell>
          <cell r="X20">
            <v>5254.0742030612118</v>
          </cell>
          <cell r="Y20">
            <v>4272.8695717518885</v>
          </cell>
          <cell r="Z20">
            <v>4182.5549486222644</v>
          </cell>
          <cell r="AA20">
            <v>8539.4839256700398</v>
          </cell>
          <cell r="AB20">
            <v>12001.37905534426</v>
          </cell>
          <cell r="AC20">
            <v>17717.826050870783</v>
          </cell>
          <cell r="AD20">
            <v>14299.482311878104</v>
          </cell>
          <cell r="AE20">
            <v>23667.394813961808</v>
          </cell>
          <cell r="AF20">
            <v>29077.509876416563</v>
          </cell>
          <cell r="AG20">
            <v>56607.686707971137</v>
          </cell>
          <cell r="AH20">
            <v>94713.342092149484</v>
          </cell>
          <cell r="AI20">
            <v>145190.29082064037</v>
          </cell>
          <cell r="AJ20">
            <v>156690.34320256175</v>
          </cell>
          <cell r="AK20">
            <v>198870.42382943531</v>
          </cell>
          <cell r="AL20">
            <v>257780.12810280488</v>
          </cell>
          <cell r="AM20">
            <v>250791.59161394008</v>
          </cell>
          <cell r="AN20">
            <v>294108.64664444554</v>
          </cell>
          <cell r="AO20">
            <v>381798.38472988835</v>
          </cell>
          <cell r="AP20">
            <v>443656.47247066186</v>
          </cell>
          <cell r="AQ20">
            <v>498247.2526878714</v>
          </cell>
          <cell r="AR20">
            <v>536477.36884121806</v>
          </cell>
          <cell r="AS20">
            <v>551403.58078329905</v>
          </cell>
        </row>
        <row r="21">
          <cell r="A21" t="str">
            <v>42</v>
          </cell>
          <cell r="B21" t="str">
            <v xml:space="preserve">Abastecimento de água   </v>
          </cell>
          <cell r="D21">
            <v>191.50395962629096</v>
          </cell>
          <cell r="E21">
            <v>206.87625694816302</v>
          </cell>
          <cell r="F21">
            <v>206.75116380703608</v>
          </cell>
          <cell r="G21">
            <v>223.72480194026917</v>
          </cell>
          <cell r="H21">
            <v>227.22474123814627</v>
          </cell>
          <cell r="I21">
            <v>270.51760699090892</v>
          </cell>
          <cell r="J21">
            <v>271.79761158763336</v>
          </cell>
          <cell r="K21">
            <v>280.30853225132</v>
          </cell>
          <cell r="L21">
            <v>305.58053664644979</v>
          </cell>
          <cell r="M21">
            <v>302.17499170625115</v>
          </cell>
          <cell r="N21">
            <v>362.88130317136785</v>
          </cell>
          <cell r="O21">
            <v>347.20789899473749</v>
          </cell>
          <cell r="P21">
            <v>406.596319115445</v>
          </cell>
          <cell r="Q21">
            <v>396.43107685609232</v>
          </cell>
          <cell r="R21">
            <v>450.42217829389989</v>
          </cell>
          <cell r="S21">
            <v>518.76166505456047</v>
          </cell>
          <cell r="T21">
            <v>461.41750724453465</v>
          </cell>
          <cell r="U21">
            <v>589.42134251963034</v>
          </cell>
          <cell r="V21">
            <v>661.94221075485871</v>
          </cell>
          <cell r="W21">
            <v>899.14440868569466</v>
          </cell>
          <cell r="X21">
            <v>896.46583308186894</v>
          </cell>
          <cell r="Y21">
            <v>835.02693116341788</v>
          </cell>
          <cell r="Z21">
            <v>837.22702746780521</v>
          </cell>
          <cell r="AA21">
            <v>847.37017998088538</v>
          </cell>
          <cell r="AB21">
            <v>1115.3871585974525</v>
          </cell>
          <cell r="AC21">
            <v>1431.4037668529936</v>
          </cell>
          <cell r="AD21">
            <v>1123.6167107487406</v>
          </cell>
          <cell r="AE21">
            <v>1550.4791049658932</v>
          </cell>
          <cell r="AF21">
            <v>1750.6411100512737</v>
          </cell>
          <cell r="AG21">
            <v>2287.3052739385785</v>
          </cell>
          <cell r="AH21">
            <v>3738.2096550721249</v>
          </cell>
          <cell r="AI21">
            <v>7056.205904421764</v>
          </cell>
          <cell r="AJ21">
            <v>10306.146335669944</v>
          </cell>
          <cell r="AK21">
            <v>13442.364105763529</v>
          </cell>
          <cell r="AL21">
            <v>17750.69058754099</v>
          </cell>
          <cell r="AM21">
            <v>20888.21142907895</v>
          </cell>
          <cell r="AN21">
            <v>22592.469626117607</v>
          </cell>
          <cell r="AO21">
            <v>25859.163455461428</v>
          </cell>
          <cell r="AP21">
            <v>31012.508418910911</v>
          </cell>
          <cell r="AQ21">
            <v>34870.51913980901</v>
          </cell>
          <cell r="AR21">
            <v>38826.368999048238</v>
          </cell>
          <cell r="AS21">
            <v>40078.17111426044</v>
          </cell>
        </row>
        <row r="22">
          <cell r="A22" t="str">
            <v>5</v>
          </cell>
          <cell r="B22" t="str">
            <v xml:space="preserve">Construção   </v>
          </cell>
          <cell r="D22">
            <v>3306.0872756156195</v>
          </cell>
          <cell r="E22">
            <v>3688.8309689974117</v>
          </cell>
          <cell r="F22">
            <v>4443.017069128874</v>
          </cell>
          <cell r="G22">
            <v>4884.7434531586287</v>
          </cell>
          <cell r="H22">
            <v>5324.7477293915808</v>
          </cell>
          <cell r="I22">
            <v>5596.8878545161597</v>
          </cell>
          <cell r="J22">
            <v>6355.5851587739371</v>
          </cell>
          <cell r="K22">
            <v>6457.5606885286743</v>
          </cell>
          <cell r="L22">
            <v>6677.7140500456899</v>
          </cell>
          <cell r="M22">
            <v>7176.6539170283386</v>
          </cell>
          <cell r="N22">
            <v>7617.783222839088</v>
          </cell>
          <cell r="O22">
            <v>8833.5369579424514</v>
          </cell>
          <cell r="P22">
            <v>10371.46213545683</v>
          </cell>
          <cell r="Q22">
            <v>11890.584121351258</v>
          </cell>
          <cell r="R22">
            <v>13278.912128534139</v>
          </cell>
          <cell r="S22">
            <v>14890.385269572071</v>
          </cell>
          <cell r="T22">
            <v>17772.195929796519</v>
          </cell>
          <cell r="U22">
            <v>23358.11027429601</v>
          </cell>
          <cell r="V22">
            <v>29971.511274612676</v>
          </cell>
          <cell r="W22">
            <v>33285.386076528099</v>
          </cell>
          <cell r="X22">
            <v>33062.494621708858</v>
          </cell>
          <cell r="Y22">
            <v>41836.927641042581</v>
          </cell>
          <cell r="Z22">
            <v>48517.56611323735</v>
          </cell>
          <cell r="AA22">
            <v>62888.299402165307</v>
          </cell>
          <cell r="AB22">
            <v>81774.622803107486</v>
          </cell>
          <cell r="AC22">
            <v>96507.841952756993</v>
          </cell>
          <cell r="AD22">
            <v>106363.40599901522</v>
          </cell>
          <cell r="AE22">
            <v>147874.95559176829</v>
          </cell>
          <cell r="AF22">
            <v>184363.37073217487</v>
          </cell>
          <cell r="AG22">
            <v>215812.88792551885</v>
          </cell>
          <cell r="AH22">
            <v>222261.94970772232</v>
          </cell>
          <cell r="AI22">
            <v>232848.65089618007</v>
          </cell>
          <cell r="AJ22">
            <v>276417.12540919438</v>
          </cell>
          <cell r="AK22">
            <v>335025.55454949429</v>
          </cell>
          <cell r="AL22">
            <v>392625.29359831451</v>
          </cell>
          <cell r="AM22">
            <v>407965.05025192042</v>
          </cell>
          <cell r="AN22">
            <v>481157.62304665532</v>
          </cell>
          <cell r="AO22">
            <v>593385.65431350644</v>
          </cell>
          <cell r="AP22">
            <v>770131.83747494721</v>
          </cell>
          <cell r="AQ22">
            <v>762271.85523843707</v>
          </cell>
          <cell r="AR22">
            <v>853563.70110901876</v>
          </cell>
          <cell r="AS22">
            <v>910327.9446449473</v>
          </cell>
        </row>
        <row r="23">
          <cell r="A23" t="str">
            <v>61+62</v>
          </cell>
          <cell r="B23" t="str">
            <v xml:space="preserve">Comércio por Grosso e Retalho   </v>
          </cell>
          <cell r="D23">
            <v>6781.6057857546666</v>
          </cell>
          <cell r="E23">
            <v>8169.5129120124402</v>
          </cell>
          <cell r="F23">
            <v>7728.1789016135845</v>
          </cell>
          <cell r="G23">
            <v>9998.1344362272812</v>
          </cell>
          <cell r="H23">
            <v>10084.27104096139</v>
          </cell>
          <cell r="I23">
            <v>11221.384328967324</v>
          </cell>
          <cell r="J23">
            <v>12175.037142779396</v>
          </cell>
          <cell r="K23">
            <v>12925.661130116214</v>
          </cell>
          <cell r="L23">
            <v>12939.048564612696</v>
          </cell>
          <cell r="M23">
            <v>16243.81776773307</v>
          </cell>
          <cell r="N23">
            <v>16764.547072922302</v>
          </cell>
          <cell r="O23">
            <v>19466.911532641916</v>
          </cell>
          <cell r="P23">
            <v>21022.627188073075</v>
          </cell>
          <cell r="Q23">
            <v>21416.997476630906</v>
          </cell>
          <cell r="R23">
            <v>25762.568451056879</v>
          </cell>
          <cell r="S23">
            <v>28416.771994633033</v>
          </cell>
          <cell r="T23">
            <v>28156.425048536581</v>
          </cell>
          <cell r="U23">
            <v>33183.681440484812</v>
          </cell>
          <cell r="V23">
            <v>39282.562117720663</v>
          </cell>
          <cell r="W23">
            <v>43134.898543381008</v>
          </cell>
          <cell r="X23">
            <v>54343.222353403151</v>
          </cell>
          <cell r="Y23">
            <v>53666.479687714076</v>
          </cell>
          <cell r="Z23">
            <v>68121.242978292576</v>
          </cell>
          <cell r="AA23">
            <v>82704.598800891981</v>
          </cell>
          <cell r="AB23">
            <v>108969.44867419271</v>
          </cell>
          <cell r="AC23">
            <v>135967.49748647137</v>
          </cell>
          <cell r="AD23">
            <v>175433.98271615861</v>
          </cell>
          <cell r="AE23">
            <v>250604.87601923445</v>
          </cell>
          <cell r="AF23">
            <v>281525.59867143777</v>
          </cell>
          <cell r="AG23">
            <v>342232.68980281346</v>
          </cell>
          <cell r="AH23">
            <v>442003.96728363557</v>
          </cell>
          <cell r="AI23">
            <v>566009.67218671588</v>
          </cell>
          <cell r="AJ23">
            <v>681089.83764778532</v>
          </cell>
          <cell r="AK23">
            <v>874193.05327924597</v>
          </cell>
          <cell r="AL23">
            <v>935920.15120351547</v>
          </cell>
          <cell r="AM23">
            <v>1123901.7548816304</v>
          </cell>
          <cell r="AN23">
            <v>1245229.1684499655</v>
          </cell>
          <cell r="AO23">
            <v>1471467.3029591795</v>
          </cell>
          <cell r="AP23">
            <v>1663820.7800713039</v>
          </cell>
          <cell r="AQ23">
            <v>1904487.3651633516</v>
          </cell>
          <cell r="AR23">
            <v>1955728.0802214539</v>
          </cell>
          <cell r="AS23">
            <v>2048785.7634391866</v>
          </cell>
        </row>
        <row r="24">
          <cell r="A24" t="str">
            <v>63</v>
          </cell>
          <cell r="B24" t="str">
            <v xml:space="preserve">Restaurantes e hóteis   </v>
          </cell>
          <cell r="D24">
            <v>700.12590171476791</v>
          </cell>
          <cell r="E24">
            <v>679.98622869977817</v>
          </cell>
          <cell r="F24">
            <v>721.94640700408672</v>
          </cell>
          <cell r="G24">
            <v>639.86414098957562</v>
          </cell>
          <cell r="H24">
            <v>547.66343051158674</v>
          </cell>
          <cell r="I24">
            <v>735.92251091463118</v>
          </cell>
          <cell r="J24">
            <v>800.57100199485308</v>
          </cell>
          <cell r="K24">
            <v>873.59117429681976</v>
          </cell>
          <cell r="L24">
            <v>802.73329627582029</v>
          </cell>
          <cell r="M24">
            <v>872.61584571772585</v>
          </cell>
          <cell r="N24">
            <v>994.64143871989165</v>
          </cell>
          <cell r="O24">
            <v>1196.5060906877093</v>
          </cell>
          <cell r="P24">
            <v>1653.9660004226196</v>
          </cell>
          <cell r="Q24">
            <v>2069.7421275060965</v>
          </cell>
          <cell r="R24">
            <v>2131.4436614481792</v>
          </cell>
          <cell r="S24">
            <v>2513.6674893833879</v>
          </cell>
          <cell r="T24">
            <v>2594.5640232815081</v>
          </cell>
          <cell r="U24">
            <v>3423.3419235451961</v>
          </cell>
          <cell r="V24">
            <v>4124.0118969587684</v>
          </cell>
          <cell r="W24">
            <v>5071.6555272024789</v>
          </cell>
          <cell r="X24">
            <v>5717.1820606968395</v>
          </cell>
          <cell r="Y24">
            <v>5981.6387570579045</v>
          </cell>
          <cell r="Z24">
            <v>8336.4580102974487</v>
          </cell>
          <cell r="AA24">
            <v>11996.429321487716</v>
          </cell>
          <cell r="AB24">
            <v>12738.962553325144</v>
          </cell>
          <cell r="AC24">
            <v>18362.381210280117</v>
          </cell>
          <cell r="AD24">
            <v>25690.610054016874</v>
          </cell>
          <cell r="AE24">
            <v>30433.686019815636</v>
          </cell>
          <cell r="AF24">
            <v>38314.707038543267</v>
          </cell>
          <cell r="AG24">
            <v>50071.256835762819</v>
          </cell>
          <cell r="AH24">
            <v>64786.403725131706</v>
          </cell>
          <cell r="AI24">
            <v>86055.027227993633</v>
          </cell>
          <cell r="AJ24">
            <v>109846.40370064777</v>
          </cell>
          <cell r="AK24">
            <v>138220.65170677617</v>
          </cell>
          <cell r="AL24">
            <v>162276.90129811465</v>
          </cell>
          <cell r="AM24">
            <v>197348.01741666175</v>
          </cell>
          <cell r="AN24">
            <v>260598.02585296257</v>
          </cell>
          <cell r="AO24">
            <v>328900.11871554446</v>
          </cell>
          <cell r="AP24">
            <v>415355.04256243526</v>
          </cell>
          <cell r="AQ24">
            <v>497727.56458747602</v>
          </cell>
          <cell r="AR24">
            <v>553765.74304620095</v>
          </cell>
          <cell r="AS24">
            <v>580559.20105449634</v>
          </cell>
        </row>
        <row r="25">
          <cell r="A25" t="str">
            <v>71</v>
          </cell>
          <cell r="B25" t="str">
            <v xml:space="preserve">Transportes e Armazenagem   </v>
          </cell>
          <cell r="D25">
            <v>1711.0081066320674</v>
          </cell>
          <cell r="E25">
            <v>2176.6794436584732</v>
          </cell>
          <cell r="F25">
            <v>2127.0081682849786</v>
          </cell>
          <cell r="G25">
            <v>2149.344558548682</v>
          </cell>
          <cell r="H25">
            <v>2245.8928381752189</v>
          </cell>
          <cell r="I25">
            <v>2255.1492798913846</v>
          </cell>
          <cell r="J25">
            <v>2448.4983463144308</v>
          </cell>
          <cell r="K25">
            <v>2689.7303147334301</v>
          </cell>
          <cell r="L25">
            <v>3088.1801485228361</v>
          </cell>
          <cell r="M25">
            <v>3296.4114265485764</v>
          </cell>
          <cell r="N25">
            <v>3835.3560920075683</v>
          </cell>
          <cell r="O25">
            <v>4452.5464609142655</v>
          </cell>
          <cell r="P25">
            <v>4884.1392635187558</v>
          </cell>
          <cell r="Q25">
            <v>5476.065782405668</v>
          </cell>
          <cell r="R25">
            <v>6044.9407921453358</v>
          </cell>
          <cell r="S25">
            <v>6328.1248523806389</v>
          </cell>
          <cell r="T25">
            <v>8157.2098719832893</v>
          </cell>
          <cell r="U25">
            <v>7985.8925983207437</v>
          </cell>
          <cell r="V25">
            <v>11076.862578212473</v>
          </cell>
          <cell r="W25">
            <v>11588.083613135766</v>
          </cell>
          <cell r="X25">
            <v>12181.88040104323</v>
          </cell>
          <cell r="Y25">
            <v>15727.244780585821</v>
          </cell>
          <cell r="Z25">
            <v>21810.927008818941</v>
          </cell>
          <cell r="AA25">
            <v>29057.492998865393</v>
          </cell>
          <cell r="AB25">
            <v>34847.424201062619</v>
          </cell>
          <cell r="AC25">
            <v>40594.996764102136</v>
          </cell>
          <cell r="AD25">
            <v>46434.051390556859</v>
          </cell>
          <cell r="AE25">
            <v>57395.49757400994</v>
          </cell>
          <cell r="AF25">
            <v>77853.318711823566</v>
          </cell>
          <cell r="AG25">
            <v>98767.451560236717</v>
          </cell>
          <cell r="AH25">
            <v>129368.73251250332</v>
          </cell>
          <cell r="AI25">
            <v>168697.8365479566</v>
          </cell>
          <cell r="AJ25">
            <v>235128.8692537976</v>
          </cell>
          <cell r="AK25">
            <v>266717.9672524833</v>
          </cell>
          <cell r="AL25">
            <v>305071.04824027431</v>
          </cell>
          <cell r="AM25">
            <v>347460.47675099212</v>
          </cell>
          <cell r="AN25">
            <v>400972.49965706829</v>
          </cell>
          <cell r="AO25">
            <v>442709.34407735092</v>
          </cell>
          <cell r="AP25">
            <v>535534.35054593603</v>
          </cell>
          <cell r="AQ25">
            <v>524721.12840887601</v>
          </cell>
          <cell r="AR25">
            <v>548792.80564819649</v>
          </cell>
          <cell r="AS25">
            <v>599746.59738285211</v>
          </cell>
        </row>
        <row r="26">
          <cell r="A26" t="str">
            <v>72</v>
          </cell>
          <cell r="B26" t="str">
            <v xml:space="preserve">Comunicações   </v>
          </cell>
          <cell r="D26">
            <v>609.24362108331025</v>
          </cell>
          <cell r="E26">
            <v>743.92468440597577</v>
          </cell>
          <cell r="F26">
            <v>725.10044268604076</v>
          </cell>
          <cell r="G26">
            <v>762.78653322185289</v>
          </cell>
          <cell r="H26">
            <v>816.61026020828945</v>
          </cell>
          <cell r="I26">
            <v>875.46715057536403</v>
          </cell>
          <cell r="J26">
            <v>916.96851231133144</v>
          </cell>
          <cell r="K26">
            <v>986.01694433281068</v>
          </cell>
          <cell r="L26">
            <v>1082.4854473791077</v>
          </cell>
          <cell r="M26">
            <v>1166.72593423885</v>
          </cell>
          <cell r="N26">
            <v>1313.50549399089</v>
          </cell>
          <cell r="O26">
            <v>1049.0615353996941</v>
          </cell>
          <cell r="P26">
            <v>1512.2037981760109</v>
          </cell>
          <cell r="Q26">
            <v>1692.9456063501314</v>
          </cell>
          <cell r="R26">
            <v>1874.2212590256745</v>
          </cell>
          <cell r="S26">
            <v>2072.9414163640604</v>
          </cell>
          <cell r="T26">
            <v>2300.8601099610873</v>
          </cell>
          <cell r="U26">
            <v>2570.8761556906479</v>
          </cell>
          <cell r="V26">
            <v>2912.8484922832513</v>
          </cell>
          <cell r="W26">
            <v>3148.0185966706781</v>
          </cell>
          <cell r="X26">
            <v>3269.0431585940232</v>
          </cell>
          <cell r="Y26">
            <v>3782.3782682228111</v>
          </cell>
          <cell r="Z26">
            <v>6530.5436730703177</v>
          </cell>
          <cell r="AA26">
            <v>8642.4886302545128</v>
          </cell>
          <cell r="AB26">
            <v>9274.5907679716001</v>
          </cell>
          <cell r="AC26">
            <v>16309.850397925686</v>
          </cell>
          <cell r="AD26">
            <v>23293.75334295183</v>
          </cell>
          <cell r="AE26">
            <v>20202.484339850987</v>
          </cell>
          <cell r="AF26">
            <v>37829.17747128912</v>
          </cell>
          <cell r="AG26">
            <v>41375.603243611375</v>
          </cell>
          <cell r="AH26">
            <v>52463.269262264985</v>
          </cell>
          <cell r="AI26">
            <v>69788.46876435481</v>
          </cell>
          <cell r="AJ26">
            <v>95299.193197477594</v>
          </cell>
          <cell r="AK26">
            <v>117849.56910493151</v>
          </cell>
          <cell r="AL26">
            <v>135733.64053716438</v>
          </cell>
          <cell r="AM26">
            <v>160396.77985809717</v>
          </cell>
          <cell r="AN26">
            <v>175818.18622518296</v>
          </cell>
          <cell r="AO26">
            <v>229768.68779446825</v>
          </cell>
          <cell r="AP26">
            <v>301705.74686423689</v>
          </cell>
          <cell r="AQ26">
            <v>318463.26812330948</v>
          </cell>
          <cell r="AR26">
            <v>354295.37873826205</v>
          </cell>
          <cell r="AS26">
            <v>386681.373752043</v>
          </cell>
        </row>
        <row r="27">
          <cell r="A27" t="str">
            <v>81</v>
          </cell>
          <cell r="B27" t="str">
            <v xml:space="preserve">Bancos e out. inst. mon. fin.   </v>
          </cell>
          <cell r="D27">
            <v>807.20280967205429</v>
          </cell>
          <cell r="E27">
            <v>860.17557901647046</v>
          </cell>
          <cell r="F27">
            <v>928.21430267240385</v>
          </cell>
          <cell r="G27">
            <v>988.60212149470351</v>
          </cell>
          <cell r="H27">
            <v>1096.0677227131548</v>
          </cell>
          <cell r="I27">
            <v>1165.2095594551986</v>
          </cell>
          <cell r="J27">
            <v>1323.6725059715034</v>
          </cell>
          <cell r="K27">
            <v>1445.6153538397007</v>
          </cell>
          <cell r="L27">
            <v>1628.8622887985073</v>
          </cell>
          <cell r="M27">
            <v>1761.6808239608895</v>
          </cell>
          <cell r="N27">
            <v>1994.1704792460123</v>
          </cell>
          <cell r="O27">
            <v>2356.6140261172482</v>
          </cell>
          <cell r="P27">
            <v>2610.7813252393826</v>
          </cell>
          <cell r="Q27">
            <v>2989.7128330444789</v>
          </cell>
          <cell r="R27">
            <v>3513.1177665633995</v>
          </cell>
          <cell r="S27">
            <v>3871.2465824172236</v>
          </cell>
          <cell r="T27">
            <v>4517.8346540165157</v>
          </cell>
          <cell r="U27">
            <v>5255.2618906902471</v>
          </cell>
          <cell r="V27">
            <v>6237.5301335945896</v>
          </cell>
          <cell r="W27">
            <v>7727.0526809266867</v>
          </cell>
          <cell r="X27">
            <v>8483.7828120720715</v>
          </cell>
          <cell r="Y27">
            <v>9393.2825860910143</v>
          </cell>
          <cell r="Z27">
            <v>17168.788652588559</v>
          </cell>
          <cell r="AA27">
            <v>23328.980868689323</v>
          </cell>
          <cell r="AB27">
            <v>41209.966935739605</v>
          </cell>
          <cell r="AC27">
            <v>39710.356828110816</v>
          </cell>
          <cell r="AD27">
            <v>48391.571981389301</v>
          </cell>
          <cell r="AE27">
            <v>66797.533139107589</v>
          </cell>
          <cell r="AF27">
            <v>90363.526949999883</v>
          </cell>
          <cell r="AG27">
            <v>106524.79929241854</v>
          </cell>
          <cell r="AH27">
            <v>115926.13788370109</v>
          </cell>
          <cell r="AI27">
            <v>168445.58310276759</v>
          </cell>
          <cell r="AJ27">
            <v>209961.27036263605</v>
          </cell>
          <cell r="AK27">
            <v>284193.85996942705</v>
          </cell>
          <cell r="AL27">
            <v>325982.31943073333</v>
          </cell>
          <cell r="AM27">
            <v>438080.05972173833</v>
          </cell>
          <cell r="AN27">
            <v>551620.40220039547</v>
          </cell>
          <cell r="AO27">
            <v>645925.00371738209</v>
          </cell>
          <cell r="AP27">
            <v>637627.73283227836</v>
          </cell>
          <cell r="AQ27">
            <v>753196.92286080099</v>
          </cell>
          <cell r="AR27">
            <v>784707.15996972425</v>
          </cell>
          <cell r="AS27">
            <v>786311.94169163483</v>
          </cell>
        </row>
        <row r="28">
          <cell r="A28" t="str">
            <v>82</v>
          </cell>
          <cell r="B28" t="str">
            <v xml:space="preserve">Seguros   </v>
          </cell>
          <cell r="D28">
            <v>438.70093873816194</v>
          </cell>
          <cell r="E28">
            <v>430.51515620326143</v>
          </cell>
          <cell r="F28">
            <v>469.74329736053664</v>
          </cell>
          <cell r="G28">
            <v>472.05759625950583</v>
          </cell>
          <cell r="H28">
            <v>539.32878049283943</v>
          </cell>
          <cell r="I28">
            <v>519.14852577372756</v>
          </cell>
          <cell r="J28">
            <v>501.97541555759864</v>
          </cell>
          <cell r="K28">
            <v>588.91602110177303</v>
          </cell>
          <cell r="L28">
            <v>623.16174284134161</v>
          </cell>
          <cell r="M28">
            <v>594.06371347222125</v>
          </cell>
          <cell r="N28">
            <v>599.05843144108405</v>
          </cell>
          <cell r="O28">
            <v>728.93342024247158</v>
          </cell>
          <cell r="P28">
            <v>771.84417078680428</v>
          </cell>
          <cell r="Q28">
            <v>913.19412958765736</v>
          </cell>
          <cell r="R28">
            <v>1024.1822739222246</v>
          </cell>
          <cell r="S28">
            <v>1137.4911694915832</v>
          </cell>
          <cell r="T28">
            <v>1345.941793168482</v>
          </cell>
          <cell r="U28">
            <v>1603.2137363017287</v>
          </cell>
          <cell r="V28">
            <v>1765.9853933053896</v>
          </cell>
          <cell r="W28">
            <v>1725.7491332365807</v>
          </cell>
          <cell r="X28">
            <v>2344.980791752253</v>
          </cell>
          <cell r="Y28">
            <v>2542.2794937619724</v>
          </cell>
          <cell r="Z28">
            <v>3953.1235368525113</v>
          </cell>
          <cell r="AA28">
            <v>4739.730270372339</v>
          </cell>
          <cell r="AB28">
            <v>5299.0539947589386</v>
          </cell>
          <cell r="AC28">
            <v>6435.0645209097675</v>
          </cell>
          <cell r="AD28">
            <v>8986.3604779546513</v>
          </cell>
          <cell r="AE28">
            <v>10128.866752893287</v>
          </cell>
          <cell r="AF28">
            <v>11688.994062975738</v>
          </cell>
          <cell r="AG28">
            <v>13490.129539502359</v>
          </cell>
          <cell r="AH28">
            <v>18091.963946989224</v>
          </cell>
          <cell r="AI28">
            <v>19866.14895187243</v>
          </cell>
          <cell r="AJ28">
            <v>28709.927877875805</v>
          </cell>
          <cell r="AK28">
            <v>32426.401437285178</v>
          </cell>
          <cell r="AL28">
            <v>33715.091365598993</v>
          </cell>
          <cell r="AM28">
            <v>38927.405103732017</v>
          </cell>
          <cell r="AN28">
            <v>40395.41016862783</v>
          </cell>
          <cell r="AO28">
            <v>37138.620443279186</v>
          </cell>
          <cell r="AP28">
            <v>16935.916911513457</v>
          </cell>
          <cell r="AQ28">
            <v>42324.077421574271</v>
          </cell>
          <cell r="AR28">
            <v>75332.260391563701</v>
          </cell>
          <cell r="AS28">
            <v>96770.695855913</v>
          </cell>
        </row>
        <row r="29">
          <cell r="A29" t="str">
            <v>83</v>
          </cell>
          <cell r="B29" t="str">
            <v xml:space="preserve">Operações s/ Imóveis e Serviços prestados às empresas   </v>
          </cell>
          <cell r="D29">
            <v>5138.8864534361946</v>
          </cell>
          <cell r="E29">
            <v>5455.5169564366206</v>
          </cell>
          <cell r="F29">
            <v>5805.123622932424</v>
          </cell>
          <cell r="G29">
            <v>6079.6103164741799</v>
          </cell>
          <cell r="H29">
            <v>6582.5638620467535</v>
          </cell>
          <cell r="I29">
            <v>6821.5113998028864</v>
          </cell>
          <cell r="J29">
            <v>7408.2442504047121</v>
          </cell>
          <cell r="K29">
            <v>7940.559302067637</v>
          </cell>
          <cell r="L29">
            <v>8371.0378854198207</v>
          </cell>
          <cell r="M29">
            <v>8938.4040127431235</v>
          </cell>
          <cell r="N29">
            <v>9761.797498557431</v>
          </cell>
          <cell r="O29">
            <v>10619.129506490817</v>
          </cell>
          <cell r="P29">
            <v>11172.022192830065</v>
          </cell>
          <cell r="Q29">
            <v>12502.649587755286</v>
          </cell>
          <cell r="R29">
            <v>13903.323171724251</v>
          </cell>
          <cell r="S29">
            <v>15524.995263547908</v>
          </cell>
          <cell r="T29">
            <v>17491.671365635677</v>
          </cell>
          <cell r="U29">
            <v>19736.835994184945</v>
          </cell>
          <cell r="V29">
            <v>23307.968563504844</v>
          </cell>
          <cell r="W29">
            <v>27297.472875961099</v>
          </cell>
          <cell r="X29">
            <v>31488.364669309787</v>
          </cell>
          <cell r="Y29">
            <v>33721.263585274093</v>
          </cell>
          <cell r="Z29">
            <v>37871.167860847781</v>
          </cell>
          <cell r="AA29">
            <v>42908.395927086996</v>
          </cell>
          <cell r="AB29">
            <v>48382.141325600453</v>
          </cell>
          <cell r="AC29">
            <v>55795.570050225571</v>
          </cell>
          <cell r="AD29">
            <v>68297.253999401233</v>
          </cell>
          <cell r="AE29">
            <v>77560.05470486921</v>
          </cell>
          <cell r="AF29">
            <v>87256.419050714758</v>
          </cell>
          <cell r="AG29">
            <v>102342.88268355116</v>
          </cell>
          <cell r="AH29">
            <v>123934.24344585744</v>
          </cell>
          <cell r="AI29">
            <v>143549.6761970864</v>
          </cell>
          <cell r="AJ29">
            <v>172288.00786614447</v>
          </cell>
          <cell r="AK29">
            <v>233959.28716938966</v>
          </cell>
          <cell r="AL29">
            <v>283589.53458852723</v>
          </cell>
          <cell r="AM29">
            <v>349697.01019705326</v>
          </cell>
          <cell r="AN29">
            <v>445295.85560357315</v>
          </cell>
          <cell r="AO29">
            <v>554994.92722531047</v>
          </cell>
          <cell r="AP29">
            <v>697039.51761696266</v>
          </cell>
          <cell r="AQ29">
            <v>810467.86536543083</v>
          </cell>
          <cell r="AR29">
            <v>943188.61179264751</v>
          </cell>
          <cell r="AS29">
            <v>1123417.4426743735</v>
          </cell>
        </row>
        <row r="30">
          <cell r="A30" t="str">
            <v>9</v>
          </cell>
          <cell r="B30" t="str">
            <v xml:space="preserve">Serv. Prestados Colectividade (componente pública)   </v>
          </cell>
          <cell r="D30">
            <v>3359.6155378600783</v>
          </cell>
          <cell r="E30">
            <v>3440.4837945773943</v>
          </cell>
          <cell r="F30">
            <v>3804.3161323761237</v>
          </cell>
          <cell r="G30">
            <v>3952.8934557747775</v>
          </cell>
          <cell r="H30">
            <v>4154.0187743631013</v>
          </cell>
          <cell r="I30">
            <v>4245.779543228824</v>
          </cell>
          <cell r="J30">
            <v>5328.8607647430736</v>
          </cell>
          <cell r="K30">
            <v>6515.2244889316707</v>
          </cell>
          <cell r="L30">
            <v>7235.0218438918519</v>
          </cell>
          <cell r="M30">
            <v>7636.1287957821678</v>
          </cell>
          <cell r="N30">
            <v>8106.1614082133319</v>
          </cell>
          <cell r="O30">
            <v>8461.9212854972939</v>
          </cell>
          <cell r="P30">
            <v>9046.1731059340946</v>
          </cell>
          <cell r="Q30">
            <v>10368.835443541939</v>
          </cell>
          <cell r="R30">
            <v>12380.338038969339</v>
          </cell>
          <cell r="S30">
            <v>12895.831898673776</v>
          </cell>
          <cell r="T30">
            <v>14393.503105638172</v>
          </cell>
          <cell r="U30">
            <v>17604.47963015136</v>
          </cell>
          <cell r="V30">
            <v>21714.330354357073</v>
          </cell>
          <cell r="W30">
            <v>23771.920031564234</v>
          </cell>
          <cell r="X30">
            <v>28978.0669015286</v>
          </cell>
          <cell r="Y30">
            <v>37799.867575075412</v>
          </cell>
          <cell r="Z30">
            <v>51015.388806858631</v>
          </cell>
          <cell r="AA30">
            <v>65288.424278663668</v>
          </cell>
          <cell r="AB30">
            <v>82007.172413393389</v>
          </cell>
          <cell r="AC30">
            <v>104683.90925336431</v>
          </cell>
          <cell r="AD30">
            <v>133880.50211809893</v>
          </cell>
          <cell r="AE30">
            <v>171896.5776792324</v>
          </cell>
          <cell r="AF30">
            <v>208748.69899456605</v>
          </cell>
          <cell r="AG30">
            <v>258452.39245683132</v>
          </cell>
          <cell r="AH30">
            <v>316065.98189910938</v>
          </cell>
          <cell r="AI30">
            <v>390467.7200114681</v>
          </cell>
          <cell r="AJ30">
            <v>497175.95837252511</v>
          </cell>
          <cell r="AK30">
            <v>608304.25206778478</v>
          </cell>
          <cell r="AL30">
            <v>739797.02003965445</v>
          </cell>
          <cell r="AM30">
            <v>915958.80861725775</v>
          </cell>
          <cell r="AN30">
            <v>1104477.7851030536</v>
          </cell>
          <cell r="AO30">
            <v>1352119.610390791</v>
          </cell>
          <cell r="AP30">
            <v>1669659.7644334571</v>
          </cell>
          <cell r="AQ30">
            <v>1900127.7595534858</v>
          </cell>
          <cell r="AR30">
            <v>2074012.2112667067</v>
          </cell>
          <cell r="AS30">
            <v>2193463.9581424645</v>
          </cell>
        </row>
        <row r="31">
          <cell r="A31">
            <v>9</v>
          </cell>
          <cell r="B31" t="str">
            <v xml:space="preserve">Serv. Prestados Colectividade (componente privada)   </v>
          </cell>
          <cell r="D31">
            <v>3305.2233551657305</v>
          </cell>
          <cell r="E31">
            <v>3174.4983830279057</v>
          </cell>
          <cell r="F31">
            <v>3423.917878610363</v>
          </cell>
          <cell r="G31">
            <v>3406.587844206028</v>
          </cell>
          <cell r="H31">
            <v>4029.8593502310355</v>
          </cell>
          <cell r="I31">
            <v>4234.6453528272395</v>
          </cell>
          <cell r="J31">
            <v>4933.47628308407</v>
          </cell>
          <cell r="K31">
            <v>5339.0699223637621</v>
          </cell>
          <cell r="L31">
            <v>5158.1351364591646</v>
          </cell>
          <cell r="M31">
            <v>5251.3352163492491</v>
          </cell>
          <cell r="N31">
            <v>5188.3676931764348</v>
          </cell>
          <cell r="O31">
            <v>6149.6830639753671</v>
          </cell>
          <cell r="P31">
            <v>8332.7766135292059</v>
          </cell>
          <cell r="Q31">
            <v>9115.1306957347715</v>
          </cell>
          <cell r="R31">
            <v>9770.9801012309235</v>
          </cell>
          <cell r="S31">
            <v>9825.5082025718912</v>
          </cell>
          <cell r="T31">
            <v>10027.286935003563</v>
          </cell>
          <cell r="U31">
            <v>12720.384648546244</v>
          </cell>
          <cell r="V31">
            <v>14991.232459478257</v>
          </cell>
          <cell r="W31">
            <v>17403.89134828245</v>
          </cell>
          <cell r="X31">
            <v>19507.95022659704</v>
          </cell>
          <cell r="Y31">
            <v>24655.4107377945</v>
          </cell>
          <cell r="Z31">
            <v>31081.110894342131</v>
          </cell>
          <cell r="AA31">
            <v>37358.194041104056</v>
          </cell>
          <cell r="AB31">
            <v>44479.141260196368</v>
          </cell>
          <cell r="AC31">
            <v>50655.57711306397</v>
          </cell>
          <cell r="AD31">
            <v>59667.097820497125</v>
          </cell>
          <cell r="AE31">
            <v>72864.197933437492</v>
          </cell>
          <cell r="AF31">
            <v>89987.497139315441</v>
          </cell>
          <cell r="AG31">
            <v>107753.76290705794</v>
          </cell>
          <cell r="AH31">
            <v>128199.66780491012</v>
          </cell>
          <cell r="AI31">
            <v>151805.05684518194</v>
          </cell>
          <cell r="AJ31">
            <v>183106.76225399494</v>
          </cell>
          <cell r="AK31">
            <v>242191.35372244319</v>
          </cell>
          <cell r="AL31">
            <v>304915.64159718133</v>
          </cell>
          <cell r="AM31">
            <v>396738.5486363488</v>
          </cell>
          <cell r="AN31">
            <v>498360.42899608146</v>
          </cell>
          <cell r="AO31">
            <v>624313.3342494457</v>
          </cell>
          <cell r="AP31">
            <v>767564.47468996339</v>
          </cell>
          <cell r="AQ31">
            <v>898248.13469516893</v>
          </cell>
          <cell r="AR31">
            <v>1029542.9082768249</v>
          </cell>
          <cell r="AS31">
            <v>1155481.6683305518</v>
          </cell>
        </row>
        <row r="32">
          <cell r="A32" t="str">
            <v>( - ) PISB</v>
          </cell>
          <cell r="B32" t="str">
            <v xml:space="preserve">Produção Imputada de Serviços Bancários   </v>
          </cell>
          <cell r="D32">
            <v>-500.47761788484814</v>
          </cell>
          <cell r="E32">
            <v>-544.30424028912012</v>
          </cell>
          <cell r="F32">
            <v>-607.91701319559138</v>
          </cell>
          <cell r="G32">
            <v>-666.18341736399066</v>
          </cell>
          <cell r="H32">
            <v>-770.72270393440624</v>
          </cell>
          <cell r="I32">
            <v>-864.62314882782914</v>
          </cell>
          <cell r="J32">
            <v>-944.10014086635704</v>
          </cell>
          <cell r="K32">
            <v>-1105.7104158954151</v>
          </cell>
          <cell r="L32">
            <v>-1237.8922612599247</v>
          </cell>
          <cell r="M32">
            <v>-1285.5726919387384</v>
          </cell>
          <cell r="N32">
            <v>-1411.586975074689</v>
          </cell>
          <cell r="O32">
            <v>-1756.2603515764802</v>
          </cell>
          <cell r="P32">
            <v>-1986.8788007890155</v>
          </cell>
          <cell r="Q32">
            <v>-2431.4922122034282</v>
          </cell>
          <cell r="R32">
            <v>-2328.293877935057</v>
          </cell>
          <cell r="S32">
            <v>-3099.2555078965634</v>
          </cell>
          <cell r="T32">
            <v>-3340.4823339386821</v>
          </cell>
          <cell r="U32">
            <v>-4402.2482404535376</v>
          </cell>
          <cell r="V32">
            <v>-5582.5164066031521</v>
          </cell>
          <cell r="W32">
            <v>-6866.1294023252103</v>
          </cell>
          <cell r="X32">
            <v>-7880.7311735196363</v>
          </cell>
          <cell r="Y32">
            <v>-8480.9190522379777</v>
          </cell>
          <cell r="Z32">
            <v>-15355.235353898344</v>
          </cell>
          <cell r="AA32">
            <v>-20599.247967990515</v>
          </cell>
          <cell r="AB32">
            <v>-37026.886913151189</v>
          </cell>
          <cell r="AC32">
            <v>-34999.166764287133</v>
          </cell>
          <cell r="AD32">
            <v>-43386.578758798336</v>
          </cell>
          <cell r="AE32">
            <v>-59161.497455748671</v>
          </cell>
          <cell r="AF32">
            <v>-81708.477237341285</v>
          </cell>
          <cell r="AG32">
            <v>-92250.822406215942</v>
          </cell>
          <cell r="AH32">
            <v>-99658.903518948122</v>
          </cell>
          <cell r="AI32">
            <v>-141416.46751886012</v>
          </cell>
          <cell r="AJ32">
            <v>-183526.36615935527</v>
          </cell>
          <cell r="AK32">
            <v>-251156.10717550269</v>
          </cell>
          <cell r="AL32">
            <v>-293968.03463992698</v>
          </cell>
          <cell r="AM32">
            <v>-380878.18330737227</v>
          </cell>
          <cell r="AN32">
            <v>-466487.01254470367</v>
          </cell>
          <cell r="AO32">
            <v>-574543.13876618748</v>
          </cell>
          <cell r="AP32">
            <v>-560555.23554756679</v>
          </cell>
          <cell r="AQ32">
            <v>-660240.08227239456</v>
          </cell>
          <cell r="AR32">
            <v>-699461.67919420195</v>
          </cell>
          <cell r="AS32">
            <v>-733413.02303458215</v>
          </cell>
        </row>
        <row r="33">
          <cell r="B33" t="str">
            <v xml:space="preserve">Total VAB (excluindo R221)   </v>
          </cell>
          <cell r="D33">
            <v>60664.69518467343</v>
          </cell>
          <cell r="E33">
            <v>62950.930566128103</v>
          </cell>
          <cell r="F33">
            <v>66020.526224523273</v>
          </cell>
          <cell r="G33">
            <v>71294.566019720412</v>
          </cell>
          <cell r="H33">
            <v>76985.399662104624</v>
          </cell>
          <cell r="I33">
            <v>80455.301928773391</v>
          </cell>
          <cell r="J33">
            <v>85823.538219211478</v>
          </cell>
          <cell r="K33">
            <v>89493.230164862776</v>
          </cell>
          <cell r="L33">
            <v>100066.80603246306</v>
          </cell>
          <cell r="M33">
            <v>105449.73655111445</v>
          </cell>
          <cell r="N33">
            <v>111055.56097029166</v>
          </cell>
          <cell r="O33">
            <v>125019.06116790859</v>
          </cell>
          <cell r="P33">
            <v>138757.17081371174</v>
          </cell>
          <cell r="Q33">
            <v>147343.69397048029</v>
          </cell>
          <cell r="R33">
            <v>164833.36585718059</v>
          </cell>
          <cell r="S33">
            <v>174025.59274156718</v>
          </cell>
          <cell r="T33">
            <v>197441.89915838224</v>
          </cell>
          <cell r="U33">
            <v>226280.4397751404</v>
          </cell>
          <cell r="V33">
            <v>262487.53390303295</v>
          </cell>
          <cell r="W33">
            <v>293859.08920872025</v>
          </cell>
          <cell r="X33">
            <v>341007.38100205036</v>
          </cell>
          <cell r="Y33">
            <v>374286.4700431003</v>
          </cell>
          <cell r="Z33">
            <v>464389.05206097884</v>
          </cell>
          <cell r="AA33">
            <v>573013.05937886203</v>
          </cell>
          <cell r="AB33">
            <v>729987.641081793</v>
          </cell>
          <cell r="AC33">
            <v>909131.3000933124</v>
          </cell>
          <cell r="AD33">
            <v>1141027.5149601421</v>
          </cell>
          <cell r="AE33">
            <v>1441765.5743535808</v>
          </cell>
          <cell r="AF33">
            <v>1723276.9856177289</v>
          </cell>
          <cell r="AG33">
            <v>2062144.3052591011</v>
          </cell>
          <cell r="AH33">
            <v>2597461.7348213308</v>
          </cell>
          <cell r="AI33">
            <v>3279427.6289431686</v>
          </cell>
          <cell r="AJ33">
            <v>4105308.4000950959</v>
          </cell>
          <cell r="AK33">
            <v>5060524.7463520914</v>
          </cell>
          <cell r="AL33">
            <v>5797494.0339625161</v>
          </cell>
          <cell r="AM33">
            <v>7012030.1626322865</v>
          </cell>
          <cell r="AN33">
            <v>8340090.9414428985</v>
          </cell>
          <cell r="AO33">
            <v>9653245.9578391705</v>
          </cell>
          <cell r="AP33">
            <v>11066919.378353447</v>
          </cell>
          <cell r="AQ33">
            <v>11898184.879432406</v>
          </cell>
          <cell r="AR33">
            <v>12809505.385887478</v>
          </cell>
          <cell r="AS33">
            <v>13866764.686391369</v>
          </cell>
        </row>
        <row r="35">
          <cell r="A35" t="str">
            <v>R29</v>
          </cell>
          <cell r="B35" t="str">
            <v xml:space="preserve">Impostos ligados à importação à excepção do IVA   </v>
          </cell>
          <cell r="D35">
            <v>1382.9599127459819</v>
          </cell>
          <cell r="E35">
            <v>1546.8193114685885</v>
          </cell>
          <cell r="F35">
            <v>1785.2515529208224</v>
          </cell>
          <cell r="G35">
            <v>1877.6768114617</v>
          </cell>
          <cell r="H35">
            <v>1764.1955779673308</v>
          </cell>
          <cell r="I35">
            <v>1896.3250670635712</v>
          </cell>
          <cell r="J35">
            <v>2245.5696981179999</v>
          </cell>
          <cell r="K35">
            <v>2686.5679454254737</v>
          </cell>
          <cell r="L35">
            <v>2335.2862197342315</v>
          </cell>
          <cell r="M35">
            <v>2529.8659746462376</v>
          </cell>
          <cell r="N35">
            <v>2885.7163366100472</v>
          </cell>
          <cell r="O35">
            <v>2582.6607499173288</v>
          </cell>
          <cell r="P35">
            <v>3102.8936468003203</v>
          </cell>
          <cell r="Q35">
            <v>3096.8972436607323</v>
          </cell>
          <cell r="R35">
            <v>3489.6962452937096</v>
          </cell>
          <cell r="S35">
            <v>3253.777705656375</v>
          </cell>
          <cell r="T35">
            <v>3790.4210196135177</v>
          </cell>
          <cell r="U35">
            <v>4593.2792347298491</v>
          </cell>
          <cell r="V35">
            <v>4588.1184546960785</v>
          </cell>
          <cell r="W35">
            <v>5113.5560005338839</v>
          </cell>
          <cell r="X35">
            <v>5297.5857610434477</v>
          </cell>
          <cell r="Y35">
            <v>3927.6628716906548</v>
          </cell>
          <cell r="Z35">
            <v>6379.0748433440831</v>
          </cell>
          <cell r="AA35">
            <v>10039.407076818157</v>
          </cell>
          <cell r="AB35">
            <v>13059.981258018444</v>
          </cell>
          <cell r="AC35">
            <v>13068.418550862527</v>
          </cell>
          <cell r="AD35">
            <v>13585.433271840757</v>
          </cell>
          <cell r="AE35">
            <v>14714.732722113011</v>
          </cell>
          <cell r="AF35">
            <v>21193.51109863929</v>
          </cell>
          <cell r="AG35">
            <v>19839.587474381078</v>
          </cell>
          <cell r="AH35">
            <v>25350.85990692614</v>
          </cell>
          <cell r="AI35">
            <v>25683.884052124809</v>
          </cell>
          <cell r="AJ35">
            <v>33691.606644863765</v>
          </cell>
          <cell r="AK35">
            <v>49231.059989984555</v>
          </cell>
          <cell r="AL35">
            <v>71174.187831306495</v>
          </cell>
          <cell r="AM35">
            <v>82751.807269142126</v>
          </cell>
          <cell r="AN35">
            <v>94552.577705816875</v>
          </cell>
          <cell r="AO35">
            <v>102120.74626615933</v>
          </cell>
          <cell r="AP35">
            <v>92510.928329046568</v>
          </cell>
          <cell r="AQ35">
            <v>91654.622457339952</v>
          </cell>
          <cell r="AR35">
            <v>81987.601458051489</v>
          </cell>
          <cell r="AS35">
            <v>95190.864172300353</v>
          </cell>
        </row>
        <row r="36">
          <cell r="A36" t="str">
            <v>R21</v>
          </cell>
          <cell r="B36" t="str">
            <v xml:space="preserve">Imposto de transacções + IVA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386.13838825503717</v>
          </cell>
          <cell r="R36">
            <v>2123.1970679153487</v>
          </cell>
          <cell r="S36">
            <v>2423.8178899876993</v>
          </cell>
          <cell r="T36">
            <v>2948.4096348895118</v>
          </cell>
          <cell r="U36">
            <v>3758.2725690883658</v>
          </cell>
          <cell r="V36">
            <v>4199.1829070039212</v>
          </cell>
          <cell r="W36">
            <v>5250.1986194796764</v>
          </cell>
          <cell r="X36">
            <v>6503.6109097884628</v>
          </cell>
          <cell r="Y36">
            <v>6857.3043691565435</v>
          </cell>
          <cell r="Z36">
            <v>9766.4295808903607</v>
          </cell>
          <cell r="AA36">
            <v>12704.988376885076</v>
          </cell>
          <cell r="AB36">
            <v>23738.727926310861</v>
          </cell>
          <cell r="AC36">
            <v>34602.763193882653</v>
          </cell>
          <cell r="AD36">
            <v>35408.675990270764</v>
          </cell>
          <cell r="AE36">
            <v>51942.91646694237</v>
          </cell>
          <cell r="AF36">
            <v>67625.534256191881</v>
          </cell>
          <cell r="AG36">
            <v>83677.961510269495</v>
          </cell>
          <cell r="AH36">
            <v>88975.412569303109</v>
          </cell>
          <cell r="AI36">
            <v>115054.16712062179</v>
          </cell>
          <cell r="AJ36">
            <v>129158.87142235615</v>
          </cell>
          <cell r="AK36">
            <v>324057.62876747223</v>
          </cell>
          <cell r="AL36">
            <v>397409.47123754956</v>
          </cell>
          <cell r="AM36">
            <v>477651.20044292521</v>
          </cell>
          <cell r="AN36">
            <v>613069.41792379937</v>
          </cell>
          <cell r="AO36">
            <v>656111.03226320317</v>
          </cell>
          <cell r="AP36">
            <v>751458.08777952357</v>
          </cell>
          <cell r="AQ36">
            <v>905305.76012146519</v>
          </cell>
          <cell r="AR36">
            <v>890029.04456009448</v>
          </cell>
          <cell r="AS36">
            <v>1100711.9418361054</v>
          </cell>
        </row>
        <row r="37">
          <cell r="B37" t="str">
            <v xml:space="preserve"> </v>
          </cell>
        </row>
        <row r="38">
          <cell r="B38" t="str">
            <v xml:space="preserve">PIBpm     </v>
          </cell>
          <cell r="D38">
            <v>62047.655097419411</v>
          </cell>
          <cell r="E38">
            <v>64497.749877596689</v>
          </cell>
          <cell r="F38">
            <v>67805.777777444091</v>
          </cell>
          <cell r="G38">
            <v>73172.242831182113</v>
          </cell>
          <cell r="H38">
            <v>78749.595240071954</v>
          </cell>
          <cell r="I38">
            <v>82351.626995836967</v>
          </cell>
          <cell r="J38">
            <v>88069.107917329471</v>
          </cell>
          <cell r="K38">
            <v>92179.798110288248</v>
          </cell>
          <cell r="L38">
            <v>102402.0922521973</v>
          </cell>
          <cell r="M38">
            <v>107979.60252576068</v>
          </cell>
          <cell r="N38">
            <v>113941.2773069017</v>
          </cell>
          <cell r="O38">
            <v>127601.72191782591</v>
          </cell>
          <cell r="P38">
            <v>141860.06446051205</v>
          </cell>
          <cell r="Q38">
            <v>150826.72960239605</v>
          </cell>
          <cell r="R38">
            <v>170446.25917038965</v>
          </cell>
          <cell r="S38">
            <v>179703.18833721126</v>
          </cell>
          <cell r="T38">
            <v>204180.72981288526</v>
          </cell>
          <cell r="U38">
            <v>234631.99157895861</v>
          </cell>
          <cell r="V38">
            <v>271274.83526473294</v>
          </cell>
          <cell r="W38">
            <v>304222.84382873384</v>
          </cell>
          <cell r="X38">
            <v>352808.5776728823</v>
          </cell>
          <cell r="Y38">
            <v>385071.43728394748</v>
          </cell>
          <cell r="Z38">
            <v>480534.55648521328</v>
          </cell>
          <cell r="AA38">
            <v>595757.45483256527</v>
          </cell>
          <cell r="AB38">
            <v>766786.35026612226</v>
          </cell>
          <cell r="AC38">
            <v>956802.48183805752</v>
          </cell>
          <cell r="AD38">
            <v>1190021.6242222537</v>
          </cell>
          <cell r="AE38">
            <v>1508423.2235426363</v>
          </cell>
          <cell r="AF38">
            <v>1812096.0309725602</v>
          </cell>
          <cell r="AG38">
            <v>2165661.8542437516</v>
          </cell>
          <cell r="AH38">
            <v>2711788.0072975601</v>
          </cell>
          <cell r="AI38">
            <v>3420165.6801159154</v>
          </cell>
          <cell r="AJ38">
            <v>4268158.878162316</v>
          </cell>
          <cell r="AK38">
            <v>5433813.4351095483</v>
          </cell>
          <cell r="AL38">
            <v>6266077.6930313725</v>
          </cell>
          <cell r="AM38">
            <v>7572433.1703443537</v>
          </cell>
          <cell r="AN38">
            <v>9047712.9370725155</v>
          </cell>
          <cell r="AO38">
            <v>10411477.736368533</v>
          </cell>
          <cell r="AP38">
            <v>11910888.394462017</v>
          </cell>
          <cell r="AQ38">
            <v>12895145.262011211</v>
          </cell>
          <cell r="AR38">
            <v>13781522.031905623</v>
          </cell>
          <cell r="AS38">
            <v>15062667.492399774</v>
          </cell>
        </row>
        <row r="39">
          <cell r="A39" t="str">
            <v>(a) inclui actividades de extracção de petróleo bruto e gás natural (CAE 22)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A5B6-4F00-4BC4-90AC-5706E5AB02F9}">
  <dimension ref="A1:A28"/>
  <sheetViews>
    <sheetView showGridLines="0" tabSelected="1" zoomScaleNormal="100" workbookViewId="0">
      <selection activeCell="A16" sqref="A16"/>
    </sheetView>
  </sheetViews>
  <sheetFormatPr defaultRowHeight="14.5"/>
  <cols>
    <col min="1" max="1" width="170.7265625" style="28" bestFit="1" customWidth="1"/>
  </cols>
  <sheetData>
    <row r="1" spans="1:1" ht="15.5">
      <c r="A1" s="27" t="s">
        <v>27</v>
      </c>
    </row>
    <row r="2" spans="1:1">
      <c r="A2" s="484" t="s">
        <v>0</v>
      </c>
    </row>
    <row r="3" spans="1:1">
      <c r="A3" s="484" t="s">
        <v>1</v>
      </c>
    </row>
    <row r="4" spans="1:1">
      <c r="A4" s="484" t="s">
        <v>2</v>
      </c>
    </row>
    <row r="5" spans="1:1">
      <c r="A5" s="484" t="s">
        <v>3</v>
      </c>
    </row>
    <row r="6" spans="1:1">
      <c r="A6" s="484" t="s">
        <v>4</v>
      </c>
    </row>
    <row r="7" spans="1:1">
      <c r="A7" s="484" t="s">
        <v>5</v>
      </c>
    </row>
    <row r="8" spans="1:1">
      <c r="A8" s="484" t="s">
        <v>6</v>
      </c>
    </row>
    <row r="9" spans="1:1">
      <c r="A9" s="484" t="s">
        <v>7</v>
      </c>
    </row>
    <row r="10" spans="1:1">
      <c r="A10" s="484" t="s">
        <v>8</v>
      </c>
    </row>
    <row r="11" spans="1:1">
      <c r="A11" s="484" t="s">
        <v>9</v>
      </c>
    </row>
    <row r="12" spans="1:1">
      <c r="A12" s="484" t="s">
        <v>10</v>
      </c>
    </row>
    <row r="13" spans="1:1">
      <c r="A13" s="484" t="s">
        <v>11</v>
      </c>
    </row>
    <row r="14" spans="1:1">
      <c r="A14" s="484" t="s">
        <v>12</v>
      </c>
    </row>
    <row r="15" spans="1:1">
      <c r="A15" s="484" t="s">
        <v>13</v>
      </c>
    </row>
    <row r="16" spans="1:1">
      <c r="A16" s="484" t="s">
        <v>14</v>
      </c>
    </row>
    <row r="17" spans="1:1">
      <c r="A17" s="484" t="s">
        <v>15</v>
      </c>
    </row>
    <row r="18" spans="1:1">
      <c r="A18" s="484" t="s">
        <v>16</v>
      </c>
    </row>
    <row r="19" spans="1:1">
      <c r="A19" s="484" t="s">
        <v>17</v>
      </c>
    </row>
    <row r="20" spans="1:1">
      <c r="A20" s="484" t="s">
        <v>18</v>
      </c>
    </row>
    <row r="21" spans="1:1">
      <c r="A21" s="484" t="s">
        <v>19</v>
      </c>
    </row>
    <row r="22" spans="1:1">
      <c r="A22" s="484" t="s">
        <v>20</v>
      </c>
    </row>
    <row r="23" spans="1:1">
      <c r="A23" s="484" t="s">
        <v>21</v>
      </c>
    </row>
    <row r="24" spans="1:1">
      <c r="A24" s="484" t="s">
        <v>22</v>
      </c>
    </row>
    <row r="25" spans="1:1">
      <c r="A25" s="484" t="s">
        <v>23</v>
      </c>
    </row>
    <row r="26" spans="1:1">
      <c r="A26" s="484" t="s">
        <v>24</v>
      </c>
    </row>
    <row r="27" spans="1:1">
      <c r="A27" s="484" t="s">
        <v>25</v>
      </c>
    </row>
    <row r="28" spans="1:1">
      <c r="A28" s="484" t="s">
        <v>26</v>
      </c>
    </row>
  </sheetData>
  <hyperlinks>
    <hyperlink ref="A2" location="BALBP4795!A1" display=" Parte I - Estatísticas monetárias e financeiras - Balanço do Banco de Portugal" xr:uid="{F418FB5C-E53E-4680-819C-57221A2B65F7}"/>
    <hyperlink ref="A3" location="'Sm4795'!A1" display=" Parte I - Estatísticas monetárias e financeiras - Síntese Monetária" xr:uid="{BD008FCD-B004-43EA-B2FD-B491B72594B4}"/>
    <hyperlink ref="A4" location="TJURO4775!A1" display=" Parte I - Estatísticas monetárias e financeiras - Quadros de Taxas de Juro" xr:uid="{F059E03C-6FC0-4E1B-8360-3F3A67A25C1E}"/>
    <hyperlink ref="A5" location="DIVLONG1!A1" display=" Parte I - Estatísticas monetárias e financeiras - Quadros de Emissão de Dívida" xr:uid="{1E2BE708-6121-4F9B-A66B-ED85CD68DB5D}"/>
    <hyperlink ref="A6" location="'Quadro resumo'!A1" display=" Parte II - Balança de pagamentos - Balança de Pagamentos Externos de Portugal" xr:uid="{F7B7DD28-46CC-4629-BB6A-8EBE3F4C6494}"/>
    <hyperlink ref="A7" location="btc!A1" display=" Parte II - Balança de pagamentos - Balança de Transações Correntes" xr:uid="{AF8FDF1A-89F5-4B51-8FB1-1E34079BD176}"/>
    <hyperlink ref="A8" location="BCNM!A1" display=" Parte II - Balança de pagamentos - Balança de Capitais Não Monetários" xr:uid="{EAF57AA8-EC64-4A4A-B0BE-1E0BBCCCF4BE}"/>
    <hyperlink ref="A9" location="RESERVAS!A1" display=" Parte II - Balança de pagamentos - Reservas Oficiais Líquidas" xr:uid="{445C70C9-746A-4301-B84C-493FF8EC27EB}"/>
    <hyperlink ref="A10" location="ULTRAMAR!A1" display=" Parte II - Balança de pagamentos - Balança de Pagamentos da Metrópole com o Ultramar" xr:uid="{2FA285EC-EB7C-4EC4-96CD-C44EAF67C341}"/>
    <hyperlink ref="A11" location="RDAP!A1" display=" Parte III - Contas do setor público administrativo - Receitas e Despesas das Administrações Públicas, Central, Estado e Segurança Social" xr:uid="{FAF97337-79DC-4781-988C-123C1EADFA4F}"/>
    <hyperlink ref="A12" location="RDFA!A1" display=" Parte III - Contas do setor público administrativo - Receitas e Despesas das Administrações Regional e Local, Fundos Autónomos e Instituições Particulares sem fim Lucrativo" xr:uid="{1093AA42-09DA-4CA5-A05A-25F63CBE9350}"/>
    <hyperlink ref="A13" location="ICSRP!A1" display=" Parte III - Contas do setor público administrativo - Impostos Correntes e Contribuições Sociais Efetivas" xr:uid="{220CCABF-F0FE-4411-90A7-427BBE126430}"/>
    <hyperlink ref="A14" location="ILPI!A1" display=" Parte III - Contas do setor público administrativo - Impostos Ligados à Produção e Importação e Remunerações dos Ramos não Mercantis" xr:uid="{1F013FC4-2DB5-4BC6-9F0C-7B8A07A63F17}"/>
    <hyperlink ref="A15" location="CSF!A1" display=" Parte III - Contas do setor público administrativo - Transferências Correntes e Contribuições Sociais Fictícias" xr:uid="{99CD4C16-9FB3-4DCF-B587-0123315AE97A}"/>
    <hyperlink ref="A16" location="TRK!A1" display=" Parte III - Contas do setor público administrativo - Transferências de Capital; Formação Bruta de Capital Fixo e Aquisição Líquida de Terrenos" xr:uid="{CB7F9DB7-8BF4-4A94-9CE4-D35CDE4C9746}"/>
    <hyperlink ref="A17" location="PopEmpDes!A1" display=" Parte IV - População, emprego e desemprego - População, Emprego e Desemprego" xr:uid="{C0C1B956-3948-48E5-A418-87B3C2688047}"/>
    <hyperlink ref="A18" location="emprego_total!A1" display=" Parte IV - População, emprego e desemprego - Emprego Total" xr:uid="{38FB724D-3308-4463-B945-51A2DF5A0C37}"/>
    <hyperlink ref="A19" location="TCO!A1" display=" Parte IV - População, emprego e desemprego - Trabalhadores por Conta de Outrem" xr:uid="{E9930DFA-C50C-4EC0-A049-A06269D59E0D}"/>
    <hyperlink ref="A20" location="PIBpm!A1" display=" Parte V - Produção, despesa e rendimento - Produto Interno Bruto" xr:uid="{E20AFC2E-6119-4AAA-9B7C-6E9AC3166E77}"/>
    <hyperlink ref="A21" location="Despesa_Nacional!A1" display=" Parte V - Produção, despesa e rendimento - Despesa Nacional" xr:uid="{F555C743-76D7-454A-850B-D4E94B7CC1A0}"/>
    <hyperlink ref="A22" location="Consumo_Privado!A1" display=" Parte V - Produção, despesa e rendimento - Consumo Privado" xr:uid="{72D8E009-A88B-43F1-8B11-8B949D212797}"/>
    <hyperlink ref="A23" location="FBCF!A1" display=" Parte V - Produção, despesa e rendimento - Formação Bruta de Capital Fixo" xr:uid="{6A9B44A9-1760-430D-A3FB-187C336B9B27}"/>
    <hyperlink ref="A24" location="Export!A1" display=" Parte V - Produção, despesa e rendimento - Exportações de Mercadorias" xr:uid="{B981CC25-4FE8-4572-BCCB-92508F764BCF}"/>
    <hyperlink ref="A25" location="Import!A1" display=" Parte V - Produção, despesa e rendimento - Importações de Mercadorias" xr:uid="{8B6B8554-ACED-4526-B658-43C2887B114D}"/>
    <hyperlink ref="A26" location="Rend_nacional!A1" display=" Parte V - Produção, despesa e rendimento - Repartição do Rendimento Nacional" xr:uid="{75AF9386-00A5-46CB-9E66-4AE5E602DEBD}"/>
    <hyperlink ref="A27" location="Rend_poup!A1" display=" Parte V - Produção, despesa e rendimento - Rendimento e Poupança das Famílias e Adm. Privadas" xr:uid="{4C402C93-857D-4090-B703-87476BDAA3DD}"/>
    <hyperlink ref="A28" location="poup_inv!A1" display=" Parte V - Produção, despesa e rendimento - Poupança e Investimento" xr:uid="{08F694F0-6711-4C00-8773-A3AD986EC9E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E857-4AD4-4CBC-BFA0-F37557C41DFC}">
  <dimension ref="A1:FZ3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0.6328125" defaultRowHeight="13"/>
  <cols>
    <col min="1" max="1" width="44.26953125" style="1" customWidth="1"/>
    <col min="2" max="143" width="11.54296875" style="1" customWidth="1"/>
    <col min="144" max="144" width="10.6328125" style="1" customWidth="1"/>
    <col min="145" max="16384" width="10.6328125" style="1"/>
  </cols>
  <sheetData>
    <row r="1" spans="1:182" ht="25" customHeight="1">
      <c r="A1" s="26" t="s">
        <v>193</v>
      </c>
    </row>
    <row r="2" spans="1:182" ht="15" customHeight="1" thickBot="1">
      <c r="A2" s="1" t="s">
        <v>192</v>
      </c>
      <c r="BW2" s="25"/>
    </row>
    <row r="3" spans="1:182" ht="20.149999999999999" customHeight="1" thickBot="1">
      <c r="A3" s="20" t="s">
        <v>191</v>
      </c>
      <c r="B3" s="19" t="s">
        <v>179</v>
      </c>
      <c r="C3" s="18" t="s">
        <v>178</v>
      </c>
      <c r="D3" s="18" t="s">
        <v>177</v>
      </c>
      <c r="E3" s="18" t="s">
        <v>176</v>
      </c>
      <c r="F3" s="18" t="s">
        <v>175</v>
      </c>
      <c r="G3" s="18" t="s">
        <v>174</v>
      </c>
      <c r="H3" s="18" t="s">
        <v>173</v>
      </c>
      <c r="I3" s="18" t="s">
        <v>172</v>
      </c>
      <c r="J3" s="18" t="s">
        <v>171</v>
      </c>
      <c r="K3" s="18" t="s">
        <v>170</v>
      </c>
      <c r="L3" s="18" t="s">
        <v>169</v>
      </c>
      <c r="M3" s="18" t="s">
        <v>168</v>
      </c>
      <c r="N3" s="18" t="s">
        <v>167</v>
      </c>
      <c r="O3" s="18" t="s">
        <v>166</v>
      </c>
      <c r="P3" s="18" t="s">
        <v>165</v>
      </c>
      <c r="Q3" s="18" t="s">
        <v>164</v>
      </c>
      <c r="R3" s="18" t="s">
        <v>163</v>
      </c>
      <c r="S3" s="18" t="s">
        <v>162</v>
      </c>
      <c r="T3" s="18" t="s">
        <v>161</v>
      </c>
      <c r="U3" s="18" t="s">
        <v>160</v>
      </c>
      <c r="V3" s="18" t="s">
        <v>159</v>
      </c>
      <c r="W3" s="18" t="s">
        <v>158</v>
      </c>
      <c r="X3" s="18" t="s">
        <v>157</v>
      </c>
      <c r="Y3" s="18" t="s">
        <v>156</v>
      </c>
      <c r="Z3" s="18" t="s">
        <v>155</v>
      </c>
      <c r="AA3" s="18" t="s">
        <v>154</v>
      </c>
      <c r="AB3" s="18" t="s">
        <v>153</v>
      </c>
      <c r="AC3" s="18" t="s">
        <v>152</v>
      </c>
      <c r="AD3" s="18" t="s">
        <v>151</v>
      </c>
      <c r="AE3" s="18" t="s">
        <v>150</v>
      </c>
      <c r="AF3" s="18" t="s">
        <v>149</v>
      </c>
      <c r="AG3" s="18" t="s">
        <v>148</v>
      </c>
      <c r="AH3" s="18" t="s">
        <v>147</v>
      </c>
      <c r="AI3" s="18" t="s">
        <v>146</v>
      </c>
      <c r="AJ3" s="18" t="s">
        <v>145</v>
      </c>
      <c r="AK3" s="18" t="s">
        <v>144</v>
      </c>
      <c r="AL3" s="18" t="s">
        <v>143</v>
      </c>
      <c r="AM3" s="18" t="s">
        <v>142</v>
      </c>
      <c r="AN3" s="18" t="s">
        <v>141</v>
      </c>
      <c r="AO3" s="18" t="s">
        <v>140</v>
      </c>
      <c r="AP3" s="18" t="s">
        <v>139</v>
      </c>
      <c r="AQ3" s="18" t="s">
        <v>138</v>
      </c>
      <c r="AR3" s="18" t="s">
        <v>137</v>
      </c>
      <c r="AS3" s="18" t="s">
        <v>136</v>
      </c>
      <c r="AT3" s="18" t="s">
        <v>135</v>
      </c>
      <c r="AU3" s="18" t="s">
        <v>134</v>
      </c>
      <c r="AV3" s="18" t="s">
        <v>133</v>
      </c>
      <c r="AW3" s="18" t="s">
        <v>132</v>
      </c>
      <c r="AX3" s="18" t="s">
        <v>131</v>
      </c>
      <c r="AY3" s="18" t="s">
        <v>130</v>
      </c>
      <c r="AZ3" s="18" t="s">
        <v>129</v>
      </c>
      <c r="BA3" s="18" t="s">
        <v>128</v>
      </c>
      <c r="BB3" s="18" t="s">
        <v>127</v>
      </c>
      <c r="BC3" s="18" t="s">
        <v>126</v>
      </c>
      <c r="BD3" s="18" t="s">
        <v>125</v>
      </c>
      <c r="BE3" s="18" t="s">
        <v>124</v>
      </c>
      <c r="BF3" s="18" t="s">
        <v>123</v>
      </c>
      <c r="BG3" s="18" t="s">
        <v>122</v>
      </c>
      <c r="BH3" s="18" t="s">
        <v>121</v>
      </c>
      <c r="BI3" s="18" t="s">
        <v>120</v>
      </c>
      <c r="BJ3" s="18" t="s">
        <v>119</v>
      </c>
      <c r="BK3" s="18" t="s">
        <v>118</v>
      </c>
      <c r="BL3" s="18" t="s">
        <v>117</v>
      </c>
      <c r="BM3" s="18" t="s">
        <v>116</v>
      </c>
      <c r="BN3" s="18" t="s">
        <v>115</v>
      </c>
      <c r="BO3" s="18" t="s">
        <v>114</v>
      </c>
      <c r="BP3" s="18" t="s">
        <v>113</v>
      </c>
      <c r="BQ3" s="18" t="s">
        <v>112</v>
      </c>
      <c r="BR3" s="18" t="s">
        <v>111</v>
      </c>
      <c r="BS3" s="18" t="s">
        <v>110</v>
      </c>
      <c r="BT3" s="18" t="s">
        <v>109</v>
      </c>
      <c r="BU3" s="18" t="s">
        <v>108</v>
      </c>
      <c r="BV3" s="18" t="s">
        <v>107</v>
      </c>
      <c r="BW3" s="18" t="s">
        <v>106</v>
      </c>
      <c r="BX3" s="17" t="s">
        <v>105</v>
      </c>
      <c r="BY3" s="17" t="s">
        <v>104</v>
      </c>
      <c r="BZ3" s="17" t="s">
        <v>103</v>
      </c>
      <c r="CA3" s="17" t="s">
        <v>102</v>
      </c>
      <c r="CB3" s="17" t="s">
        <v>101</v>
      </c>
      <c r="CC3" s="17" t="s">
        <v>100</v>
      </c>
      <c r="CD3" s="17" t="s">
        <v>99</v>
      </c>
      <c r="CE3" s="17" t="s">
        <v>98</v>
      </c>
      <c r="CF3" s="17" t="s">
        <v>97</v>
      </c>
      <c r="CG3" s="17" t="s">
        <v>96</v>
      </c>
      <c r="CH3" s="17" t="s">
        <v>95</v>
      </c>
      <c r="CI3" s="17" t="s">
        <v>94</v>
      </c>
      <c r="CJ3" s="17" t="s">
        <v>93</v>
      </c>
      <c r="CK3" s="17" t="s">
        <v>92</v>
      </c>
      <c r="CL3" s="17" t="s">
        <v>91</v>
      </c>
      <c r="CM3" s="17" t="s">
        <v>90</v>
      </c>
      <c r="CN3" s="17" t="s">
        <v>89</v>
      </c>
      <c r="CO3" s="17" t="s">
        <v>88</v>
      </c>
      <c r="CP3" s="17" t="s">
        <v>87</v>
      </c>
      <c r="CQ3" s="17" t="s">
        <v>86</v>
      </c>
      <c r="CR3" s="17" t="s">
        <v>85</v>
      </c>
      <c r="CS3" s="17" t="s">
        <v>84</v>
      </c>
      <c r="CT3" s="17" t="s">
        <v>83</v>
      </c>
      <c r="CU3" s="17" t="s">
        <v>82</v>
      </c>
      <c r="CV3" s="17" t="s">
        <v>81</v>
      </c>
      <c r="CW3" s="17" t="s">
        <v>80</v>
      </c>
      <c r="CX3" s="17" t="s">
        <v>79</v>
      </c>
      <c r="CY3" s="17" t="s">
        <v>78</v>
      </c>
      <c r="CZ3" s="17" t="s">
        <v>77</v>
      </c>
      <c r="DA3" s="17" t="s">
        <v>76</v>
      </c>
      <c r="DB3" s="17" t="s">
        <v>75</v>
      </c>
      <c r="DC3" s="17" t="s">
        <v>74</v>
      </c>
      <c r="DD3" s="17" t="s">
        <v>73</v>
      </c>
      <c r="DE3" s="17" t="s">
        <v>72</v>
      </c>
      <c r="DF3" s="17" t="s">
        <v>71</v>
      </c>
      <c r="DG3" s="17" t="s">
        <v>70</v>
      </c>
      <c r="DH3" s="17" t="s">
        <v>69</v>
      </c>
      <c r="DI3" s="17" t="s">
        <v>68</v>
      </c>
      <c r="DJ3" s="17" t="s">
        <v>67</v>
      </c>
      <c r="DK3" s="17" t="s">
        <v>66</v>
      </c>
      <c r="DL3" s="17" t="s">
        <v>65</v>
      </c>
      <c r="DM3" s="17" t="s">
        <v>64</v>
      </c>
      <c r="DN3" s="17" t="s">
        <v>63</v>
      </c>
      <c r="DO3" s="17" t="s">
        <v>62</v>
      </c>
      <c r="DP3" s="17" t="s">
        <v>61</v>
      </c>
      <c r="DQ3" s="17" t="s">
        <v>60</v>
      </c>
      <c r="DR3" s="17" t="s">
        <v>59</v>
      </c>
      <c r="DS3" s="17" t="s">
        <v>58</v>
      </c>
      <c r="DT3" s="17" t="s">
        <v>57</v>
      </c>
      <c r="DU3" s="17" t="s">
        <v>56</v>
      </c>
      <c r="DV3" s="17" t="s">
        <v>55</v>
      </c>
      <c r="DW3" s="17" t="s">
        <v>54</v>
      </c>
      <c r="DX3" s="17" t="s">
        <v>53</v>
      </c>
      <c r="DY3" s="17" t="s">
        <v>52</v>
      </c>
      <c r="DZ3" s="17" t="s">
        <v>51</v>
      </c>
      <c r="EA3" s="17" t="s">
        <v>50</v>
      </c>
      <c r="EB3" s="17" t="s">
        <v>49</v>
      </c>
      <c r="EC3" s="17" t="s">
        <v>48</v>
      </c>
      <c r="ED3" s="17" t="s">
        <v>47</v>
      </c>
      <c r="EE3" s="17" t="s">
        <v>46</v>
      </c>
      <c r="EF3" s="17" t="s">
        <v>45</v>
      </c>
      <c r="EG3" s="17" t="s">
        <v>44</v>
      </c>
      <c r="EH3" s="17" t="s">
        <v>43</v>
      </c>
      <c r="EI3" s="17" t="s">
        <v>42</v>
      </c>
      <c r="EJ3" s="16" t="s">
        <v>41</v>
      </c>
    </row>
    <row r="4" spans="1:182" ht="15" customHeight="1">
      <c r="A4" s="13"/>
      <c r="B4" s="24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1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ht="15" customHeight="1">
      <c r="A5" s="13" t="s">
        <v>190</v>
      </c>
      <c r="B5" s="12">
        <v>15628</v>
      </c>
      <c r="C5" s="10">
        <v>12285</v>
      </c>
      <c r="D5" s="10">
        <v>12343</v>
      </c>
      <c r="E5" s="10">
        <v>13371</v>
      </c>
      <c r="F5" s="10">
        <v>15629</v>
      </c>
      <c r="G5" s="10">
        <v>16074</v>
      </c>
      <c r="H5" s="10">
        <v>17542</v>
      </c>
      <c r="I5" s="10">
        <v>18639</v>
      </c>
      <c r="J5" s="10">
        <v>19056</v>
      </c>
      <c r="K5" s="10">
        <v>19701</v>
      </c>
      <c r="L5" s="10">
        <v>19707</v>
      </c>
      <c r="M5" s="10">
        <v>20082</v>
      </c>
      <c r="N5" s="10">
        <v>20638</v>
      </c>
      <c r="O5" s="10">
        <v>20593</v>
      </c>
      <c r="P5" s="10">
        <v>18254</v>
      </c>
      <c r="Q5" s="10">
        <v>22948</v>
      </c>
      <c r="R5" s="10">
        <v>24070</v>
      </c>
      <c r="S5" s="10">
        <v>27129</v>
      </c>
      <c r="T5" s="11">
        <v>28674</v>
      </c>
      <c r="U5" s="11">
        <v>28445</v>
      </c>
      <c r="V5" s="11">
        <v>28461</v>
      </c>
      <c r="W5" s="11">
        <v>29861</v>
      </c>
      <c r="X5" s="11">
        <v>31855</v>
      </c>
      <c r="Y5" s="11">
        <v>31269</v>
      </c>
      <c r="Z5" s="11">
        <v>32053</v>
      </c>
      <c r="AA5" s="11">
        <v>33738</v>
      </c>
      <c r="AB5" s="11">
        <v>35824</v>
      </c>
      <c r="AC5" s="11">
        <v>35140</v>
      </c>
      <c r="AD5" s="11">
        <v>36091</v>
      </c>
      <c r="AE5" s="11">
        <v>37608</v>
      </c>
      <c r="AF5" s="11">
        <v>39290</v>
      </c>
      <c r="AG5" s="11">
        <v>39039</v>
      </c>
      <c r="AH5" s="11">
        <v>39387</v>
      </c>
      <c r="AI5" s="11">
        <v>39978</v>
      </c>
      <c r="AJ5" s="11">
        <v>41310</v>
      </c>
      <c r="AK5" s="11">
        <v>39721</v>
      </c>
      <c r="AL5" s="11">
        <v>39343</v>
      </c>
      <c r="AM5" s="11">
        <v>41283</v>
      </c>
      <c r="AN5" s="11">
        <v>42913</v>
      </c>
      <c r="AO5" s="11">
        <v>43077</v>
      </c>
      <c r="AP5" s="11">
        <v>44385</v>
      </c>
      <c r="AQ5" s="11">
        <v>49236</v>
      </c>
      <c r="AR5" s="11">
        <v>52406</v>
      </c>
      <c r="AS5" s="11">
        <v>51184</v>
      </c>
      <c r="AT5" s="11">
        <v>51778</v>
      </c>
      <c r="AU5" s="11">
        <v>57738</v>
      </c>
      <c r="AV5" s="11">
        <v>60573</v>
      </c>
      <c r="AW5" s="11">
        <v>65204</v>
      </c>
      <c r="AX5" s="11">
        <v>66381</v>
      </c>
      <c r="AY5" s="11">
        <v>69142</v>
      </c>
      <c r="AZ5" s="11">
        <v>71148</v>
      </c>
      <c r="BA5" s="11">
        <v>66532</v>
      </c>
      <c r="BB5" s="11">
        <v>63396</v>
      </c>
      <c r="BC5" s="11">
        <v>61950</v>
      </c>
      <c r="BD5" s="11">
        <v>55466</v>
      </c>
      <c r="BE5" s="11">
        <v>47914</v>
      </c>
      <c r="BF5" s="11">
        <v>49100</v>
      </c>
      <c r="BG5" s="11">
        <v>43672</v>
      </c>
      <c r="BH5" s="11">
        <v>31582</v>
      </c>
      <c r="BI5" s="11">
        <v>21328</v>
      </c>
      <c r="BJ5" s="11">
        <v>10368</v>
      </c>
      <c r="BK5" s="11">
        <v>8136</v>
      </c>
      <c r="BL5" s="11">
        <v>4149</v>
      </c>
      <c r="BM5" s="11">
        <v>-6815</v>
      </c>
      <c r="BN5" s="11">
        <v>-16361</v>
      </c>
      <c r="BO5" s="11">
        <v>-18627</v>
      </c>
      <c r="BP5" s="11">
        <v>-13377</v>
      </c>
      <c r="BQ5" s="11">
        <v>-15097</v>
      </c>
      <c r="BR5" s="11">
        <v>-22560</v>
      </c>
      <c r="BS5" s="11">
        <v>-9077</v>
      </c>
      <c r="BT5" s="11">
        <v>-4926</v>
      </c>
      <c r="BU5" s="11">
        <v>-11366</v>
      </c>
      <c r="BV5" s="11">
        <v>-9177</v>
      </c>
      <c r="BW5" s="11">
        <v>3110</v>
      </c>
      <c r="BX5" s="10">
        <v>18822</v>
      </c>
      <c r="BY5" s="10">
        <v>251600</v>
      </c>
      <c r="BZ5" s="10">
        <v>236774</v>
      </c>
      <c r="CA5" s="10">
        <v>275852</v>
      </c>
      <c r="CB5" s="10">
        <v>282594</v>
      </c>
      <c r="CC5" s="10">
        <v>290773</v>
      </c>
      <c r="CD5" s="10">
        <v>340870</v>
      </c>
      <c r="CE5" s="10">
        <v>363944</v>
      </c>
      <c r="CF5" s="10">
        <v>340443</v>
      </c>
      <c r="CG5" s="10">
        <v>362953</v>
      </c>
      <c r="CH5" s="10">
        <v>432579</v>
      </c>
      <c r="CI5" s="10">
        <v>467945</v>
      </c>
      <c r="CJ5" s="10">
        <v>466914</v>
      </c>
      <c r="CK5" s="10">
        <v>491440</v>
      </c>
      <c r="CL5" s="10">
        <v>510056</v>
      </c>
      <c r="CM5" s="10">
        <v>548286</v>
      </c>
      <c r="CN5" s="10">
        <v>624135</v>
      </c>
      <c r="CO5" s="10">
        <v>655689</v>
      </c>
      <c r="CP5" s="10">
        <v>779496</v>
      </c>
      <c r="CQ5" s="10">
        <v>939198</v>
      </c>
      <c r="CR5" s="10">
        <v>950331</v>
      </c>
      <c r="CS5" s="10">
        <v>1024030</v>
      </c>
      <c r="CT5" s="10">
        <v>1041230</v>
      </c>
      <c r="CU5" s="10">
        <v>1068821</v>
      </c>
      <c r="CV5" s="10">
        <v>1020118</v>
      </c>
      <c r="CW5" s="10">
        <v>955228</v>
      </c>
      <c r="CX5" s="10">
        <v>944342</v>
      </c>
      <c r="CY5" s="10">
        <v>1039500</v>
      </c>
      <c r="CZ5" s="10">
        <v>953537</v>
      </c>
      <c r="DA5" s="10">
        <v>920723</v>
      </c>
      <c r="DB5" s="10">
        <v>969749</v>
      </c>
      <c r="DC5" s="10">
        <v>1187630</v>
      </c>
      <c r="DD5" s="10">
        <v>1096179</v>
      </c>
      <c r="DE5" s="10">
        <v>1182509</v>
      </c>
      <c r="DF5" s="10">
        <v>1389530</v>
      </c>
      <c r="DG5" s="10">
        <v>1503409</v>
      </c>
      <c r="DH5" s="10">
        <v>1514499</v>
      </c>
      <c r="DI5" s="10">
        <v>1663552</v>
      </c>
      <c r="DJ5" s="10">
        <v>1872086</v>
      </c>
      <c r="DK5" s="10">
        <v>2241767</v>
      </c>
      <c r="DL5" s="10">
        <v>2277709</v>
      </c>
      <c r="DM5" s="10">
        <v>2418397</v>
      </c>
      <c r="DN5" s="10">
        <v>2636299</v>
      </c>
      <c r="DO5" s="10">
        <v>2653732</v>
      </c>
      <c r="DP5" s="10">
        <v>2617018</v>
      </c>
      <c r="DQ5" s="10">
        <v>2710293</v>
      </c>
      <c r="DR5" s="10">
        <v>3091324</v>
      </c>
      <c r="DS5" s="10">
        <v>3399158</v>
      </c>
      <c r="DT5" s="10">
        <v>3445817</v>
      </c>
      <c r="DU5" s="10">
        <v>3825814</v>
      </c>
      <c r="DV5" s="10">
        <v>3871120</v>
      </c>
      <c r="DW5" s="10">
        <v>3516078</v>
      </c>
      <c r="DX5" s="10">
        <v>3563046</v>
      </c>
      <c r="DY5" s="10">
        <v>3279911</v>
      </c>
      <c r="DZ5" s="10">
        <v>3473373</v>
      </c>
      <c r="EA5" s="10">
        <v>3653402</v>
      </c>
      <c r="EB5" s="10">
        <v>3700662</v>
      </c>
      <c r="EC5" s="10">
        <v>3522824</v>
      </c>
      <c r="ED5" s="10">
        <v>3126307</v>
      </c>
      <c r="EE5" s="10">
        <v>3295159</v>
      </c>
      <c r="EF5" s="10">
        <v>3273810</v>
      </c>
      <c r="EG5" s="10">
        <v>2918002</v>
      </c>
      <c r="EH5" s="10">
        <v>3115546</v>
      </c>
      <c r="EI5" s="10">
        <v>3063441</v>
      </c>
      <c r="EJ5" s="9">
        <v>3132421</v>
      </c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ht="15" customHeight="1">
      <c r="A6" s="13" t="s">
        <v>189</v>
      </c>
      <c r="B6" s="15">
        <v>15879</v>
      </c>
      <c r="C6" s="11">
        <v>12735</v>
      </c>
      <c r="D6" s="11">
        <v>12447</v>
      </c>
      <c r="E6" s="11">
        <v>13540</v>
      </c>
      <c r="F6" s="11">
        <v>15967</v>
      </c>
      <c r="G6" s="11">
        <v>16202</v>
      </c>
      <c r="H6" s="11">
        <v>17695</v>
      </c>
      <c r="I6" s="11">
        <v>18842</v>
      </c>
      <c r="J6" s="11">
        <v>19305</v>
      </c>
      <c r="K6" s="11">
        <v>19916</v>
      </c>
      <c r="L6" s="11">
        <v>19740</v>
      </c>
      <c r="M6" s="11">
        <v>20372</v>
      </c>
      <c r="N6" s="11">
        <v>21068</v>
      </c>
      <c r="O6" s="11">
        <v>20648</v>
      </c>
      <c r="P6" s="11">
        <v>18520</v>
      </c>
      <c r="Q6" s="11">
        <v>23207</v>
      </c>
      <c r="R6" s="11">
        <v>24657</v>
      </c>
      <c r="S6" s="11">
        <v>27814</v>
      </c>
      <c r="T6" s="11">
        <v>29441</v>
      </c>
      <c r="U6" s="11">
        <v>29253</v>
      </c>
      <c r="V6" s="11">
        <v>29226</v>
      </c>
      <c r="W6" s="11">
        <v>30566</v>
      </c>
      <c r="X6" s="11">
        <v>32584</v>
      </c>
      <c r="Y6" s="11">
        <v>31982</v>
      </c>
      <c r="Z6" s="11">
        <v>32871</v>
      </c>
      <c r="AA6" s="11">
        <v>34470</v>
      </c>
      <c r="AB6" s="11">
        <v>36575</v>
      </c>
      <c r="AC6" s="11">
        <v>36180</v>
      </c>
      <c r="AD6" s="11">
        <v>36958</v>
      </c>
      <c r="AE6" s="11">
        <v>38604</v>
      </c>
      <c r="AF6" s="11">
        <v>40337</v>
      </c>
      <c r="AG6" s="11">
        <v>40138</v>
      </c>
      <c r="AH6" s="11">
        <v>40512</v>
      </c>
      <c r="AI6" s="11">
        <v>41041</v>
      </c>
      <c r="AJ6" s="11">
        <v>42273</v>
      </c>
      <c r="AK6" s="11">
        <v>40706</v>
      </c>
      <c r="AL6" s="11">
        <v>40299</v>
      </c>
      <c r="AM6" s="11">
        <v>42153</v>
      </c>
      <c r="AN6" s="11">
        <v>43738</v>
      </c>
      <c r="AO6" s="11">
        <v>43931</v>
      </c>
      <c r="AP6" s="11">
        <v>45381</v>
      </c>
      <c r="AQ6" s="11">
        <v>50097</v>
      </c>
      <c r="AR6" s="11">
        <v>53328</v>
      </c>
      <c r="AS6" s="11">
        <v>53773</v>
      </c>
      <c r="AT6" s="11">
        <v>54727</v>
      </c>
      <c r="AU6" s="11">
        <v>60729</v>
      </c>
      <c r="AV6" s="11">
        <v>62964</v>
      </c>
      <c r="AW6" s="11">
        <v>66628</v>
      </c>
      <c r="AX6" s="11">
        <v>66948</v>
      </c>
      <c r="AY6" s="11">
        <v>70266</v>
      </c>
      <c r="AZ6" s="11">
        <v>72296</v>
      </c>
      <c r="BA6" s="11">
        <v>67792</v>
      </c>
      <c r="BB6" s="11">
        <v>64809</v>
      </c>
      <c r="BC6" s="11">
        <v>62918</v>
      </c>
      <c r="BD6" s="11">
        <v>55997</v>
      </c>
      <c r="BE6" s="11">
        <v>50661</v>
      </c>
      <c r="BF6" s="11">
        <v>49816</v>
      </c>
      <c r="BG6" s="11">
        <v>46757</v>
      </c>
      <c r="BH6" s="11">
        <v>40029</v>
      </c>
      <c r="BI6" s="11">
        <v>40074</v>
      </c>
      <c r="BJ6" s="11">
        <v>39312</v>
      </c>
      <c r="BK6" s="11">
        <v>41260</v>
      </c>
      <c r="BL6" s="11">
        <v>40879</v>
      </c>
      <c r="BM6" s="11">
        <v>47819</v>
      </c>
      <c r="BN6" s="11">
        <v>46108</v>
      </c>
      <c r="BO6" s="11">
        <v>48215</v>
      </c>
      <c r="BP6" s="11">
        <v>54036</v>
      </c>
      <c r="BQ6" s="11">
        <v>49840</v>
      </c>
      <c r="BR6" s="11">
        <v>54212</v>
      </c>
      <c r="BS6" s="11">
        <v>73982</v>
      </c>
      <c r="BT6" s="11">
        <v>81483</v>
      </c>
      <c r="BU6" s="11">
        <v>76087</v>
      </c>
      <c r="BV6" s="11">
        <v>76428</v>
      </c>
      <c r="BW6" s="11">
        <v>84577</v>
      </c>
      <c r="BX6" s="10">
        <v>85496</v>
      </c>
      <c r="BY6" s="10">
        <v>313863</v>
      </c>
      <c r="BZ6" s="10">
        <v>293991</v>
      </c>
      <c r="CA6" s="10">
        <v>329832</v>
      </c>
      <c r="CB6" s="10">
        <v>333914</v>
      </c>
      <c r="CC6" s="10">
        <v>349487</v>
      </c>
      <c r="CD6" s="10">
        <v>390902</v>
      </c>
      <c r="CE6" s="10">
        <v>412768</v>
      </c>
      <c r="CF6" s="10">
        <v>398648</v>
      </c>
      <c r="CG6" s="10">
        <v>422892</v>
      </c>
      <c r="CH6" s="10">
        <v>509701</v>
      </c>
      <c r="CI6" s="10">
        <v>543997</v>
      </c>
      <c r="CJ6" s="10">
        <v>539565</v>
      </c>
      <c r="CK6" s="10">
        <v>611690</v>
      </c>
      <c r="CL6" s="10">
        <v>679823</v>
      </c>
      <c r="CM6" s="10">
        <v>724955</v>
      </c>
      <c r="CN6" s="10">
        <v>728902</v>
      </c>
      <c r="CO6" s="10">
        <v>722158</v>
      </c>
      <c r="CP6" s="10">
        <v>797793</v>
      </c>
      <c r="CQ6" s="10">
        <v>940451</v>
      </c>
      <c r="CR6" s="10">
        <v>950537</v>
      </c>
      <c r="CS6" s="10">
        <v>1024581</v>
      </c>
      <c r="CT6" s="10">
        <v>1041436</v>
      </c>
      <c r="CU6" s="10">
        <v>1069135</v>
      </c>
      <c r="CV6" s="10">
        <v>1021195</v>
      </c>
      <c r="CW6" s="10">
        <v>956670</v>
      </c>
      <c r="CX6" s="10">
        <v>945298</v>
      </c>
      <c r="CY6" s="10">
        <v>1041393</v>
      </c>
      <c r="CZ6" s="10">
        <v>954578</v>
      </c>
      <c r="DA6" s="10">
        <v>922134</v>
      </c>
      <c r="DB6" s="10">
        <v>970687</v>
      </c>
      <c r="DC6" s="10">
        <v>1188678</v>
      </c>
      <c r="DD6" s="10">
        <v>1097215</v>
      </c>
      <c r="DE6" s="10">
        <v>1183984</v>
      </c>
      <c r="DF6" s="10">
        <v>1390316</v>
      </c>
      <c r="DG6" s="10">
        <v>1505322</v>
      </c>
      <c r="DH6" s="10">
        <v>1515249</v>
      </c>
      <c r="DI6" s="10">
        <v>1664910</v>
      </c>
      <c r="DJ6" s="10">
        <v>1873878</v>
      </c>
      <c r="DK6" s="10">
        <v>2242508</v>
      </c>
      <c r="DL6" s="10">
        <v>2280711</v>
      </c>
      <c r="DM6" s="10">
        <v>2420357</v>
      </c>
      <c r="DN6" s="10">
        <v>2651564</v>
      </c>
      <c r="DO6" s="10">
        <v>2657111</v>
      </c>
      <c r="DP6" s="10">
        <v>2620277</v>
      </c>
      <c r="DQ6" s="10">
        <v>2712027</v>
      </c>
      <c r="DR6" s="10">
        <v>3099402</v>
      </c>
      <c r="DS6" s="10">
        <v>3400974</v>
      </c>
      <c r="DT6" s="10">
        <v>3447437</v>
      </c>
      <c r="DU6" s="10">
        <v>3828123</v>
      </c>
      <c r="DV6" s="10">
        <v>3873717</v>
      </c>
      <c r="DW6" s="10">
        <v>3521916</v>
      </c>
      <c r="DX6" s="10">
        <v>3565971</v>
      </c>
      <c r="DY6" s="10">
        <v>3297629</v>
      </c>
      <c r="DZ6" s="10">
        <v>3477895</v>
      </c>
      <c r="EA6" s="10">
        <v>3657020</v>
      </c>
      <c r="EB6" s="10">
        <v>3703792</v>
      </c>
      <c r="EC6" s="10">
        <v>3542220</v>
      </c>
      <c r="ED6" s="10">
        <v>3144815</v>
      </c>
      <c r="EE6" s="10">
        <v>3314606</v>
      </c>
      <c r="EF6" s="10">
        <v>3293221</v>
      </c>
      <c r="EG6" s="10">
        <v>2955346</v>
      </c>
      <c r="EH6" s="10">
        <v>3118549</v>
      </c>
      <c r="EI6" s="10">
        <v>3066034</v>
      </c>
      <c r="EJ6" s="9">
        <v>3139603</v>
      </c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ht="15" customHeight="1">
      <c r="A7" s="13" t="s">
        <v>188</v>
      </c>
      <c r="B7" s="15">
        <v>7031</v>
      </c>
      <c r="C7" s="11">
        <v>5196</v>
      </c>
      <c r="D7" s="11">
        <v>4411</v>
      </c>
      <c r="E7" s="11">
        <v>4773</v>
      </c>
      <c r="F7" s="11">
        <v>6565</v>
      </c>
      <c r="G7" s="11">
        <v>7093</v>
      </c>
      <c r="H7" s="11">
        <v>8950</v>
      </c>
      <c r="I7" s="11">
        <v>10638</v>
      </c>
      <c r="J7" s="11">
        <v>10610</v>
      </c>
      <c r="K7" s="11">
        <v>11125</v>
      </c>
      <c r="L7" s="11">
        <v>11442</v>
      </c>
      <c r="M7" s="11">
        <v>12233</v>
      </c>
      <c r="N7" s="11">
        <v>13590</v>
      </c>
      <c r="O7" s="11">
        <v>13690</v>
      </c>
      <c r="P7" s="11">
        <v>10998</v>
      </c>
      <c r="Q7" s="11">
        <v>13539</v>
      </c>
      <c r="R7" s="11">
        <v>14295</v>
      </c>
      <c r="S7" s="11">
        <v>15045</v>
      </c>
      <c r="T7" s="11">
        <v>16549</v>
      </c>
      <c r="U7" s="11">
        <v>17050</v>
      </c>
      <c r="V7" s="11">
        <v>17635</v>
      </c>
      <c r="W7" s="11">
        <v>18025</v>
      </c>
      <c r="X7" s="11">
        <v>18483</v>
      </c>
      <c r="Y7" s="11">
        <v>18927</v>
      </c>
      <c r="Z7" s="11">
        <v>19346</v>
      </c>
      <c r="AA7" s="11">
        <v>19675</v>
      </c>
      <c r="AB7" s="11">
        <v>20104</v>
      </c>
      <c r="AC7" s="11">
        <v>21205</v>
      </c>
      <c r="AD7" s="11">
        <v>22323</v>
      </c>
      <c r="AE7" s="11">
        <v>23512</v>
      </c>
      <c r="AF7" s="11">
        <v>24619</v>
      </c>
      <c r="AG7" s="11">
        <v>24735</v>
      </c>
      <c r="AH7" s="11">
        <v>24867</v>
      </c>
      <c r="AI7" s="11">
        <v>25064</v>
      </c>
      <c r="AJ7" s="11">
        <v>25164</v>
      </c>
      <c r="AK7" s="11">
        <v>25357</v>
      </c>
      <c r="AL7" s="11">
        <v>25500</v>
      </c>
      <c r="AM7" s="11">
        <v>25710</v>
      </c>
      <c r="AN7" s="11">
        <v>25927</v>
      </c>
      <c r="AO7" s="11">
        <v>26260</v>
      </c>
      <c r="AP7" s="11">
        <v>26719</v>
      </c>
      <c r="AQ7" s="11">
        <v>26915</v>
      </c>
      <c r="AR7" s="11">
        <v>27245</v>
      </c>
      <c r="AS7" s="11">
        <v>27393</v>
      </c>
      <c r="AT7" s="11">
        <v>27541</v>
      </c>
      <c r="AU7" s="11">
        <v>27688</v>
      </c>
      <c r="AV7" s="11">
        <v>27836</v>
      </c>
      <c r="AW7" s="11">
        <v>28292</v>
      </c>
      <c r="AX7" s="11">
        <v>28745</v>
      </c>
      <c r="AY7" s="11">
        <v>29198</v>
      </c>
      <c r="AZ7" s="11">
        <v>29653</v>
      </c>
      <c r="BA7" s="11">
        <v>29733</v>
      </c>
      <c r="BB7" s="11">
        <v>29813</v>
      </c>
      <c r="BC7" s="11">
        <v>29893</v>
      </c>
      <c r="BD7" s="11">
        <v>29973</v>
      </c>
      <c r="BE7" s="11">
        <v>30257</v>
      </c>
      <c r="BF7" s="11">
        <v>30521</v>
      </c>
      <c r="BG7" s="11">
        <v>30804</v>
      </c>
      <c r="BH7" s="11">
        <v>31068</v>
      </c>
      <c r="BI7" s="11">
        <v>32914</v>
      </c>
      <c r="BJ7" s="11">
        <v>34990</v>
      </c>
      <c r="BK7" s="11">
        <v>34959</v>
      </c>
      <c r="BL7" s="11">
        <v>35503</v>
      </c>
      <c r="BM7" s="11">
        <v>43495</v>
      </c>
      <c r="BN7" s="11">
        <v>43577</v>
      </c>
      <c r="BO7" s="11">
        <v>42805</v>
      </c>
      <c r="BP7" s="11">
        <v>40850</v>
      </c>
      <c r="BQ7" s="11">
        <v>40907</v>
      </c>
      <c r="BR7" s="11">
        <v>43885</v>
      </c>
      <c r="BS7" s="11">
        <v>45015</v>
      </c>
      <c r="BT7" s="11">
        <v>46436</v>
      </c>
      <c r="BU7" s="11">
        <v>48074</v>
      </c>
      <c r="BV7" s="11">
        <v>49036</v>
      </c>
      <c r="BW7" s="11">
        <v>49802</v>
      </c>
      <c r="BX7" s="10">
        <v>50796</v>
      </c>
      <c r="BY7" s="10">
        <v>288683</v>
      </c>
      <c r="BZ7" s="10">
        <v>276252</v>
      </c>
      <c r="CA7" s="10">
        <v>283757</v>
      </c>
      <c r="CB7" s="10">
        <v>299721</v>
      </c>
      <c r="CC7" s="10">
        <v>320647</v>
      </c>
      <c r="CD7" s="10">
        <v>358074</v>
      </c>
      <c r="CE7" s="10">
        <v>367347</v>
      </c>
      <c r="CF7" s="10">
        <v>368244</v>
      </c>
      <c r="CG7" s="10">
        <v>401819</v>
      </c>
      <c r="CH7" s="10">
        <v>471654</v>
      </c>
      <c r="CI7" s="10">
        <v>497310</v>
      </c>
      <c r="CJ7" s="10">
        <v>501556</v>
      </c>
      <c r="CK7" s="10">
        <v>549492</v>
      </c>
      <c r="CL7" s="10">
        <v>644435</v>
      </c>
      <c r="CM7" s="10">
        <v>649827</v>
      </c>
      <c r="CN7" s="10">
        <v>684735</v>
      </c>
      <c r="CO7" s="10">
        <v>685645</v>
      </c>
      <c r="CP7" s="10">
        <v>743641</v>
      </c>
      <c r="CQ7" s="10">
        <v>819439</v>
      </c>
      <c r="CR7" s="10">
        <v>875828</v>
      </c>
      <c r="CS7" s="10">
        <v>885521</v>
      </c>
      <c r="CT7" s="10">
        <v>901665</v>
      </c>
      <c r="CU7" s="10">
        <v>845551</v>
      </c>
      <c r="CV7" s="10">
        <v>811961</v>
      </c>
      <c r="CW7" s="10">
        <v>784576</v>
      </c>
      <c r="CX7" s="10">
        <v>770124</v>
      </c>
      <c r="CY7" s="10">
        <v>753477</v>
      </c>
      <c r="CZ7" s="10">
        <v>750861</v>
      </c>
      <c r="DA7" s="10">
        <v>717618</v>
      </c>
      <c r="DB7" s="10">
        <v>734248</v>
      </c>
      <c r="DC7" s="10">
        <v>741353</v>
      </c>
      <c r="DD7" s="10">
        <v>664180</v>
      </c>
      <c r="DE7" s="10">
        <v>558688</v>
      </c>
      <c r="DF7" s="10">
        <v>768359</v>
      </c>
      <c r="DG7" s="10">
        <v>803754</v>
      </c>
      <c r="DH7" s="10">
        <v>759723</v>
      </c>
      <c r="DI7" s="10">
        <v>810101</v>
      </c>
      <c r="DJ7" s="10">
        <v>847429</v>
      </c>
      <c r="DK7" s="10">
        <v>820379</v>
      </c>
      <c r="DL7" s="10">
        <v>776818</v>
      </c>
      <c r="DM7" s="10">
        <v>762609</v>
      </c>
      <c r="DN7" s="10">
        <v>750115</v>
      </c>
      <c r="DO7" s="10">
        <v>710608</v>
      </c>
      <c r="DP7" s="10">
        <v>683020</v>
      </c>
      <c r="DQ7" s="10">
        <v>761571</v>
      </c>
      <c r="DR7" s="10">
        <v>808552</v>
      </c>
      <c r="DS7" s="10">
        <v>737513</v>
      </c>
      <c r="DT7" s="10">
        <v>687706</v>
      </c>
      <c r="DU7" s="10">
        <v>730908</v>
      </c>
      <c r="DV7" s="10">
        <v>662364</v>
      </c>
      <c r="DW7" s="10">
        <v>649886</v>
      </c>
      <c r="DX7" s="10">
        <v>761315</v>
      </c>
      <c r="DY7" s="10">
        <v>773648</v>
      </c>
      <c r="DZ7" s="10">
        <v>834941</v>
      </c>
      <c r="EA7" s="10">
        <v>864461</v>
      </c>
      <c r="EB7" s="10">
        <v>917381</v>
      </c>
      <c r="EC7" s="10">
        <v>887322</v>
      </c>
      <c r="ED7" s="10">
        <v>852161</v>
      </c>
      <c r="EE7" s="10">
        <v>819117</v>
      </c>
      <c r="EF7" s="10">
        <v>825547</v>
      </c>
      <c r="EG7" s="10">
        <v>757726</v>
      </c>
      <c r="EH7" s="10">
        <v>759351</v>
      </c>
      <c r="EI7" s="10">
        <v>772904</v>
      </c>
      <c r="EJ7" s="9">
        <v>775327</v>
      </c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ht="15" customHeight="1">
      <c r="A8" s="13" t="s">
        <v>187</v>
      </c>
      <c r="B8" s="15">
        <v>8848</v>
      </c>
      <c r="C8" s="11">
        <v>7539</v>
      </c>
      <c r="D8" s="11">
        <v>8036</v>
      </c>
      <c r="E8" s="11">
        <v>8767</v>
      </c>
      <c r="F8" s="11">
        <v>9402</v>
      </c>
      <c r="G8" s="11">
        <v>9109</v>
      </c>
      <c r="H8" s="11">
        <v>8745</v>
      </c>
      <c r="I8" s="11">
        <v>8204</v>
      </c>
      <c r="J8" s="11">
        <v>8695</v>
      </c>
      <c r="K8" s="11">
        <v>8791</v>
      </c>
      <c r="L8" s="11">
        <v>8298</v>
      </c>
      <c r="M8" s="11">
        <v>8139</v>
      </c>
      <c r="N8" s="11">
        <v>7478</v>
      </c>
      <c r="O8" s="11">
        <v>6958</v>
      </c>
      <c r="P8" s="11">
        <v>7522</v>
      </c>
      <c r="Q8" s="11">
        <v>9668</v>
      </c>
      <c r="R8" s="11">
        <v>10362</v>
      </c>
      <c r="S8" s="11">
        <v>12769</v>
      </c>
      <c r="T8" s="11">
        <v>1289</v>
      </c>
      <c r="U8" s="11">
        <v>12203</v>
      </c>
      <c r="V8" s="11">
        <v>11591</v>
      </c>
      <c r="W8" s="11">
        <v>12541</v>
      </c>
      <c r="X8" s="11">
        <v>14101</v>
      </c>
      <c r="Y8" s="11">
        <v>13055</v>
      </c>
      <c r="Z8" s="11">
        <v>13525</v>
      </c>
      <c r="AA8" s="11">
        <v>14795</v>
      </c>
      <c r="AB8" s="11">
        <v>16471</v>
      </c>
      <c r="AC8" s="11">
        <v>14975</v>
      </c>
      <c r="AD8" s="11">
        <v>14635</v>
      </c>
      <c r="AE8" s="11">
        <v>15092</v>
      </c>
      <c r="AF8" s="11">
        <v>15718</v>
      </c>
      <c r="AG8" s="11">
        <v>15403</v>
      </c>
      <c r="AH8" s="11">
        <v>15645</v>
      </c>
      <c r="AI8" s="11">
        <v>15977</v>
      </c>
      <c r="AJ8" s="11">
        <v>17109</v>
      </c>
      <c r="AK8" s="11">
        <v>15349</v>
      </c>
      <c r="AL8" s="11">
        <v>14799</v>
      </c>
      <c r="AM8" s="11">
        <v>16443</v>
      </c>
      <c r="AN8" s="11">
        <v>17811</v>
      </c>
      <c r="AO8" s="11">
        <v>17671</v>
      </c>
      <c r="AP8" s="11">
        <v>18662</v>
      </c>
      <c r="AQ8" s="11">
        <v>23182</v>
      </c>
      <c r="AR8" s="11">
        <v>26083</v>
      </c>
      <c r="AS8" s="11">
        <v>26380</v>
      </c>
      <c r="AT8" s="11">
        <v>27186</v>
      </c>
      <c r="AU8" s="11">
        <v>33041</v>
      </c>
      <c r="AV8" s="11">
        <v>35128</v>
      </c>
      <c r="AW8" s="11">
        <v>38336</v>
      </c>
      <c r="AX8" s="11">
        <v>38203</v>
      </c>
      <c r="AY8" s="11">
        <v>41068</v>
      </c>
      <c r="AZ8" s="11">
        <v>42643</v>
      </c>
      <c r="BA8" s="11">
        <v>38059</v>
      </c>
      <c r="BB8" s="11">
        <v>34996</v>
      </c>
      <c r="BC8" s="11">
        <v>33025</v>
      </c>
      <c r="BD8" s="11">
        <v>26024</v>
      </c>
      <c r="BE8" s="11">
        <v>20404</v>
      </c>
      <c r="BF8" s="11">
        <v>19295</v>
      </c>
      <c r="BG8" s="11">
        <v>15953</v>
      </c>
      <c r="BH8" s="11">
        <v>8961</v>
      </c>
      <c r="BI8" s="11">
        <v>7160</v>
      </c>
      <c r="BJ8" s="11">
        <v>4322</v>
      </c>
      <c r="BK8" s="11">
        <v>6301</v>
      </c>
      <c r="BL8" s="11">
        <v>5376</v>
      </c>
      <c r="BM8" s="11">
        <v>4324</v>
      </c>
      <c r="BN8" s="11">
        <v>2531</v>
      </c>
      <c r="BO8" s="11">
        <v>5410</v>
      </c>
      <c r="BP8" s="11">
        <v>13186</v>
      </c>
      <c r="BQ8" s="11">
        <v>8933</v>
      </c>
      <c r="BR8" s="11">
        <v>10327</v>
      </c>
      <c r="BS8" s="11">
        <v>28967</v>
      </c>
      <c r="BT8" s="11">
        <v>35047</v>
      </c>
      <c r="BU8" s="11">
        <v>28013</v>
      </c>
      <c r="BV8" s="11">
        <v>27392</v>
      </c>
      <c r="BW8" s="11">
        <v>34775</v>
      </c>
      <c r="BX8" s="10">
        <v>34700</v>
      </c>
      <c r="BY8" s="10">
        <v>25180</v>
      </c>
      <c r="BZ8" s="10">
        <v>17739</v>
      </c>
      <c r="CA8" s="10">
        <v>46075</v>
      </c>
      <c r="CB8" s="10">
        <v>34193</v>
      </c>
      <c r="CC8" s="10">
        <v>28840</v>
      </c>
      <c r="CD8" s="10">
        <v>32828</v>
      </c>
      <c r="CE8" s="10">
        <v>45421</v>
      </c>
      <c r="CF8" s="10">
        <v>30404</v>
      </c>
      <c r="CG8" s="10">
        <v>21073</v>
      </c>
      <c r="CH8" s="10">
        <v>38047</v>
      </c>
      <c r="CI8" s="10">
        <v>46687</v>
      </c>
      <c r="CJ8" s="10">
        <v>38009</v>
      </c>
      <c r="CK8" s="10">
        <v>62198</v>
      </c>
      <c r="CL8" s="10">
        <v>35388</v>
      </c>
      <c r="CM8" s="10">
        <v>75128</v>
      </c>
      <c r="CN8" s="10">
        <v>44167</v>
      </c>
      <c r="CO8" s="10">
        <v>36513</v>
      </c>
      <c r="CP8" s="10">
        <v>54152</v>
      </c>
      <c r="CQ8" s="10">
        <v>121012</v>
      </c>
      <c r="CR8" s="10">
        <v>74709</v>
      </c>
      <c r="CS8" s="10">
        <v>139060</v>
      </c>
      <c r="CT8" s="10">
        <v>139771</v>
      </c>
      <c r="CU8" s="10">
        <v>223584</v>
      </c>
      <c r="CV8" s="10">
        <v>209234</v>
      </c>
      <c r="CW8" s="10">
        <v>172094</v>
      </c>
      <c r="CX8" s="10">
        <v>175174</v>
      </c>
      <c r="CY8" s="10">
        <v>287916</v>
      </c>
      <c r="CZ8" s="10">
        <v>203717</v>
      </c>
      <c r="DA8" s="10">
        <v>204516</v>
      </c>
      <c r="DB8" s="10">
        <v>236439</v>
      </c>
      <c r="DC8" s="10">
        <v>447325</v>
      </c>
      <c r="DD8" s="10">
        <v>433035</v>
      </c>
      <c r="DE8" s="10">
        <v>625296</v>
      </c>
      <c r="DF8" s="10">
        <v>621957</v>
      </c>
      <c r="DG8" s="10">
        <v>701568</v>
      </c>
      <c r="DH8" s="10">
        <v>755526</v>
      </c>
      <c r="DI8" s="10">
        <v>854809</v>
      </c>
      <c r="DJ8" s="10">
        <v>1026449</v>
      </c>
      <c r="DK8" s="10">
        <v>1422129</v>
      </c>
      <c r="DL8" s="10">
        <v>1503893</v>
      </c>
      <c r="DM8" s="10">
        <v>1657748</v>
      </c>
      <c r="DN8" s="10">
        <v>1901449</v>
      </c>
      <c r="DO8" s="10">
        <v>1946503</v>
      </c>
      <c r="DP8" s="10">
        <v>1937257</v>
      </c>
      <c r="DQ8" s="10">
        <v>1950456</v>
      </c>
      <c r="DR8" s="10">
        <v>2290850</v>
      </c>
      <c r="DS8" s="10">
        <v>2663461</v>
      </c>
      <c r="DT8" s="10">
        <v>2759731</v>
      </c>
      <c r="DU8" s="10">
        <v>3097215</v>
      </c>
      <c r="DV8" s="10">
        <v>3211353</v>
      </c>
      <c r="DW8" s="10">
        <v>2872030</v>
      </c>
      <c r="DX8" s="10">
        <v>2804656</v>
      </c>
      <c r="DY8" s="10">
        <v>2523981</v>
      </c>
      <c r="DZ8" s="10">
        <v>2642954</v>
      </c>
      <c r="EA8" s="10">
        <v>2792559</v>
      </c>
      <c r="EB8" s="10">
        <v>2786411</v>
      </c>
      <c r="EC8" s="10">
        <v>2654898</v>
      </c>
      <c r="ED8" s="10">
        <v>2292654</v>
      </c>
      <c r="EE8" s="10">
        <v>2495489</v>
      </c>
      <c r="EF8" s="10">
        <v>2467674</v>
      </c>
      <c r="EG8" s="10">
        <v>2197620</v>
      </c>
      <c r="EH8" s="10">
        <v>2359198</v>
      </c>
      <c r="EI8" s="10">
        <v>2293130</v>
      </c>
      <c r="EJ8" s="9">
        <v>2364276</v>
      </c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ht="15" customHeight="1">
      <c r="A9" s="13" t="s">
        <v>186</v>
      </c>
      <c r="B9" s="12">
        <v>251</v>
      </c>
      <c r="C9" s="10">
        <v>450</v>
      </c>
      <c r="D9" s="10">
        <v>104</v>
      </c>
      <c r="E9" s="10">
        <v>169</v>
      </c>
      <c r="F9" s="10">
        <v>338</v>
      </c>
      <c r="G9" s="10">
        <v>128</v>
      </c>
      <c r="H9" s="10">
        <v>153</v>
      </c>
      <c r="I9" s="10">
        <v>203</v>
      </c>
      <c r="J9" s="10">
        <v>249</v>
      </c>
      <c r="K9" s="10">
        <v>215</v>
      </c>
      <c r="L9" s="10">
        <v>33</v>
      </c>
      <c r="M9" s="10">
        <v>290</v>
      </c>
      <c r="N9" s="10">
        <v>430</v>
      </c>
      <c r="O9" s="10">
        <v>55</v>
      </c>
      <c r="P9" s="10">
        <v>266</v>
      </c>
      <c r="Q9" s="10">
        <v>259</v>
      </c>
      <c r="R9" s="10">
        <v>587</v>
      </c>
      <c r="S9" s="10">
        <v>685</v>
      </c>
      <c r="T9" s="11">
        <v>767</v>
      </c>
      <c r="U9" s="11">
        <v>808</v>
      </c>
      <c r="V9" s="11">
        <v>765</v>
      </c>
      <c r="W9" s="11">
        <v>705</v>
      </c>
      <c r="X9" s="11">
        <v>729</v>
      </c>
      <c r="Y9" s="11">
        <v>713</v>
      </c>
      <c r="Z9" s="11">
        <v>818</v>
      </c>
      <c r="AA9" s="11">
        <v>732</v>
      </c>
      <c r="AB9" s="11">
        <v>751</v>
      </c>
      <c r="AC9" s="11">
        <v>1040</v>
      </c>
      <c r="AD9" s="11">
        <v>867</v>
      </c>
      <c r="AE9" s="11">
        <v>996</v>
      </c>
      <c r="AF9" s="11">
        <v>1047</v>
      </c>
      <c r="AG9" s="11">
        <v>1099</v>
      </c>
      <c r="AH9" s="11">
        <v>1125</v>
      </c>
      <c r="AI9" s="11">
        <v>1063</v>
      </c>
      <c r="AJ9" s="11">
        <v>963</v>
      </c>
      <c r="AK9" s="11">
        <v>985</v>
      </c>
      <c r="AL9" s="11">
        <v>956</v>
      </c>
      <c r="AM9" s="11">
        <v>870</v>
      </c>
      <c r="AN9" s="11">
        <v>825</v>
      </c>
      <c r="AO9" s="11">
        <v>854</v>
      </c>
      <c r="AP9" s="11">
        <v>996</v>
      </c>
      <c r="AQ9" s="11">
        <v>861</v>
      </c>
      <c r="AR9" s="11">
        <v>922</v>
      </c>
      <c r="AS9" s="11">
        <v>2589</v>
      </c>
      <c r="AT9" s="11">
        <v>2949</v>
      </c>
      <c r="AU9" s="11">
        <v>2991</v>
      </c>
      <c r="AV9" s="11">
        <v>2391</v>
      </c>
      <c r="AW9" s="11">
        <v>1424</v>
      </c>
      <c r="AX9" s="11">
        <v>567</v>
      </c>
      <c r="AY9" s="11">
        <v>1124</v>
      </c>
      <c r="AZ9" s="11">
        <v>1148</v>
      </c>
      <c r="BA9" s="11">
        <v>1260</v>
      </c>
      <c r="BB9" s="11">
        <v>1413</v>
      </c>
      <c r="BC9" s="11">
        <v>968</v>
      </c>
      <c r="BD9" s="11">
        <v>531</v>
      </c>
      <c r="BE9" s="11">
        <v>2747</v>
      </c>
      <c r="BF9" s="11">
        <v>716</v>
      </c>
      <c r="BG9" s="11">
        <v>3085</v>
      </c>
      <c r="BH9" s="11">
        <v>8447</v>
      </c>
      <c r="BI9" s="11">
        <v>18746</v>
      </c>
      <c r="BJ9" s="11">
        <v>28944</v>
      </c>
      <c r="BK9" s="11">
        <v>33124</v>
      </c>
      <c r="BL9" s="11">
        <v>36730</v>
      </c>
      <c r="BM9" s="11">
        <v>54634</v>
      </c>
      <c r="BN9" s="11">
        <v>62469</v>
      </c>
      <c r="BO9" s="11">
        <v>66842</v>
      </c>
      <c r="BP9" s="11">
        <v>67413</v>
      </c>
      <c r="BQ9" s="11">
        <v>64937</v>
      </c>
      <c r="BR9" s="11">
        <v>76772</v>
      </c>
      <c r="BS9" s="11">
        <v>83059</v>
      </c>
      <c r="BT9" s="11">
        <v>86409</v>
      </c>
      <c r="BU9" s="11">
        <v>87453</v>
      </c>
      <c r="BV9" s="11">
        <v>85605</v>
      </c>
      <c r="BW9" s="11">
        <v>81467</v>
      </c>
      <c r="BX9" s="10">
        <v>66674</v>
      </c>
      <c r="BY9" s="10">
        <v>62263</v>
      </c>
      <c r="BZ9" s="10">
        <v>57217</v>
      </c>
      <c r="CA9" s="10">
        <v>53980</v>
      </c>
      <c r="CB9" s="10">
        <v>51320</v>
      </c>
      <c r="CC9" s="10">
        <v>58714</v>
      </c>
      <c r="CD9" s="10">
        <v>50032</v>
      </c>
      <c r="CE9" s="10">
        <v>48824</v>
      </c>
      <c r="CF9" s="10">
        <v>58205</v>
      </c>
      <c r="CG9" s="10">
        <v>59939</v>
      </c>
      <c r="CH9" s="10">
        <v>77122</v>
      </c>
      <c r="CI9" s="10">
        <v>76052</v>
      </c>
      <c r="CJ9" s="10">
        <v>72651</v>
      </c>
      <c r="CK9" s="10">
        <v>120250</v>
      </c>
      <c r="CL9" s="10">
        <v>169767</v>
      </c>
      <c r="CM9" s="10">
        <v>176669</v>
      </c>
      <c r="CN9" s="10">
        <v>104767</v>
      </c>
      <c r="CO9" s="10">
        <v>66469</v>
      </c>
      <c r="CP9" s="10">
        <v>18297</v>
      </c>
      <c r="CQ9" s="10">
        <v>1253</v>
      </c>
      <c r="CR9" s="10">
        <v>206</v>
      </c>
      <c r="CS9" s="10">
        <v>551</v>
      </c>
      <c r="CT9" s="10">
        <v>206</v>
      </c>
      <c r="CU9" s="10">
        <v>314</v>
      </c>
      <c r="CV9" s="10">
        <v>1077</v>
      </c>
      <c r="CW9" s="10">
        <v>1442</v>
      </c>
      <c r="CX9" s="10">
        <v>956</v>
      </c>
      <c r="CY9" s="10">
        <v>1893</v>
      </c>
      <c r="CZ9" s="10">
        <v>1041</v>
      </c>
      <c r="DA9" s="10">
        <v>1411</v>
      </c>
      <c r="DB9" s="10">
        <v>938</v>
      </c>
      <c r="DC9" s="10">
        <v>1048</v>
      </c>
      <c r="DD9" s="10">
        <v>1036</v>
      </c>
      <c r="DE9" s="10">
        <v>1475</v>
      </c>
      <c r="DF9" s="10">
        <v>786</v>
      </c>
      <c r="DG9" s="10">
        <v>1913</v>
      </c>
      <c r="DH9" s="10">
        <v>750</v>
      </c>
      <c r="DI9" s="10">
        <v>1358</v>
      </c>
      <c r="DJ9" s="10">
        <v>1792</v>
      </c>
      <c r="DK9" s="10">
        <v>741</v>
      </c>
      <c r="DL9" s="10">
        <v>3002</v>
      </c>
      <c r="DM9" s="10">
        <v>1960</v>
      </c>
      <c r="DN9" s="10">
        <v>15265</v>
      </c>
      <c r="DO9" s="10">
        <v>3379</v>
      </c>
      <c r="DP9" s="10">
        <v>3259</v>
      </c>
      <c r="DQ9" s="10">
        <v>1734</v>
      </c>
      <c r="DR9" s="10">
        <v>8078</v>
      </c>
      <c r="DS9" s="10">
        <v>1816</v>
      </c>
      <c r="DT9" s="10">
        <v>1620</v>
      </c>
      <c r="DU9" s="10">
        <v>2309</v>
      </c>
      <c r="DV9" s="10">
        <v>2597</v>
      </c>
      <c r="DW9" s="10">
        <v>5838</v>
      </c>
      <c r="DX9" s="10">
        <v>2925</v>
      </c>
      <c r="DY9" s="10">
        <v>17718</v>
      </c>
      <c r="DZ9" s="10">
        <v>4522</v>
      </c>
      <c r="EA9" s="10">
        <v>3618</v>
      </c>
      <c r="EB9" s="10">
        <v>3130</v>
      </c>
      <c r="EC9" s="10">
        <v>19396</v>
      </c>
      <c r="ED9" s="10">
        <v>18508</v>
      </c>
      <c r="EE9" s="10">
        <v>19447</v>
      </c>
      <c r="EF9" s="10">
        <v>19411</v>
      </c>
      <c r="EG9" s="10">
        <v>37344</v>
      </c>
      <c r="EH9" s="10">
        <v>3003</v>
      </c>
      <c r="EI9" s="10">
        <v>2593</v>
      </c>
      <c r="EJ9" s="9">
        <v>7182</v>
      </c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ht="15" customHeight="1">
      <c r="A10" s="13" t="s">
        <v>185</v>
      </c>
      <c r="B10" s="12">
        <v>1775</v>
      </c>
      <c r="C10" s="10">
        <v>1783</v>
      </c>
      <c r="D10" s="10">
        <v>1732</v>
      </c>
      <c r="E10" s="10">
        <v>1774</v>
      </c>
      <c r="F10" s="10">
        <v>1790</v>
      </c>
      <c r="G10" s="10">
        <v>1983</v>
      </c>
      <c r="H10" s="10">
        <v>1973</v>
      </c>
      <c r="I10" s="10">
        <v>1930</v>
      </c>
      <c r="J10" s="10">
        <v>1914</v>
      </c>
      <c r="K10" s="10">
        <v>1923</v>
      </c>
      <c r="L10" s="10">
        <v>1908</v>
      </c>
      <c r="M10" s="10">
        <v>2313</v>
      </c>
      <c r="N10" s="10">
        <v>2306</v>
      </c>
      <c r="O10" s="10">
        <v>2404</v>
      </c>
      <c r="P10" s="10">
        <v>2614</v>
      </c>
      <c r="Q10" s="10">
        <v>1752</v>
      </c>
      <c r="R10" s="10">
        <v>2186</v>
      </c>
      <c r="S10" s="10">
        <v>2309</v>
      </c>
      <c r="T10" s="11">
        <v>2489</v>
      </c>
      <c r="U10" s="11">
        <v>2448</v>
      </c>
      <c r="V10" s="11">
        <v>2377</v>
      </c>
      <c r="W10" s="11">
        <v>2392</v>
      </c>
      <c r="X10" s="11">
        <v>2401</v>
      </c>
      <c r="Y10" s="11">
        <v>2408</v>
      </c>
      <c r="Z10" s="11">
        <v>2408</v>
      </c>
      <c r="AA10" s="11">
        <v>2527</v>
      </c>
      <c r="AB10" s="11">
        <v>2701</v>
      </c>
      <c r="AC10" s="11">
        <v>2697</v>
      </c>
      <c r="AD10" s="11">
        <v>2688</v>
      </c>
      <c r="AE10" s="11">
        <v>2562</v>
      </c>
      <c r="AF10" s="11">
        <v>2500</v>
      </c>
      <c r="AG10" s="11">
        <v>2685</v>
      </c>
      <c r="AH10" s="11">
        <v>2641</v>
      </c>
      <c r="AI10" s="11">
        <v>2642</v>
      </c>
      <c r="AJ10" s="11">
        <v>2611</v>
      </c>
      <c r="AK10" s="11">
        <v>2811</v>
      </c>
      <c r="AL10" s="11">
        <v>2819</v>
      </c>
      <c r="AM10" s="11">
        <v>2829</v>
      </c>
      <c r="AN10" s="11">
        <v>2845</v>
      </c>
      <c r="AO10" s="11">
        <v>2862</v>
      </c>
      <c r="AP10" s="11">
        <v>2869</v>
      </c>
      <c r="AQ10" s="11">
        <v>2889</v>
      </c>
      <c r="AR10" s="11">
        <v>2892</v>
      </c>
      <c r="AS10" s="11">
        <v>3413</v>
      </c>
      <c r="AT10" s="11">
        <v>3420</v>
      </c>
      <c r="AU10" s="11">
        <v>3447</v>
      </c>
      <c r="AV10" s="11">
        <v>3430</v>
      </c>
      <c r="AW10" s="11">
        <v>3461</v>
      </c>
      <c r="AX10" s="11">
        <v>3476</v>
      </c>
      <c r="AY10" s="11">
        <v>3487</v>
      </c>
      <c r="AZ10" s="11">
        <v>3562</v>
      </c>
      <c r="BA10" s="11">
        <v>3770</v>
      </c>
      <c r="BB10" s="11">
        <v>4260</v>
      </c>
      <c r="BC10" s="11">
        <v>5452</v>
      </c>
      <c r="BD10" s="11">
        <v>10818</v>
      </c>
      <c r="BE10" s="11">
        <v>11014</v>
      </c>
      <c r="BF10" s="11">
        <v>11821</v>
      </c>
      <c r="BG10" s="11">
        <v>18488</v>
      </c>
      <c r="BH10" s="11">
        <v>34829</v>
      </c>
      <c r="BI10" s="11">
        <v>46784</v>
      </c>
      <c r="BJ10" s="11">
        <v>48034</v>
      </c>
      <c r="BK10" s="11">
        <v>53456</v>
      </c>
      <c r="BL10" s="11">
        <v>71526</v>
      </c>
      <c r="BM10" s="11">
        <v>80320</v>
      </c>
      <c r="BN10" s="11">
        <v>82648</v>
      </c>
      <c r="BO10" s="11">
        <v>93498</v>
      </c>
      <c r="BP10" s="11">
        <v>134319</v>
      </c>
      <c r="BQ10" s="11">
        <v>127687</v>
      </c>
      <c r="BR10" s="11">
        <v>129520</v>
      </c>
      <c r="BS10" s="11">
        <v>148126</v>
      </c>
      <c r="BT10" s="11">
        <v>169273</v>
      </c>
      <c r="BU10" s="11">
        <v>171549</v>
      </c>
      <c r="BV10" s="11">
        <v>178498</v>
      </c>
      <c r="BW10" s="11">
        <v>192905</v>
      </c>
      <c r="BX10" s="10">
        <v>265627</v>
      </c>
      <c r="BY10" s="10">
        <v>97041</v>
      </c>
      <c r="BZ10" s="10">
        <v>118187</v>
      </c>
      <c r="CA10" s="10">
        <v>120177</v>
      </c>
      <c r="CB10" s="10">
        <v>190573</v>
      </c>
      <c r="CC10" s="10">
        <v>195510</v>
      </c>
      <c r="CD10" s="10">
        <v>215254</v>
      </c>
      <c r="CE10" s="10">
        <v>204161</v>
      </c>
      <c r="CF10" s="10">
        <v>293715</v>
      </c>
      <c r="CG10" s="10">
        <v>309006</v>
      </c>
      <c r="CH10" s="10">
        <v>306371</v>
      </c>
      <c r="CI10" s="10">
        <v>310920</v>
      </c>
      <c r="CJ10" s="10">
        <v>422660</v>
      </c>
      <c r="CK10" s="10">
        <v>419284</v>
      </c>
      <c r="CL10" s="10">
        <v>483414</v>
      </c>
      <c r="CM10" s="10">
        <v>474710</v>
      </c>
      <c r="CN10" s="10">
        <v>562264</v>
      </c>
      <c r="CO10" s="10">
        <v>577783</v>
      </c>
      <c r="CP10" s="10">
        <v>621447</v>
      </c>
      <c r="CQ10" s="10">
        <v>625699</v>
      </c>
      <c r="CR10" s="10">
        <v>787699</v>
      </c>
      <c r="CS10" s="10">
        <v>803973</v>
      </c>
      <c r="CT10" s="10">
        <v>858837</v>
      </c>
      <c r="CU10" s="10">
        <v>926820</v>
      </c>
      <c r="CV10" s="10">
        <v>1057045</v>
      </c>
      <c r="CW10" s="10">
        <v>1031926</v>
      </c>
      <c r="CX10" s="10">
        <v>1100434</v>
      </c>
      <c r="CY10" s="10">
        <v>1203507</v>
      </c>
      <c r="CZ10" s="10">
        <v>1202392</v>
      </c>
      <c r="DA10" s="10">
        <v>1297666</v>
      </c>
      <c r="DB10" s="10">
        <v>1278813</v>
      </c>
      <c r="DC10" s="10">
        <v>1293504</v>
      </c>
      <c r="DD10" s="10">
        <v>1186583</v>
      </c>
      <c r="DE10" s="10">
        <v>1268944</v>
      </c>
      <c r="DF10" s="10">
        <v>1113857</v>
      </c>
      <c r="DG10" s="10">
        <v>1119357</v>
      </c>
      <c r="DH10" s="10">
        <v>1100920</v>
      </c>
      <c r="DI10" s="10">
        <v>1153697</v>
      </c>
      <c r="DJ10" s="10">
        <v>1107797</v>
      </c>
      <c r="DK10" s="10">
        <v>1130751</v>
      </c>
      <c r="DL10" s="10">
        <v>1099426</v>
      </c>
      <c r="DM10" s="10">
        <v>1193393</v>
      </c>
      <c r="DN10" s="10">
        <v>1199373</v>
      </c>
      <c r="DO10" s="10">
        <v>1132668</v>
      </c>
      <c r="DP10" s="10">
        <v>993072</v>
      </c>
      <c r="DQ10" s="10">
        <v>442277</v>
      </c>
      <c r="DR10" s="10">
        <v>519317</v>
      </c>
      <c r="DS10" s="10">
        <v>301339</v>
      </c>
      <c r="DT10" s="10">
        <v>304198</v>
      </c>
      <c r="DU10" s="10">
        <v>291921</v>
      </c>
      <c r="DV10" s="10">
        <v>355853</v>
      </c>
      <c r="DW10" s="10">
        <v>398770</v>
      </c>
      <c r="DX10" s="10">
        <v>336242</v>
      </c>
      <c r="DY10" s="10">
        <v>344508</v>
      </c>
      <c r="DZ10" s="10">
        <v>345132</v>
      </c>
      <c r="EA10" s="10">
        <v>345574</v>
      </c>
      <c r="EB10" s="10">
        <v>313031</v>
      </c>
      <c r="EC10" s="10">
        <v>322735</v>
      </c>
      <c r="ED10" s="10">
        <v>322868</v>
      </c>
      <c r="EE10" s="10">
        <v>323632</v>
      </c>
      <c r="EF10" s="10">
        <v>289891</v>
      </c>
      <c r="EG10" s="10">
        <v>300362</v>
      </c>
      <c r="EH10" s="10">
        <v>300433</v>
      </c>
      <c r="EI10" s="10">
        <v>300009</v>
      </c>
      <c r="EJ10" s="9">
        <v>267623</v>
      </c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ht="15" customHeight="1">
      <c r="A11" s="13" t="s">
        <v>184</v>
      </c>
      <c r="B11" s="12">
        <v>1355</v>
      </c>
      <c r="C11" s="10">
        <v>1368</v>
      </c>
      <c r="D11" s="10">
        <v>1351</v>
      </c>
      <c r="E11" s="10">
        <v>1342</v>
      </c>
      <c r="F11" s="10">
        <v>1347</v>
      </c>
      <c r="G11" s="10">
        <v>1353</v>
      </c>
      <c r="H11" s="10">
        <v>1354</v>
      </c>
      <c r="I11" s="10">
        <v>1333</v>
      </c>
      <c r="J11" s="10">
        <v>1343</v>
      </c>
      <c r="K11" s="10">
        <v>1354</v>
      </c>
      <c r="L11" s="10">
        <v>1363</v>
      </c>
      <c r="M11" s="10">
        <v>1384</v>
      </c>
      <c r="N11" s="10">
        <v>1396</v>
      </c>
      <c r="O11" s="10">
        <v>1415</v>
      </c>
      <c r="P11" s="10">
        <v>1418</v>
      </c>
      <c r="Q11" s="10">
        <v>449</v>
      </c>
      <c r="R11" s="10">
        <v>485</v>
      </c>
      <c r="S11" s="10">
        <v>548</v>
      </c>
      <c r="T11" s="11">
        <v>619</v>
      </c>
      <c r="U11" s="11">
        <v>590</v>
      </c>
      <c r="V11" s="11">
        <v>545</v>
      </c>
      <c r="W11" s="11">
        <v>539</v>
      </c>
      <c r="X11" s="11">
        <v>527</v>
      </c>
      <c r="Y11" s="11">
        <v>549</v>
      </c>
      <c r="Z11" s="11">
        <v>566</v>
      </c>
      <c r="AA11" s="11">
        <v>582</v>
      </c>
      <c r="AB11" s="11">
        <v>596</v>
      </c>
      <c r="AC11" s="11">
        <v>605</v>
      </c>
      <c r="AD11" s="11">
        <v>618</v>
      </c>
      <c r="AE11" s="11">
        <v>633</v>
      </c>
      <c r="AF11" s="11">
        <v>650</v>
      </c>
      <c r="AG11" s="11">
        <v>640</v>
      </c>
      <c r="AH11" s="11">
        <v>617</v>
      </c>
      <c r="AI11" s="11">
        <v>625</v>
      </c>
      <c r="AJ11" s="11">
        <v>622</v>
      </c>
      <c r="AK11" s="11">
        <v>631</v>
      </c>
      <c r="AL11" s="11">
        <v>654</v>
      </c>
      <c r="AM11" s="11">
        <v>679</v>
      </c>
      <c r="AN11" s="11">
        <v>723</v>
      </c>
      <c r="AO11" s="11">
        <v>740</v>
      </c>
      <c r="AP11" s="11">
        <v>761</v>
      </c>
      <c r="AQ11" s="11">
        <v>793</v>
      </c>
      <c r="AR11" s="11">
        <v>831</v>
      </c>
      <c r="AS11" s="11">
        <v>857</v>
      </c>
      <c r="AT11" s="11">
        <v>877</v>
      </c>
      <c r="AU11" s="11">
        <v>916</v>
      </c>
      <c r="AV11" s="11">
        <v>951</v>
      </c>
      <c r="AW11" s="11">
        <v>987</v>
      </c>
      <c r="AX11" s="11">
        <v>1015</v>
      </c>
      <c r="AY11" s="11">
        <v>1036</v>
      </c>
      <c r="AZ11" s="11">
        <v>1065</v>
      </c>
      <c r="BA11" s="11">
        <v>1109</v>
      </c>
      <c r="BB11" s="11">
        <v>1163</v>
      </c>
      <c r="BC11" s="11">
        <v>1206</v>
      </c>
      <c r="BD11" s="11">
        <v>1222</v>
      </c>
      <c r="BE11" s="11">
        <v>1240</v>
      </c>
      <c r="BF11" s="11">
        <v>1571</v>
      </c>
      <c r="BG11" s="11">
        <v>3002</v>
      </c>
      <c r="BH11" s="11">
        <v>1289</v>
      </c>
      <c r="BI11" s="11">
        <v>1309</v>
      </c>
      <c r="BJ11" s="11">
        <v>1643</v>
      </c>
      <c r="BK11" s="11">
        <v>3026</v>
      </c>
      <c r="BL11" s="11">
        <v>1959</v>
      </c>
      <c r="BM11" s="11">
        <v>1940</v>
      </c>
      <c r="BN11" s="11">
        <v>4382</v>
      </c>
      <c r="BO11" s="11">
        <v>7153</v>
      </c>
      <c r="BP11" s="11">
        <v>1961</v>
      </c>
      <c r="BQ11" s="11">
        <v>2039</v>
      </c>
      <c r="BR11" s="11">
        <v>5074</v>
      </c>
      <c r="BS11" s="11">
        <v>25500</v>
      </c>
      <c r="BT11" s="11">
        <v>2317</v>
      </c>
      <c r="BU11" s="11">
        <v>12118</v>
      </c>
      <c r="BV11" s="11">
        <v>25135</v>
      </c>
      <c r="BW11" s="11">
        <v>40799</v>
      </c>
      <c r="BX11" s="10">
        <v>2582</v>
      </c>
      <c r="BY11" s="10">
        <v>2804</v>
      </c>
      <c r="BZ11" s="10">
        <v>24010</v>
      </c>
      <c r="CA11" s="10">
        <v>25908</v>
      </c>
      <c r="CB11" s="10">
        <v>3253</v>
      </c>
      <c r="CC11" s="10">
        <v>8190</v>
      </c>
      <c r="CD11" s="10">
        <v>3884</v>
      </c>
      <c r="CE11" s="10">
        <v>5691</v>
      </c>
      <c r="CF11" s="10">
        <v>3636</v>
      </c>
      <c r="CG11" s="10">
        <v>25621</v>
      </c>
      <c r="CH11" s="10">
        <v>4379</v>
      </c>
      <c r="CI11" s="10">
        <v>18918</v>
      </c>
      <c r="CJ11" s="10">
        <v>22038</v>
      </c>
      <c r="CK11" s="10">
        <v>8080</v>
      </c>
      <c r="CL11" s="10">
        <v>11281</v>
      </c>
      <c r="CM11" s="10">
        <v>33767</v>
      </c>
      <c r="CN11" s="10">
        <v>22421</v>
      </c>
      <c r="CO11" s="10">
        <v>37935</v>
      </c>
      <c r="CP11" s="10">
        <v>82539</v>
      </c>
      <c r="CQ11" s="10">
        <v>71626</v>
      </c>
      <c r="CR11" s="10">
        <v>5509</v>
      </c>
      <c r="CS11" s="10">
        <v>7950</v>
      </c>
      <c r="CT11" s="10">
        <v>67255</v>
      </c>
      <c r="CU11" s="10">
        <v>99163</v>
      </c>
      <c r="CV11" s="10">
        <v>6611</v>
      </c>
      <c r="CW11" s="10">
        <v>56658</v>
      </c>
      <c r="CX11" s="10">
        <v>50107</v>
      </c>
      <c r="CY11" s="10">
        <v>73229</v>
      </c>
      <c r="CZ11" s="10">
        <v>8117</v>
      </c>
      <c r="DA11" s="10">
        <v>103394</v>
      </c>
      <c r="DB11" s="10">
        <v>76361</v>
      </c>
      <c r="DC11" s="10">
        <v>111462</v>
      </c>
      <c r="DD11" s="10">
        <v>11235</v>
      </c>
      <c r="DE11" s="10">
        <v>121353</v>
      </c>
      <c r="DF11" s="10">
        <v>109097</v>
      </c>
      <c r="DG11" s="10">
        <v>114016</v>
      </c>
      <c r="DH11" s="10">
        <v>12980</v>
      </c>
      <c r="DI11" s="10">
        <v>142852</v>
      </c>
      <c r="DJ11" s="10">
        <v>107614</v>
      </c>
      <c r="DK11" s="10">
        <v>152952</v>
      </c>
      <c r="DL11" s="10">
        <v>12436</v>
      </c>
      <c r="DM11" s="10">
        <v>237112</v>
      </c>
      <c r="DN11" s="10">
        <v>255530</v>
      </c>
      <c r="DO11" s="10">
        <v>237204</v>
      </c>
      <c r="DP11" s="10">
        <v>69715</v>
      </c>
      <c r="DQ11" s="10">
        <v>246266</v>
      </c>
      <c r="DR11" s="10">
        <v>248291</v>
      </c>
      <c r="DS11" s="10">
        <v>250190</v>
      </c>
      <c r="DT11" s="10">
        <v>255730</v>
      </c>
      <c r="DU11" s="10">
        <v>243457</v>
      </c>
      <c r="DV11" s="10">
        <v>307410</v>
      </c>
      <c r="DW11" s="10">
        <v>350546</v>
      </c>
      <c r="DX11" s="10">
        <v>39566</v>
      </c>
      <c r="DY11" s="10">
        <v>47838</v>
      </c>
      <c r="DZ11" s="10">
        <v>48463</v>
      </c>
      <c r="EA11" s="10">
        <v>49336</v>
      </c>
      <c r="EB11" s="10">
        <v>42498</v>
      </c>
      <c r="EC11" s="10">
        <v>52202</v>
      </c>
      <c r="ED11" s="10">
        <v>52337</v>
      </c>
      <c r="EE11" s="10">
        <v>53507</v>
      </c>
      <c r="EF11" s="10">
        <v>44604</v>
      </c>
      <c r="EG11" s="10">
        <v>55075</v>
      </c>
      <c r="EH11" s="10">
        <v>55150</v>
      </c>
      <c r="EI11" s="10">
        <v>55017</v>
      </c>
      <c r="EJ11" s="9">
        <v>47469</v>
      </c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ht="15" customHeight="1">
      <c r="A12" s="13" t="s">
        <v>183</v>
      </c>
      <c r="B12" s="12">
        <v>420</v>
      </c>
      <c r="C12" s="10">
        <v>415</v>
      </c>
      <c r="D12" s="10">
        <v>381</v>
      </c>
      <c r="E12" s="10">
        <v>432</v>
      </c>
      <c r="F12" s="10">
        <v>443</v>
      </c>
      <c r="G12" s="10">
        <v>630</v>
      </c>
      <c r="H12" s="10">
        <v>619</v>
      </c>
      <c r="I12" s="10">
        <v>597</v>
      </c>
      <c r="J12" s="10">
        <v>571</v>
      </c>
      <c r="K12" s="10">
        <v>569</v>
      </c>
      <c r="L12" s="10">
        <v>545</v>
      </c>
      <c r="M12" s="10">
        <v>929</v>
      </c>
      <c r="N12" s="10">
        <v>910</v>
      </c>
      <c r="O12" s="10">
        <v>989</v>
      </c>
      <c r="P12" s="10">
        <v>1196</v>
      </c>
      <c r="Q12" s="10">
        <v>1303</v>
      </c>
      <c r="R12" s="10">
        <v>1701</v>
      </c>
      <c r="S12" s="10">
        <v>1761</v>
      </c>
      <c r="T12" s="11">
        <v>1870</v>
      </c>
      <c r="U12" s="11">
        <v>1858</v>
      </c>
      <c r="V12" s="11">
        <v>1832</v>
      </c>
      <c r="W12" s="11">
        <v>1853</v>
      </c>
      <c r="X12" s="11">
        <v>1874</v>
      </c>
      <c r="Y12" s="11">
        <v>1859</v>
      </c>
      <c r="Z12" s="11">
        <v>1842</v>
      </c>
      <c r="AA12" s="11">
        <v>1945</v>
      </c>
      <c r="AB12" s="11">
        <v>2105</v>
      </c>
      <c r="AC12" s="11">
        <v>2092</v>
      </c>
      <c r="AD12" s="11">
        <v>2070</v>
      </c>
      <c r="AE12" s="11">
        <v>1929</v>
      </c>
      <c r="AF12" s="11">
        <v>1850</v>
      </c>
      <c r="AG12" s="11">
        <v>2045</v>
      </c>
      <c r="AH12" s="11">
        <v>2024</v>
      </c>
      <c r="AI12" s="11">
        <v>2017</v>
      </c>
      <c r="AJ12" s="11">
        <v>1989</v>
      </c>
      <c r="AK12" s="11">
        <v>2180</v>
      </c>
      <c r="AL12" s="11">
        <v>2165</v>
      </c>
      <c r="AM12" s="11">
        <v>2150</v>
      </c>
      <c r="AN12" s="11">
        <v>2122</v>
      </c>
      <c r="AO12" s="11">
        <v>2122</v>
      </c>
      <c r="AP12" s="11">
        <v>2108</v>
      </c>
      <c r="AQ12" s="11">
        <v>2096</v>
      </c>
      <c r="AR12" s="11">
        <v>2061</v>
      </c>
      <c r="AS12" s="11">
        <v>2556</v>
      </c>
      <c r="AT12" s="11">
        <v>2543</v>
      </c>
      <c r="AU12" s="11">
        <v>2531</v>
      </c>
      <c r="AV12" s="11">
        <v>2479</v>
      </c>
      <c r="AW12" s="11">
        <v>2474</v>
      </c>
      <c r="AX12" s="11">
        <v>2461</v>
      </c>
      <c r="AY12" s="11">
        <v>2451</v>
      </c>
      <c r="AZ12" s="11">
        <v>2497</v>
      </c>
      <c r="BA12" s="11">
        <v>2661</v>
      </c>
      <c r="BB12" s="11">
        <v>3097</v>
      </c>
      <c r="BC12" s="11">
        <v>4246</v>
      </c>
      <c r="BD12" s="11">
        <v>9596</v>
      </c>
      <c r="BE12" s="11">
        <v>9774</v>
      </c>
      <c r="BF12" s="11">
        <v>10250</v>
      </c>
      <c r="BG12" s="11">
        <v>15486</v>
      </c>
      <c r="BH12" s="11">
        <v>33540</v>
      </c>
      <c r="BI12" s="11">
        <v>45475</v>
      </c>
      <c r="BJ12" s="11">
        <v>46391</v>
      </c>
      <c r="BK12" s="11">
        <v>50430</v>
      </c>
      <c r="BL12" s="11">
        <v>69567</v>
      </c>
      <c r="BM12" s="11">
        <v>78380</v>
      </c>
      <c r="BN12" s="11">
        <v>78266</v>
      </c>
      <c r="BO12" s="11">
        <v>86345</v>
      </c>
      <c r="BP12" s="11">
        <v>132358</v>
      </c>
      <c r="BQ12" s="11">
        <v>125648</v>
      </c>
      <c r="BR12" s="11">
        <v>124446</v>
      </c>
      <c r="BS12" s="11">
        <v>122626</v>
      </c>
      <c r="BT12" s="11">
        <v>166956</v>
      </c>
      <c r="BU12" s="11">
        <v>159431</v>
      </c>
      <c r="BV12" s="11">
        <v>153363</v>
      </c>
      <c r="BW12" s="11">
        <v>152106</v>
      </c>
      <c r="BX12" s="10">
        <v>263045</v>
      </c>
      <c r="BY12" s="10">
        <v>94237</v>
      </c>
      <c r="BZ12" s="10">
        <v>94177</v>
      </c>
      <c r="CA12" s="10">
        <v>94269</v>
      </c>
      <c r="CB12" s="10">
        <v>187320</v>
      </c>
      <c r="CC12" s="10">
        <v>187320</v>
      </c>
      <c r="CD12" s="10">
        <v>211370</v>
      </c>
      <c r="CE12" s="10">
        <v>198470</v>
      </c>
      <c r="CF12" s="10">
        <v>290079</v>
      </c>
      <c r="CG12" s="10">
        <v>283385</v>
      </c>
      <c r="CH12" s="10">
        <v>301992</v>
      </c>
      <c r="CI12" s="10">
        <v>292002</v>
      </c>
      <c r="CJ12" s="10">
        <v>400622</v>
      </c>
      <c r="CK12" s="10">
        <v>411204</v>
      </c>
      <c r="CL12" s="10">
        <v>472133</v>
      </c>
      <c r="CM12" s="10">
        <v>440943</v>
      </c>
      <c r="CN12" s="10">
        <v>539843</v>
      </c>
      <c r="CO12" s="10">
        <v>539848</v>
      </c>
      <c r="CP12" s="10">
        <v>538908</v>
      </c>
      <c r="CQ12" s="10">
        <v>554073</v>
      </c>
      <c r="CR12" s="10">
        <v>782190</v>
      </c>
      <c r="CS12" s="10">
        <v>796023</v>
      </c>
      <c r="CT12" s="10">
        <v>791582</v>
      </c>
      <c r="CU12" s="10">
        <v>827657</v>
      </c>
      <c r="CV12" s="10">
        <v>1050434</v>
      </c>
      <c r="CW12" s="10">
        <v>975268</v>
      </c>
      <c r="CX12" s="10">
        <v>1050327</v>
      </c>
      <c r="CY12" s="10">
        <v>1130278</v>
      </c>
      <c r="CZ12" s="10">
        <v>1194275</v>
      </c>
      <c r="DA12" s="10">
        <v>1194272</v>
      </c>
      <c r="DB12" s="10">
        <v>1202452</v>
      </c>
      <c r="DC12" s="10">
        <v>1182042</v>
      </c>
      <c r="DD12" s="10">
        <v>1175348</v>
      </c>
      <c r="DE12" s="10">
        <v>1147591</v>
      </c>
      <c r="DF12" s="10">
        <v>1004760</v>
      </c>
      <c r="DG12" s="10">
        <v>1005341</v>
      </c>
      <c r="DH12" s="10">
        <v>1087940</v>
      </c>
      <c r="DI12" s="10">
        <v>1010845</v>
      </c>
      <c r="DJ12" s="10">
        <v>1000183</v>
      </c>
      <c r="DK12" s="10">
        <v>977799</v>
      </c>
      <c r="DL12" s="10">
        <v>1086990</v>
      </c>
      <c r="DM12" s="10">
        <v>956281</v>
      </c>
      <c r="DN12" s="10">
        <v>943843</v>
      </c>
      <c r="DO12" s="10">
        <v>895464</v>
      </c>
      <c r="DP12" s="10">
        <v>923357</v>
      </c>
      <c r="DQ12" s="10">
        <v>196011</v>
      </c>
      <c r="DR12" s="10">
        <v>271026</v>
      </c>
      <c r="DS12" s="10">
        <v>51149</v>
      </c>
      <c r="DT12" s="10">
        <v>48468</v>
      </c>
      <c r="DU12" s="10">
        <v>48464</v>
      </c>
      <c r="DV12" s="10">
        <v>48443</v>
      </c>
      <c r="DW12" s="10">
        <v>48224</v>
      </c>
      <c r="DX12" s="10">
        <v>296676</v>
      </c>
      <c r="DY12" s="10">
        <v>296670</v>
      </c>
      <c r="DZ12" s="10">
        <v>296669</v>
      </c>
      <c r="EA12" s="10">
        <v>296238</v>
      </c>
      <c r="EB12" s="10">
        <v>270533</v>
      </c>
      <c r="EC12" s="10">
        <v>270533</v>
      </c>
      <c r="ED12" s="10">
        <v>270531</v>
      </c>
      <c r="EE12" s="10">
        <v>270125</v>
      </c>
      <c r="EF12" s="10">
        <v>245287</v>
      </c>
      <c r="EG12" s="10">
        <v>245287</v>
      </c>
      <c r="EH12" s="10">
        <v>245283</v>
      </c>
      <c r="EI12" s="10">
        <v>244992</v>
      </c>
      <c r="EJ12" s="9">
        <v>220154</v>
      </c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ht="15" customHeight="1">
      <c r="A13" s="13" t="s">
        <v>182</v>
      </c>
      <c r="B13" s="12">
        <v>18</v>
      </c>
      <c r="C13" s="10">
        <v>34</v>
      </c>
      <c r="D13" s="10">
        <v>81</v>
      </c>
      <c r="E13" s="10">
        <v>183</v>
      </c>
      <c r="F13" s="10">
        <v>288</v>
      </c>
      <c r="G13" s="10">
        <v>460</v>
      </c>
      <c r="H13" s="10">
        <v>214</v>
      </c>
      <c r="I13" s="10">
        <v>441</v>
      </c>
      <c r="J13" s="10">
        <v>459</v>
      </c>
      <c r="K13" s="10">
        <v>805</v>
      </c>
      <c r="L13" s="10">
        <v>1604</v>
      </c>
      <c r="M13" s="10">
        <v>1775</v>
      </c>
      <c r="N13" s="10">
        <v>1821</v>
      </c>
      <c r="O13" s="10">
        <v>2588</v>
      </c>
      <c r="P13" s="10">
        <v>4468</v>
      </c>
      <c r="Q13" s="10">
        <v>3728</v>
      </c>
      <c r="R13" s="10">
        <v>4022</v>
      </c>
      <c r="S13" s="10">
        <v>3555</v>
      </c>
      <c r="T13" s="11">
        <v>5917</v>
      </c>
      <c r="U13" s="11">
        <v>5192</v>
      </c>
      <c r="V13" s="11">
        <v>5179</v>
      </c>
      <c r="W13" s="11">
        <v>5440</v>
      </c>
      <c r="X13" s="11">
        <v>5581</v>
      </c>
      <c r="Y13" s="11">
        <v>5026</v>
      </c>
      <c r="Z13" s="11">
        <v>4657</v>
      </c>
      <c r="AA13" s="11">
        <v>4715</v>
      </c>
      <c r="AB13" s="11">
        <v>5227</v>
      </c>
      <c r="AC13" s="11">
        <v>3889</v>
      </c>
      <c r="AD13" s="11">
        <v>4146</v>
      </c>
      <c r="AE13" s="11">
        <v>4403</v>
      </c>
      <c r="AF13" s="11">
        <v>5441</v>
      </c>
      <c r="AG13" s="11">
        <v>4876</v>
      </c>
      <c r="AH13" s="11">
        <v>5500</v>
      </c>
      <c r="AI13" s="11">
        <v>6471</v>
      </c>
      <c r="AJ13" s="11">
        <v>7658</v>
      </c>
      <c r="AK13" s="11">
        <v>6836</v>
      </c>
      <c r="AL13" s="11">
        <v>7551</v>
      </c>
      <c r="AM13" s="11">
        <v>8847</v>
      </c>
      <c r="AN13" s="11">
        <v>10162</v>
      </c>
      <c r="AO13" s="11">
        <v>8347</v>
      </c>
      <c r="AP13" s="11">
        <v>8348</v>
      </c>
      <c r="AQ13" s="11">
        <v>7976</v>
      </c>
      <c r="AR13" s="11">
        <v>9784</v>
      </c>
      <c r="AS13" s="11">
        <v>7034</v>
      </c>
      <c r="AT13" s="11">
        <v>7880</v>
      </c>
      <c r="AU13" s="11">
        <v>8347</v>
      </c>
      <c r="AV13" s="11">
        <v>9991</v>
      </c>
      <c r="AW13" s="11">
        <v>7650</v>
      </c>
      <c r="AX13" s="11">
        <v>9243</v>
      </c>
      <c r="AY13" s="11">
        <v>11994</v>
      </c>
      <c r="AZ13" s="11">
        <v>11920</v>
      </c>
      <c r="BA13" s="11">
        <v>13221</v>
      </c>
      <c r="BB13" s="11">
        <v>18061</v>
      </c>
      <c r="BC13" s="11">
        <v>29331</v>
      </c>
      <c r="BD13" s="11">
        <v>46036</v>
      </c>
      <c r="BE13" s="11">
        <v>50221</v>
      </c>
      <c r="BF13" s="11">
        <v>60272</v>
      </c>
      <c r="BG13" s="11">
        <v>75497</v>
      </c>
      <c r="BH13" s="11">
        <v>89004</v>
      </c>
      <c r="BI13" s="11">
        <v>84745</v>
      </c>
      <c r="BJ13" s="11">
        <v>95253</v>
      </c>
      <c r="BK13" s="11">
        <v>94185</v>
      </c>
      <c r="BL13" s="11">
        <v>106892</v>
      </c>
      <c r="BM13" s="11">
        <v>94924</v>
      </c>
      <c r="BN13" s="11">
        <v>92957</v>
      </c>
      <c r="BO13" s="11">
        <v>98305</v>
      </c>
      <c r="BP13" s="11">
        <v>99129</v>
      </c>
      <c r="BQ13" s="11">
        <v>89735</v>
      </c>
      <c r="BR13" s="11">
        <v>91215</v>
      </c>
      <c r="BS13" s="11">
        <v>73142</v>
      </c>
      <c r="BT13" s="11">
        <v>77517</v>
      </c>
      <c r="BU13" s="11">
        <v>62054</v>
      </c>
      <c r="BV13" s="11">
        <v>53270</v>
      </c>
      <c r="BW13" s="11">
        <v>40560</v>
      </c>
      <c r="BX13" s="10">
        <v>42632</v>
      </c>
      <c r="BY13" s="10">
        <v>38580</v>
      </c>
      <c r="BZ13" s="10">
        <v>37145</v>
      </c>
      <c r="CA13" s="10">
        <v>36588</v>
      </c>
      <c r="CB13" s="10">
        <v>33259</v>
      </c>
      <c r="CC13" s="10">
        <v>31087</v>
      </c>
      <c r="CD13" s="10">
        <v>32122</v>
      </c>
      <c r="CE13" s="10">
        <v>44286</v>
      </c>
      <c r="CF13" s="10">
        <v>48819</v>
      </c>
      <c r="CG13" s="10">
        <v>45385</v>
      </c>
      <c r="CH13" s="10">
        <v>44444</v>
      </c>
      <c r="CI13" s="10">
        <v>44921</v>
      </c>
      <c r="CJ13" s="10">
        <v>45446</v>
      </c>
      <c r="CK13" s="10">
        <v>46587</v>
      </c>
      <c r="CL13" s="10">
        <v>43787</v>
      </c>
      <c r="CM13" s="10">
        <v>51376</v>
      </c>
      <c r="CN13" s="10">
        <v>78541</v>
      </c>
      <c r="CO13" s="10">
        <v>70274</v>
      </c>
      <c r="CP13" s="10">
        <v>65561</v>
      </c>
      <c r="CQ13" s="10">
        <v>64644</v>
      </c>
      <c r="CR13" s="10">
        <v>73006</v>
      </c>
      <c r="CS13" s="10">
        <v>73602</v>
      </c>
      <c r="CT13" s="10">
        <v>84090</v>
      </c>
      <c r="CU13" s="10">
        <v>79100</v>
      </c>
      <c r="CV13" s="10">
        <v>94814</v>
      </c>
      <c r="CW13" s="10">
        <v>90592</v>
      </c>
      <c r="CX13" s="10">
        <v>74287</v>
      </c>
      <c r="CY13" s="10">
        <v>82838</v>
      </c>
      <c r="CZ13" s="10">
        <v>106676</v>
      </c>
      <c r="DA13" s="10">
        <v>103168</v>
      </c>
      <c r="DB13" s="10">
        <v>84496</v>
      </c>
      <c r="DC13" s="10">
        <v>79006</v>
      </c>
      <c r="DD13" s="10">
        <v>67124</v>
      </c>
      <c r="DE13" s="10">
        <v>44794</v>
      </c>
      <c r="DF13" s="10">
        <v>40607</v>
      </c>
      <c r="DG13" s="10">
        <v>40200</v>
      </c>
      <c r="DH13" s="10">
        <v>31288</v>
      </c>
      <c r="DI13" s="10">
        <v>31245</v>
      </c>
      <c r="DJ13" s="10">
        <v>24806</v>
      </c>
      <c r="DK13" s="10">
        <v>23187</v>
      </c>
      <c r="DL13" s="10">
        <v>121265</v>
      </c>
      <c r="DM13" s="10">
        <v>26831</v>
      </c>
      <c r="DN13" s="10">
        <v>24519</v>
      </c>
      <c r="DO13" s="10">
        <v>23962</v>
      </c>
      <c r="DP13" s="10">
        <v>16732</v>
      </c>
      <c r="DQ13" s="10">
        <v>21614</v>
      </c>
      <c r="DR13" s="10">
        <v>20660</v>
      </c>
      <c r="DS13" s="10">
        <v>51790</v>
      </c>
      <c r="DT13" s="10">
        <v>160108</v>
      </c>
      <c r="DU13" s="10">
        <v>55031</v>
      </c>
      <c r="DV13" s="10">
        <v>40846</v>
      </c>
      <c r="DW13" s="10">
        <v>107478</v>
      </c>
      <c r="DX13" s="10">
        <v>18488</v>
      </c>
      <c r="DY13" s="10">
        <v>136956</v>
      </c>
      <c r="DZ13" s="10">
        <v>112874</v>
      </c>
      <c r="EA13" s="10">
        <v>72216</v>
      </c>
      <c r="EB13" s="10">
        <v>274799</v>
      </c>
      <c r="EC13" s="10">
        <v>253072</v>
      </c>
      <c r="ED13" s="10">
        <v>435250</v>
      </c>
      <c r="EE13" s="10">
        <v>224918</v>
      </c>
      <c r="EF13" s="10">
        <v>576065</v>
      </c>
      <c r="EG13" s="10">
        <v>491195</v>
      </c>
      <c r="EH13" s="10">
        <v>424311</v>
      </c>
      <c r="EI13" s="10">
        <v>198523</v>
      </c>
      <c r="EJ13" s="9">
        <v>639941</v>
      </c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ht="15" customHeight="1">
      <c r="A14" s="13" t="s">
        <v>181</v>
      </c>
      <c r="B14" s="12">
        <v>380</v>
      </c>
      <c r="C14" s="10">
        <v>414</v>
      </c>
      <c r="D14" s="10">
        <v>408</v>
      </c>
      <c r="E14" s="10">
        <v>407</v>
      </c>
      <c r="F14" s="10">
        <v>490</v>
      </c>
      <c r="G14" s="10">
        <v>528</v>
      </c>
      <c r="H14" s="10">
        <v>564</v>
      </c>
      <c r="I14" s="10">
        <v>586</v>
      </c>
      <c r="J14" s="10">
        <v>628</v>
      </c>
      <c r="K14" s="10">
        <v>711</v>
      </c>
      <c r="L14" s="10">
        <v>620</v>
      </c>
      <c r="M14" s="10">
        <v>591</v>
      </c>
      <c r="N14" s="10">
        <v>712</v>
      </c>
      <c r="O14" s="10">
        <v>830</v>
      </c>
      <c r="P14" s="10">
        <v>1022</v>
      </c>
      <c r="Q14" s="10">
        <v>1119</v>
      </c>
      <c r="R14" s="10">
        <v>1145</v>
      </c>
      <c r="S14" s="10">
        <v>1145</v>
      </c>
      <c r="T14" s="10">
        <v>1285</v>
      </c>
      <c r="U14" s="10">
        <v>1310</v>
      </c>
      <c r="V14" s="10">
        <v>1352</v>
      </c>
      <c r="W14" s="10">
        <v>1405</v>
      </c>
      <c r="X14" s="10">
        <v>1434</v>
      </c>
      <c r="Y14" s="10">
        <v>1384</v>
      </c>
      <c r="Z14" s="10">
        <v>1298</v>
      </c>
      <c r="AA14" s="10">
        <v>1205</v>
      </c>
      <c r="AB14" s="10">
        <v>1149</v>
      </c>
      <c r="AC14" s="10">
        <v>1120</v>
      </c>
      <c r="AD14" s="10">
        <v>1095</v>
      </c>
      <c r="AE14" s="10">
        <v>1157</v>
      </c>
      <c r="AF14" s="10">
        <v>1030</v>
      </c>
      <c r="AG14" s="10">
        <v>1045</v>
      </c>
      <c r="AH14" s="10">
        <v>1062</v>
      </c>
      <c r="AI14" s="10">
        <v>1084</v>
      </c>
      <c r="AJ14" s="10">
        <v>1099</v>
      </c>
      <c r="AK14" s="10">
        <v>1020</v>
      </c>
      <c r="AL14" s="10">
        <v>1115</v>
      </c>
      <c r="AM14" s="10">
        <v>1144</v>
      </c>
      <c r="AN14" s="10">
        <v>1292</v>
      </c>
      <c r="AO14" s="10">
        <v>1343</v>
      </c>
      <c r="AP14" s="10">
        <v>1394</v>
      </c>
      <c r="AQ14" s="10">
        <v>1377</v>
      </c>
      <c r="AR14" s="10">
        <v>1345</v>
      </c>
      <c r="AS14" s="10">
        <v>1509</v>
      </c>
      <c r="AT14" s="10">
        <v>1604</v>
      </c>
      <c r="AU14" s="10">
        <v>1622</v>
      </c>
      <c r="AV14" s="10">
        <v>1714</v>
      </c>
      <c r="AW14" s="10">
        <v>1749</v>
      </c>
      <c r="AX14" s="10">
        <v>1767</v>
      </c>
      <c r="AY14" s="10">
        <v>1750</v>
      </c>
      <c r="AZ14" s="10">
        <v>1936</v>
      </c>
      <c r="BA14" s="10">
        <v>1953</v>
      </c>
      <c r="BB14" s="10">
        <v>1909</v>
      </c>
      <c r="BC14" s="10">
        <v>1964</v>
      </c>
      <c r="BD14" s="10">
        <v>1888</v>
      </c>
      <c r="BE14" s="10">
        <v>1753</v>
      </c>
      <c r="BF14" s="10">
        <v>1381</v>
      </c>
      <c r="BG14" s="10">
        <v>1141</v>
      </c>
      <c r="BH14" s="10">
        <v>898</v>
      </c>
      <c r="BI14" s="10">
        <v>685</v>
      </c>
      <c r="BJ14" s="10">
        <v>534</v>
      </c>
      <c r="BK14" s="10">
        <v>640</v>
      </c>
      <c r="BL14" s="11">
        <v>495</v>
      </c>
      <c r="BM14" s="11">
        <v>431</v>
      </c>
      <c r="BN14" s="11">
        <v>391</v>
      </c>
      <c r="BO14" s="11">
        <v>318</v>
      </c>
      <c r="BP14" s="11">
        <v>293</v>
      </c>
      <c r="BQ14" s="11">
        <v>239</v>
      </c>
      <c r="BR14" s="11">
        <v>228</v>
      </c>
      <c r="BS14" s="11">
        <v>177</v>
      </c>
      <c r="BT14" s="11">
        <v>164</v>
      </c>
      <c r="BU14" s="11">
        <v>118</v>
      </c>
      <c r="BV14" s="11">
        <v>112</v>
      </c>
      <c r="BW14" s="11">
        <v>66</v>
      </c>
      <c r="BX14" s="10">
        <v>21</v>
      </c>
      <c r="BY14" s="10">
        <v>8</v>
      </c>
      <c r="BZ14" s="10">
        <v>7</v>
      </c>
      <c r="CA14" s="10">
        <v>6</v>
      </c>
      <c r="CB14" s="10">
        <v>5</v>
      </c>
      <c r="CC14" s="10">
        <v>5</v>
      </c>
      <c r="CD14" s="10">
        <v>4</v>
      </c>
      <c r="CE14" s="10">
        <v>4</v>
      </c>
      <c r="CF14" s="10">
        <v>4</v>
      </c>
      <c r="CG14" s="10">
        <v>3</v>
      </c>
      <c r="CH14" s="10">
        <v>3</v>
      </c>
      <c r="CI14" s="10">
        <v>3</v>
      </c>
      <c r="CJ14" s="10">
        <v>3</v>
      </c>
      <c r="CK14" s="10">
        <v>3</v>
      </c>
      <c r="CL14" s="10">
        <v>3</v>
      </c>
      <c r="CM14" s="10">
        <v>3</v>
      </c>
      <c r="CN14" s="10">
        <v>3</v>
      </c>
      <c r="CO14" s="10">
        <v>4</v>
      </c>
      <c r="CP14" s="10">
        <v>3</v>
      </c>
      <c r="CQ14" s="10">
        <v>3</v>
      </c>
      <c r="CR14" s="10">
        <v>3</v>
      </c>
      <c r="CS14" s="10">
        <v>3</v>
      </c>
      <c r="CT14" s="10">
        <v>3</v>
      </c>
      <c r="CU14" s="10">
        <v>3</v>
      </c>
      <c r="CV14" s="10">
        <v>3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5731</v>
      </c>
      <c r="DI14" s="10">
        <v>5391</v>
      </c>
      <c r="DJ14" s="10">
        <v>5390</v>
      </c>
      <c r="DK14" s="10">
        <v>4524</v>
      </c>
      <c r="DL14" s="10">
        <v>4520</v>
      </c>
      <c r="DM14" s="10">
        <v>4409</v>
      </c>
      <c r="DN14" s="10">
        <v>4407</v>
      </c>
      <c r="DO14" s="10">
        <v>0</v>
      </c>
      <c r="DP14" s="10">
        <v>14527</v>
      </c>
      <c r="DQ14" s="10">
        <v>14527</v>
      </c>
      <c r="DR14" s="10">
        <v>14527</v>
      </c>
      <c r="DS14" s="10">
        <v>14527</v>
      </c>
      <c r="DT14" s="10">
        <v>14527</v>
      </c>
      <c r="DU14" s="10">
        <v>24545</v>
      </c>
      <c r="DV14" s="10">
        <v>24780</v>
      </c>
      <c r="DW14" s="10">
        <v>25688</v>
      </c>
      <c r="DX14" s="10">
        <v>26235</v>
      </c>
      <c r="DY14" s="10">
        <v>26561</v>
      </c>
      <c r="DZ14" s="10">
        <v>26984</v>
      </c>
      <c r="EA14" s="10">
        <v>27398</v>
      </c>
      <c r="EB14" s="10">
        <v>27835</v>
      </c>
      <c r="EC14" s="10">
        <v>28678</v>
      </c>
      <c r="ED14" s="10">
        <v>29152</v>
      </c>
      <c r="EE14" s="10">
        <v>29348</v>
      </c>
      <c r="EF14" s="10">
        <v>29723</v>
      </c>
      <c r="EG14" s="10">
        <v>29821</v>
      </c>
      <c r="EH14" s="10">
        <v>30077</v>
      </c>
      <c r="EI14" s="10">
        <v>29946</v>
      </c>
      <c r="EJ14" s="9">
        <v>30153</v>
      </c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ht="15" customHeight="1" thickBot="1">
      <c r="A15" s="8" t="s">
        <v>32</v>
      </c>
      <c r="B15" s="7">
        <v>17801</v>
      </c>
      <c r="C15" s="5">
        <v>14516</v>
      </c>
      <c r="D15" s="5">
        <v>14564</v>
      </c>
      <c r="E15" s="5">
        <v>15735</v>
      </c>
      <c r="F15" s="5">
        <v>18197</v>
      </c>
      <c r="G15" s="5">
        <v>19045</v>
      </c>
      <c r="H15" s="5">
        <v>20293</v>
      </c>
      <c r="I15" s="5">
        <v>21596</v>
      </c>
      <c r="J15" s="5">
        <v>22057</v>
      </c>
      <c r="K15" s="5">
        <v>23140</v>
      </c>
      <c r="L15" s="5">
        <v>23839</v>
      </c>
      <c r="M15" s="5">
        <v>24761</v>
      </c>
      <c r="N15" s="5">
        <v>25477</v>
      </c>
      <c r="O15" s="5">
        <v>26415</v>
      </c>
      <c r="P15" s="5">
        <v>26358</v>
      </c>
      <c r="Q15" s="5">
        <v>29547</v>
      </c>
      <c r="R15" s="5">
        <v>31423</v>
      </c>
      <c r="S15" s="5">
        <v>34138</v>
      </c>
      <c r="T15" s="6">
        <v>38365</v>
      </c>
      <c r="U15" s="6">
        <v>37395</v>
      </c>
      <c r="V15" s="6">
        <v>37369</v>
      </c>
      <c r="W15" s="6">
        <v>39098</v>
      </c>
      <c r="X15" s="6">
        <v>41271</v>
      </c>
      <c r="Y15" s="6">
        <v>40087</v>
      </c>
      <c r="Z15" s="6">
        <v>40416</v>
      </c>
      <c r="AA15" s="6">
        <v>42185</v>
      </c>
      <c r="AB15" s="6">
        <v>44901</v>
      </c>
      <c r="AC15" s="6">
        <v>42846</v>
      </c>
      <c r="AD15" s="6">
        <v>44020</v>
      </c>
      <c r="AE15" s="6">
        <v>45730</v>
      </c>
      <c r="AF15" s="6">
        <v>48261</v>
      </c>
      <c r="AG15" s="6">
        <v>47645</v>
      </c>
      <c r="AH15" s="6">
        <v>48590</v>
      </c>
      <c r="AI15" s="6">
        <v>50175</v>
      </c>
      <c r="AJ15" s="6">
        <v>52678</v>
      </c>
      <c r="AK15" s="6">
        <v>50388</v>
      </c>
      <c r="AL15" s="6">
        <v>50828</v>
      </c>
      <c r="AM15" s="6">
        <v>54103</v>
      </c>
      <c r="AN15" s="6">
        <v>57212</v>
      </c>
      <c r="AO15" s="6">
        <v>55629</v>
      </c>
      <c r="AP15" s="6">
        <v>56996</v>
      </c>
      <c r="AQ15" s="6">
        <v>61478</v>
      </c>
      <c r="AR15" s="6">
        <v>66427</v>
      </c>
      <c r="AS15" s="6">
        <v>63140</v>
      </c>
      <c r="AT15" s="6">
        <v>64682</v>
      </c>
      <c r="AU15" s="6">
        <v>71154</v>
      </c>
      <c r="AV15" s="6">
        <v>75708</v>
      </c>
      <c r="AW15" s="6">
        <v>78064</v>
      </c>
      <c r="AX15" s="6">
        <v>80867</v>
      </c>
      <c r="AY15" s="6">
        <v>86373</v>
      </c>
      <c r="AZ15" s="6">
        <v>88566</v>
      </c>
      <c r="BA15" s="6">
        <v>85476</v>
      </c>
      <c r="BB15" s="6">
        <v>87626</v>
      </c>
      <c r="BC15" s="6">
        <v>98697</v>
      </c>
      <c r="BD15" s="6">
        <v>114208</v>
      </c>
      <c r="BE15" s="6">
        <v>110902</v>
      </c>
      <c r="BF15" s="6">
        <v>122574</v>
      </c>
      <c r="BG15" s="6">
        <v>138798</v>
      </c>
      <c r="BH15" s="6">
        <v>156313</v>
      </c>
      <c r="BI15" s="6">
        <v>153542</v>
      </c>
      <c r="BJ15" s="6">
        <v>154189</v>
      </c>
      <c r="BK15" s="6">
        <v>156417</v>
      </c>
      <c r="BL15" s="6">
        <v>183062</v>
      </c>
      <c r="BM15" s="6">
        <v>168860</v>
      </c>
      <c r="BN15" s="6">
        <v>159635</v>
      </c>
      <c r="BO15" s="6">
        <v>173494</v>
      </c>
      <c r="BP15" s="6">
        <v>220364</v>
      </c>
      <c r="BQ15" s="6">
        <v>202564</v>
      </c>
      <c r="BR15" s="6">
        <v>198403</v>
      </c>
      <c r="BS15" s="6">
        <v>212368</v>
      </c>
      <c r="BT15" s="6">
        <v>242028</v>
      </c>
      <c r="BU15" s="6">
        <v>222355</v>
      </c>
      <c r="BV15" s="6">
        <v>222703</v>
      </c>
      <c r="BW15" s="6">
        <v>236641</v>
      </c>
      <c r="BX15" s="6">
        <v>327102</v>
      </c>
      <c r="BY15" s="6">
        <v>387229</v>
      </c>
      <c r="BZ15" s="6">
        <v>392113</v>
      </c>
      <c r="CA15" s="5">
        <v>432623</v>
      </c>
      <c r="CB15" s="5">
        <v>506431</v>
      </c>
      <c r="CC15" s="5">
        <v>517375</v>
      </c>
      <c r="CD15" s="5">
        <v>588250</v>
      </c>
      <c r="CE15" s="5">
        <v>612395</v>
      </c>
      <c r="CF15" s="5">
        <v>682981</v>
      </c>
      <c r="CG15" s="5">
        <v>717347</v>
      </c>
      <c r="CH15" s="5">
        <v>783397</v>
      </c>
      <c r="CI15" s="5">
        <v>823789</v>
      </c>
      <c r="CJ15" s="5">
        <v>935023</v>
      </c>
      <c r="CK15" s="5">
        <v>957314</v>
      </c>
      <c r="CL15" s="5">
        <v>1037260</v>
      </c>
      <c r="CM15" s="5">
        <v>1074375</v>
      </c>
      <c r="CN15" s="5">
        <v>1264943</v>
      </c>
      <c r="CO15" s="5">
        <v>1303750</v>
      </c>
      <c r="CP15" s="5">
        <v>1466507</v>
      </c>
      <c r="CQ15" s="5">
        <v>1629544</v>
      </c>
      <c r="CR15" s="5">
        <v>1811039</v>
      </c>
      <c r="CS15" s="5">
        <v>1901608</v>
      </c>
      <c r="CT15" s="5">
        <v>1984160</v>
      </c>
      <c r="CU15" s="5">
        <v>2074744</v>
      </c>
      <c r="CV15" s="5">
        <v>2171980</v>
      </c>
      <c r="CW15" s="5">
        <v>2077746</v>
      </c>
      <c r="CX15" s="5">
        <v>2119063</v>
      </c>
      <c r="CY15" s="5">
        <v>2325845</v>
      </c>
      <c r="CZ15" s="5">
        <v>2262605</v>
      </c>
      <c r="DA15" s="5">
        <v>2321557</v>
      </c>
      <c r="DB15" s="5">
        <v>2333058</v>
      </c>
      <c r="DC15" s="5">
        <v>2560140</v>
      </c>
      <c r="DD15" s="5">
        <v>2349886</v>
      </c>
      <c r="DE15" s="5">
        <v>2496247</v>
      </c>
      <c r="DF15" s="5">
        <v>2543994</v>
      </c>
      <c r="DG15" s="5">
        <v>2662966</v>
      </c>
      <c r="DH15" s="5">
        <v>2652438</v>
      </c>
      <c r="DI15" s="5">
        <v>2853885</v>
      </c>
      <c r="DJ15" s="5">
        <v>3010079</v>
      </c>
      <c r="DK15" s="5">
        <v>3400229</v>
      </c>
      <c r="DL15" s="5">
        <v>3502920</v>
      </c>
      <c r="DM15" s="5">
        <v>3643030</v>
      </c>
      <c r="DN15" s="5">
        <v>3864598</v>
      </c>
      <c r="DO15" s="5">
        <v>3810362</v>
      </c>
      <c r="DP15" s="5">
        <v>3641349</v>
      </c>
      <c r="DQ15" s="5">
        <v>3188711</v>
      </c>
      <c r="DR15" s="5">
        <v>3645828</v>
      </c>
      <c r="DS15" s="5">
        <v>3766814</v>
      </c>
      <c r="DT15" s="5">
        <v>3924650</v>
      </c>
      <c r="DU15" s="5">
        <v>4197311</v>
      </c>
      <c r="DV15" s="5">
        <v>4292599</v>
      </c>
      <c r="DW15" s="5">
        <v>4048014</v>
      </c>
      <c r="DX15" s="5">
        <v>3944011</v>
      </c>
      <c r="DY15" s="5">
        <v>3787936</v>
      </c>
      <c r="DZ15" s="5">
        <v>3958363</v>
      </c>
      <c r="EA15" s="5">
        <v>4098590</v>
      </c>
      <c r="EB15" s="5">
        <v>4316327</v>
      </c>
      <c r="EC15" s="5">
        <v>4127309</v>
      </c>
      <c r="ED15" s="5">
        <v>3913577</v>
      </c>
      <c r="EE15" s="5">
        <v>3873057</v>
      </c>
      <c r="EF15" s="5">
        <v>4169489</v>
      </c>
      <c r="EG15" s="5">
        <v>3739380</v>
      </c>
      <c r="EH15" s="5">
        <v>3870367</v>
      </c>
      <c r="EI15" s="5">
        <v>3591919</v>
      </c>
      <c r="EJ15" s="4">
        <v>4070138</v>
      </c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ht="15" customHeight="1" thickBot="1"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1:175" ht="20.149999999999999" customHeight="1" thickBot="1">
      <c r="A17" s="20" t="s">
        <v>180</v>
      </c>
      <c r="B17" s="19" t="s">
        <v>179</v>
      </c>
      <c r="C17" s="18" t="s">
        <v>178</v>
      </c>
      <c r="D17" s="18" t="s">
        <v>177</v>
      </c>
      <c r="E17" s="18" t="s">
        <v>176</v>
      </c>
      <c r="F17" s="18" t="s">
        <v>175</v>
      </c>
      <c r="G17" s="18" t="s">
        <v>174</v>
      </c>
      <c r="H17" s="18" t="s">
        <v>173</v>
      </c>
      <c r="I17" s="18" t="s">
        <v>172</v>
      </c>
      <c r="J17" s="18" t="s">
        <v>171</v>
      </c>
      <c r="K17" s="18" t="s">
        <v>170</v>
      </c>
      <c r="L17" s="18" t="s">
        <v>169</v>
      </c>
      <c r="M17" s="18" t="s">
        <v>168</v>
      </c>
      <c r="N17" s="18" t="s">
        <v>167</v>
      </c>
      <c r="O17" s="18" t="s">
        <v>166</v>
      </c>
      <c r="P17" s="18" t="s">
        <v>165</v>
      </c>
      <c r="Q17" s="18" t="s">
        <v>164</v>
      </c>
      <c r="R17" s="18" t="s">
        <v>163</v>
      </c>
      <c r="S17" s="18" t="s">
        <v>162</v>
      </c>
      <c r="T17" s="18" t="s">
        <v>161</v>
      </c>
      <c r="U17" s="18" t="s">
        <v>160</v>
      </c>
      <c r="V17" s="18" t="s">
        <v>159</v>
      </c>
      <c r="W17" s="18" t="s">
        <v>158</v>
      </c>
      <c r="X17" s="18" t="s">
        <v>157</v>
      </c>
      <c r="Y17" s="18" t="s">
        <v>156</v>
      </c>
      <c r="Z17" s="18" t="s">
        <v>155</v>
      </c>
      <c r="AA17" s="18" t="s">
        <v>154</v>
      </c>
      <c r="AB17" s="18" t="s">
        <v>153</v>
      </c>
      <c r="AC17" s="18" t="s">
        <v>152</v>
      </c>
      <c r="AD17" s="18" t="s">
        <v>151</v>
      </c>
      <c r="AE17" s="18" t="s">
        <v>150</v>
      </c>
      <c r="AF17" s="18" t="s">
        <v>149</v>
      </c>
      <c r="AG17" s="18" t="s">
        <v>148</v>
      </c>
      <c r="AH17" s="18" t="s">
        <v>147</v>
      </c>
      <c r="AI17" s="18" t="s">
        <v>146</v>
      </c>
      <c r="AJ17" s="18" t="s">
        <v>145</v>
      </c>
      <c r="AK17" s="18" t="s">
        <v>144</v>
      </c>
      <c r="AL17" s="18" t="s">
        <v>143</v>
      </c>
      <c r="AM17" s="18" t="s">
        <v>142</v>
      </c>
      <c r="AN17" s="18" t="s">
        <v>141</v>
      </c>
      <c r="AO17" s="18" t="s">
        <v>140</v>
      </c>
      <c r="AP17" s="18" t="s">
        <v>139</v>
      </c>
      <c r="AQ17" s="18" t="s">
        <v>138</v>
      </c>
      <c r="AR17" s="18" t="s">
        <v>137</v>
      </c>
      <c r="AS17" s="18" t="s">
        <v>136</v>
      </c>
      <c r="AT17" s="18" t="s">
        <v>135</v>
      </c>
      <c r="AU17" s="18" t="s">
        <v>134</v>
      </c>
      <c r="AV17" s="18" t="s">
        <v>133</v>
      </c>
      <c r="AW17" s="18" t="s">
        <v>132</v>
      </c>
      <c r="AX17" s="18" t="s">
        <v>131</v>
      </c>
      <c r="AY17" s="18" t="s">
        <v>130</v>
      </c>
      <c r="AZ17" s="18" t="s">
        <v>129</v>
      </c>
      <c r="BA17" s="18" t="s">
        <v>128</v>
      </c>
      <c r="BB17" s="18" t="s">
        <v>127</v>
      </c>
      <c r="BC17" s="18" t="s">
        <v>126</v>
      </c>
      <c r="BD17" s="18" t="s">
        <v>125</v>
      </c>
      <c r="BE17" s="18" t="s">
        <v>124</v>
      </c>
      <c r="BF17" s="18" t="s">
        <v>123</v>
      </c>
      <c r="BG17" s="18" t="s">
        <v>122</v>
      </c>
      <c r="BH17" s="18" t="s">
        <v>121</v>
      </c>
      <c r="BI17" s="18" t="s">
        <v>120</v>
      </c>
      <c r="BJ17" s="18" t="s">
        <v>119</v>
      </c>
      <c r="BK17" s="18" t="s">
        <v>118</v>
      </c>
      <c r="BL17" s="18" t="s">
        <v>117</v>
      </c>
      <c r="BM17" s="18" t="s">
        <v>116</v>
      </c>
      <c r="BN17" s="18" t="s">
        <v>115</v>
      </c>
      <c r="BO17" s="18" t="s">
        <v>114</v>
      </c>
      <c r="BP17" s="18" t="s">
        <v>113</v>
      </c>
      <c r="BQ17" s="18" t="s">
        <v>112</v>
      </c>
      <c r="BR17" s="18" t="s">
        <v>111</v>
      </c>
      <c r="BS17" s="18" t="s">
        <v>110</v>
      </c>
      <c r="BT17" s="18" t="s">
        <v>109</v>
      </c>
      <c r="BU17" s="18" t="s">
        <v>108</v>
      </c>
      <c r="BV17" s="18" t="s">
        <v>107</v>
      </c>
      <c r="BW17" s="18" t="s">
        <v>106</v>
      </c>
      <c r="BX17" s="17" t="s">
        <v>105</v>
      </c>
      <c r="BY17" s="17" t="s">
        <v>104</v>
      </c>
      <c r="BZ17" s="17" t="s">
        <v>103</v>
      </c>
      <c r="CA17" s="17" t="s">
        <v>102</v>
      </c>
      <c r="CB17" s="17" t="s">
        <v>101</v>
      </c>
      <c r="CC17" s="17" t="s">
        <v>100</v>
      </c>
      <c r="CD17" s="17" t="s">
        <v>99</v>
      </c>
      <c r="CE17" s="17" t="s">
        <v>98</v>
      </c>
      <c r="CF17" s="17" t="s">
        <v>97</v>
      </c>
      <c r="CG17" s="17" t="s">
        <v>96</v>
      </c>
      <c r="CH17" s="17" t="s">
        <v>95</v>
      </c>
      <c r="CI17" s="17" t="s">
        <v>94</v>
      </c>
      <c r="CJ17" s="17" t="s">
        <v>93</v>
      </c>
      <c r="CK17" s="17" t="s">
        <v>92</v>
      </c>
      <c r="CL17" s="17" t="s">
        <v>91</v>
      </c>
      <c r="CM17" s="17" t="s">
        <v>90</v>
      </c>
      <c r="CN17" s="17" t="s">
        <v>89</v>
      </c>
      <c r="CO17" s="17" t="s">
        <v>88</v>
      </c>
      <c r="CP17" s="17" t="s">
        <v>87</v>
      </c>
      <c r="CQ17" s="17" t="s">
        <v>86</v>
      </c>
      <c r="CR17" s="17" t="s">
        <v>85</v>
      </c>
      <c r="CS17" s="17" t="s">
        <v>84</v>
      </c>
      <c r="CT17" s="17" t="s">
        <v>83</v>
      </c>
      <c r="CU17" s="17" t="s">
        <v>82</v>
      </c>
      <c r="CV17" s="17" t="s">
        <v>81</v>
      </c>
      <c r="CW17" s="17" t="s">
        <v>80</v>
      </c>
      <c r="CX17" s="17" t="s">
        <v>79</v>
      </c>
      <c r="CY17" s="17" t="s">
        <v>78</v>
      </c>
      <c r="CZ17" s="17" t="s">
        <v>77</v>
      </c>
      <c r="DA17" s="17" t="s">
        <v>76</v>
      </c>
      <c r="DB17" s="17" t="s">
        <v>75</v>
      </c>
      <c r="DC17" s="17" t="s">
        <v>74</v>
      </c>
      <c r="DD17" s="17" t="s">
        <v>73</v>
      </c>
      <c r="DE17" s="17" t="s">
        <v>72</v>
      </c>
      <c r="DF17" s="17" t="s">
        <v>71</v>
      </c>
      <c r="DG17" s="17" t="s">
        <v>70</v>
      </c>
      <c r="DH17" s="17" t="s">
        <v>69</v>
      </c>
      <c r="DI17" s="17" t="s">
        <v>68</v>
      </c>
      <c r="DJ17" s="17" t="s">
        <v>67</v>
      </c>
      <c r="DK17" s="17" t="s">
        <v>66</v>
      </c>
      <c r="DL17" s="17" t="s">
        <v>65</v>
      </c>
      <c r="DM17" s="17" t="s">
        <v>64</v>
      </c>
      <c r="DN17" s="17" t="s">
        <v>63</v>
      </c>
      <c r="DO17" s="17" t="s">
        <v>62</v>
      </c>
      <c r="DP17" s="17" t="s">
        <v>61</v>
      </c>
      <c r="DQ17" s="17" t="s">
        <v>60</v>
      </c>
      <c r="DR17" s="17" t="s">
        <v>59</v>
      </c>
      <c r="DS17" s="17" t="s">
        <v>58</v>
      </c>
      <c r="DT17" s="17" t="s">
        <v>57</v>
      </c>
      <c r="DU17" s="17" t="s">
        <v>56</v>
      </c>
      <c r="DV17" s="17" t="s">
        <v>55</v>
      </c>
      <c r="DW17" s="17" t="s">
        <v>54</v>
      </c>
      <c r="DX17" s="17" t="s">
        <v>53</v>
      </c>
      <c r="DY17" s="17" t="s">
        <v>52</v>
      </c>
      <c r="DZ17" s="17" t="s">
        <v>51</v>
      </c>
      <c r="EA17" s="17" t="s">
        <v>50</v>
      </c>
      <c r="EB17" s="17" t="s">
        <v>49</v>
      </c>
      <c r="EC17" s="17" t="s">
        <v>48</v>
      </c>
      <c r="ED17" s="17" t="s">
        <v>47</v>
      </c>
      <c r="EE17" s="17" t="s">
        <v>46</v>
      </c>
      <c r="EF17" s="17" t="s">
        <v>45</v>
      </c>
      <c r="EG17" s="17" t="s">
        <v>44</v>
      </c>
      <c r="EH17" s="17" t="s">
        <v>43</v>
      </c>
      <c r="EI17" s="17" t="s">
        <v>42</v>
      </c>
      <c r="EJ17" s="16" t="s">
        <v>41</v>
      </c>
    </row>
    <row r="18" spans="1:175" ht="15" customHeight="1">
      <c r="A18" s="13"/>
      <c r="B18" s="1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9"/>
    </row>
    <row r="19" spans="1:175" ht="15" customHeight="1">
      <c r="A19" s="13" t="s">
        <v>40</v>
      </c>
      <c r="B19" s="12">
        <v>15391</v>
      </c>
      <c r="C19" s="10">
        <v>13265</v>
      </c>
      <c r="D19" s="10">
        <v>11949</v>
      </c>
      <c r="E19" s="10">
        <v>12692</v>
      </c>
      <c r="F19" s="10">
        <v>15058</v>
      </c>
      <c r="G19" s="10">
        <v>15699</v>
      </c>
      <c r="H19" s="10">
        <v>17229</v>
      </c>
      <c r="I19" s="10">
        <v>18429</v>
      </c>
      <c r="J19" s="10">
        <v>18897</v>
      </c>
      <c r="K19" s="10">
        <v>19924</v>
      </c>
      <c r="L19" s="10">
        <v>20212</v>
      </c>
      <c r="M19" s="10">
        <v>21028</v>
      </c>
      <c r="N19" s="10">
        <v>21843</v>
      </c>
      <c r="O19" s="10">
        <v>22252</v>
      </c>
      <c r="P19" s="10">
        <v>22655</v>
      </c>
      <c r="Q19" s="10">
        <v>23957</v>
      </c>
      <c r="R19" s="10">
        <v>25487</v>
      </c>
      <c r="S19" s="10">
        <v>28366</v>
      </c>
      <c r="T19" s="11">
        <v>30817</v>
      </c>
      <c r="U19" s="11">
        <v>30198</v>
      </c>
      <c r="V19" s="11">
        <v>30030</v>
      </c>
      <c r="W19" s="11">
        <v>31432</v>
      </c>
      <c r="X19" s="11">
        <v>32229</v>
      </c>
      <c r="Y19" s="11">
        <v>31273</v>
      </c>
      <c r="Z19" s="11">
        <v>32014</v>
      </c>
      <c r="AA19" s="11">
        <v>33358</v>
      </c>
      <c r="AB19" s="11">
        <v>35182</v>
      </c>
      <c r="AC19" s="11">
        <v>33807</v>
      </c>
      <c r="AD19" s="11">
        <v>35236</v>
      </c>
      <c r="AE19" s="11">
        <v>36994</v>
      </c>
      <c r="AF19" s="11">
        <v>38855</v>
      </c>
      <c r="AG19" s="11">
        <v>38101</v>
      </c>
      <c r="AH19" s="11">
        <v>38983</v>
      </c>
      <c r="AI19" s="11">
        <v>40036</v>
      </c>
      <c r="AJ19" s="11">
        <v>41238</v>
      </c>
      <c r="AK19" s="11">
        <v>40771</v>
      </c>
      <c r="AL19" s="11">
        <v>42718</v>
      </c>
      <c r="AM19" s="11">
        <v>43416</v>
      </c>
      <c r="AN19" s="11">
        <v>45685</v>
      </c>
      <c r="AO19" s="11">
        <v>44245</v>
      </c>
      <c r="AP19" s="11">
        <v>45580</v>
      </c>
      <c r="AQ19" s="11">
        <v>49921</v>
      </c>
      <c r="AR19" s="11">
        <v>52173</v>
      </c>
      <c r="AS19" s="11">
        <v>49682</v>
      </c>
      <c r="AT19" s="11">
        <v>51593</v>
      </c>
      <c r="AU19" s="11">
        <v>56416</v>
      </c>
      <c r="AV19" s="11">
        <v>62239</v>
      </c>
      <c r="AW19" s="11">
        <v>62530</v>
      </c>
      <c r="AX19" s="11">
        <v>64729</v>
      </c>
      <c r="AY19" s="11">
        <v>67777</v>
      </c>
      <c r="AZ19" s="11">
        <v>70201</v>
      </c>
      <c r="BA19" s="11">
        <v>68353</v>
      </c>
      <c r="BB19" s="11">
        <v>71669</v>
      </c>
      <c r="BC19" s="11">
        <v>81588</v>
      </c>
      <c r="BD19" s="11">
        <v>94353</v>
      </c>
      <c r="BE19" s="11">
        <v>89414</v>
      </c>
      <c r="BF19" s="11">
        <v>95143</v>
      </c>
      <c r="BG19" s="11">
        <v>110454</v>
      </c>
      <c r="BH19" s="11">
        <v>130190</v>
      </c>
      <c r="BI19" s="11">
        <v>119734</v>
      </c>
      <c r="BJ19" s="11">
        <v>124417</v>
      </c>
      <c r="BK19" s="11">
        <v>127185</v>
      </c>
      <c r="BL19" s="11">
        <v>141394</v>
      </c>
      <c r="BM19" s="11">
        <v>135605</v>
      </c>
      <c r="BN19" s="11">
        <v>130362</v>
      </c>
      <c r="BO19" s="11">
        <v>136082</v>
      </c>
      <c r="BP19" s="11">
        <v>149421</v>
      </c>
      <c r="BQ19" s="11">
        <v>145033</v>
      </c>
      <c r="BR19" s="11">
        <v>144607</v>
      </c>
      <c r="BS19" s="11">
        <v>156221</v>
      </c>
      <c r="BT19" s="11">
        <v>174402</v>
      </c>
      <c r="BU19" s="11">
        <v>160902</v>
      </c>
      <c r="BV19" s="11">
        <v>172884</v>
      </c>
      <c r="BW19" s="11">
        <v>185507</v>
      </c>
      <c r="BX19" s="10">
        <v>228200</v>
      </c>
      <c r="BY19" s="10">
        <v>205420</v>
      </c>
      <c r="BZ19" s="10">
        <v>218190</v>
      </c>
      <c r="CA19" s="10">
        <v>234171</v>
      </c>
      <c r="CB19" s="10">
        <v>274964</v>
      </c>
      <c r="CC19" s="10">
        <v>252688</v>
      </c>
      <c r="CD19" s="10">
        <v>274185</v>
      </c>
      <c r="CE19" s="10">
        <v>331147</v>
      </c>
      <c r="CF19" s="10">
        <v>376369</v>
      </c>
      <c r="CG19" s="10">
        <v>364239</v>
      </c>
      <c r="CH19" s="10">
        <v>405519</v>
      </c>
      <c r="CI19" s="10">
        <v>431631</v>
      </c>
      <c r="CJ19" s="10">
        <v>486244</v>
      </c>
      <c r="CK19" s="10">
        <v>480083</v>
      </c>
      <c r="CL19" s="10">
        <v>514128</v>
      </c>
      <c r="CM19" s="10">
        <v>518869</v>
      </c>
      <c r="CN19" s="10">
        <v>552713</v>
      </c>
      <c r="CO19" s="10">
        <v>530885</v>
      </c>
      <c r="CP19" s="10">
        <v>565992</v>
      </c>
      <c r="CQ19" s="10">
        <v>513428</v>
      </c>
      <c r="CR19" s="10">
        <v>577540</v>
      </c>
      <c r="CS19" s="10">
        <v>563499</v>
      </c>
      <c r="CT19" s="10">
        <v>593355</v>
      </c>
      <c r="CU19" s="10">
        <v>618697</v>
      </c>
      <c r="CV19" s="10">
        <v>609329</v>
      </c>
      <c r="CW19" s="10">
        <v>603352</v>
      </c>
      <c r="CX19" s="10">
        <v>605243</v>
      </c>
      <c r="CY19" s="10">
        <v>604624</v>
      </c>
      <c r="CZ19" s="10">
        <v>686246</v>
      </c>
      <c r="DA19" s="10">
        <v>648840</v>
      </c>
      <c r="DB19" s="10">
        <v>693466</v>
      </c>
      <c r="DC19" s="10">
        <v>730696</v>
      </c>
      <c r="DD19" s="10">
        <v>875485</v>
      </c>
      <c r="DE19" s="10">
        <v>808862</v>
      </c>
      <c r="DF19" s="10">
        <v>810772</v>
      </c>
      <c r="DG19" s="10">
        <v>857829</v>
      </c>
      <c r="DH19" s="10">
        <v>990262</v>
      </c>
      <c r="DI19" s="10">
        <v>925461</v>
      </c>
      <c r="DJ19" s="10">
        <v>1650446</v>
      </c>
      <c r="DK19" s="10">
        <v>1746912</v>
      </c>
      <c r="DL19" s="10">
        <v>1893017</v>
      </c>
      <c r="DM19" s="10">
        <v>1833308</v>
      </c>
      <c r="DN19" s="10">
        <v>1748043</v>
      </c>
      <c r="DO19" s="10">
        <v>1909901</v>
      </c>
      <c r="DP19" s="10">
        <v>2052595</v>
      </c>
      <c r="DQ19" s="10">
        <v>2120159</v>
      </c>
      <c r="DR19" s="10">
        <v>2197174</v>
      </c>
      <c r="DS19" s="10">
        <v>2290349</v>
      </c>
      <c r="DT19" s="10">
        <v>2514967</v>
      </c>
      <c r="DU19" s="10">
        <v>2519876</v>
      </c>
      <c r="DV19" s="10">
        <v>2570544</v>
      </c>
      <c r="DW19" s="10">
        <v>2588746</v>
      </c>
      <c r="DX19" s="10">
        <v>2781634</v>
      </c>
      <c r="DY19" s="10">
        <v>2780984</v>
      </c>
      <c r="DZ19" s="10">
        <v>2881970</v>
      </c>
      <c r="EA19" s="10">
        <v>2916936</v>
      </c>
      <c r="EB19" s="10">
        <v>3031088</v>
      </c>
      <c r="EC19" s="10">
        <v>2956786</v>
      </c>
      <c r="ED19" s="10">
        <v>2982134</v>
      </c>
      <c r="EE19" s="10">
        <v>3072130</v>
      </c>
      <c r="EF19" s="10">
        <v>1249661</v>
      </c>
      <c r="EG19" s="10">
        <v>1089274</v>
      </c>
      <c r="EH19" s="10">
        <v>1153760</v>
      </c>
      <c r="EI19" s="10">
        <v>1185653</v>
      </c>
      <c r="EJ19" s="9">
        <v>1218285</v>
      </c>
      <c r="FP19" s="3"/>
      <c r="FQ19" s="3"/>
      <c r="FR19" s="3"/>
      <c r="FS19" s="3"/>
    </row>
    <row r="20" spans="1:175" ht="15.65" customHeight="1">
      <c r="A20" s="13" t="s">
        <v>39</v>
      </c>
      <c r="B20" s="12">
        <v>9092</v>
      </c>
      <c r="C20" s="10">
        <v>9051</v>
      </c>
      <c r="D20" s="10">
        <v>8797</v>
      </c>
      <c r="E20" s="10">
        <v>8860</v>
      </c>
      <c r="F20" s="10">
        <v>9704</v>
      </c>
      <c r="G20" s="10">
        <v>9878</v>
      </c>
      <c r="H20" s="10">
        <v>10196</v>
      </c>
      <c r="I20" s="10">
        <v>10848</v>
      </c>
      <c r="J20" s="10">
        <v>11423</v>
      </c>
      <c r="K20" s="10">
        <v>11997</v>
      </c>
      <c r="L20" s="10">
        <v>12738</v>
      </c>
      <c r="M20" s="10">
        <v>13386</v>
      </c>
      <c r="N20" s="10">
        <v>14288</v>
      </c>
      <c r="O20" s="10">
        <v>15213</v>
      </c>
      <c r="P20" s="10">
        <v>17547</v>
      </c>
      <c r="Q20" s="10">
        <v>18325</v>
      </c>
      <c r="R20" s="10">
        <v>19798</v>
      </c>
      <c r="S20" s="10">
        <v>21761</v>
      </c>
      <c r="T20" s="11">
        <v>24256</v>
      </c>
      <c r="U20" s="11">
        <v>23344</v>
      </c>
      <c r="V20" s="11">
        <v>23698</v>
      </c>
      <c r="W20" s="11">
        <v>24672</v>
      </c>
      <c r="X20" s="11">
        <v>25847</v>
      </c>
      <c r="Y20" s="11">
        <v>25056</v>
      </c>
      <c r="Z20" s="11">
        <v>25349</v>
      </c>
      <c r="AA20" s="11">
        <v>25477</v>
      </c>
      <c r="AB20" s="11">
        <v>27093</v>
      </c>
      <c r="AC20" s="11">
        <v>25766</v>
      </c>
      <c r="AD20" s="11">
        <v>26141</v>
      </c>
      <c r="AE20" s="11">
        <v>27602</v>
      </c>
      <c r="AF20" s="11">
        <v>29103</v>
      </c>
      <c r="AG20" s="11">
        <v>28050</v>
      </c>
      <c r="AH20" s="11">
        <v>28703</v>
      </c>
      <c r="AI20" s="11">
        <v>29681</v>
      </c>
      <c r="AJ20" s="11">
        <v>31641</v>
      </c>
      <c r="AK20" s="11">
        <v>30796</v>
      </c>
      <c r="AL20" s="11">
        <v>31479</v>
      </c>
      <c r="AM20" s="11">
        <v>32411</v>
      </c>
      <c r="AN20" s="11">
        <v>34482</v>
      </c>
      <c r="AO20" s="11">
        <v>32622</v>
      </c>
      <c r="AP20" s="11">
        <v>33556</v>
      </c>
      <c r="AQ20" s="11">
        <v>34971</v>
      </c>
      <c r="AR20" s="11">
        <v>37201</v>
      </c>
      <c r="AS20" s="11">
        <v>35509</v>
      </c>
      <c r="AT20" s="11">
        <v>36700</v>
      </c>
      <c r="AU20" s="11">
        <v>38661</v>
      </c>
      <c r="AV20" s="11">
        <v>42407</v>
      </c>
      <c r="AW20" s="11">
        <v>40384</v>
      </c>
      <c r="AX20" s="11">
        <v>42442</v>
      </c>
      <c r="AY20" s="11">
        <v>44951</v>
      </c>
      <c r="AZ20" s="11">
        <v>50438</v>
      </c>
      <c r="BA20" s="11">
        <v>48441</v>
      </c>
      <c r="BB20" s="11">
        <v>56201</v>
      </c>
      <c r="BC20" s="11">
        <v>64049</v>
      </c>
      <c r="BD20" s="11">
        <v>75836</v>
      </c>
      <c r="BE20" s="11">
        <v>80320</v>
      </c>
      <c r="BF20" s="11">
        <v>88656</v>
      </c>
      <c r="BG20" s="11">
        <v>101952</v>
      </c>
      <c r="BH20" s="11">
        <v>116286</v>
      </c>
      <c r="BI20" s="11">
        <v>105315</v>
      </c>
      <c r="BJ20" s="11">
        <v>108817</v>
      </c>
      <c r="BK20" s="11">
        <v>106965</v>
      </c>
      <c r="BL20" s="11">
        <v>114684</v>
      </c>
      <c r="BM20" s="11">
        <v>107151</v>
      </c>
      <c r="BN20" s="11">
        <v>109583</v>
      </c>
      <c r="BO20" s="11">
        <v>110239</v>
      </c>
      <c r="BP20" s="11">
        <v>119646</v>
      </c>
      <c r="BQ20" s="11">
        <v>113556</v>
      </c>
      <c r="BR20" s="11">
        <v>113269</v>
      </c>
      <c r="BS20" s="11">
        <v>119025</v>
      </c>
      <c r="BT20" s="11">
        <v>129674</v>
      </c>
      <c r="BU20" s="11">
        <v>119910</v>
      </c>
      <c r="BV20" s="11">
        <v>125356</v>
      </c>
      <c r="BW20" s="11">
        <v>132823</v>
      </c>
      <c r="BX20" s="10">
        <v>154343</v>
      </c>
      <c r="BY20" s="10">
        <v>144333</v>
      </c>
      <c r="BZ20" s="10">
        <v>152009</v>
      </c>
      <c r="CA20" s="10">
        <v>161971</v>
      </c>
      <c r="CB20" s="10">
        <v>180004</v>
      </c>
      <c r="CC20" s="10">
        <v>167319</v>
      </c>
      <c r="CD20" s="10">
        <v>177827</v>
      </c>
      <c r="CE20" s="10">
        <v>183928</v>
      </c>
      <c r="CF20" s="10">
        <v>205107</v>
      </c>
      <c r="CG20" s="10">
        <v>193920</v>
      </c>
      <c r="CH20" s="10">
        <v>205314</v>
      </c>
      <c r="CI20" s="10">
        <v>214247</v>
      </c>
      <c r="CJ20" s="10">
        <v>240068</v>
      </c>
      <c r="CK20" s="10">
        <v>231310</v>
      </c>
      <c r="CL20" s="10">
        <v>237003</v>
      </c>
      <c r="CM20" s="10">
        <v>244598</v>
      </c>
      <c r="CN20" s="10">
        <v>261407</v>
      </c>
      <c r="CO20" s="10">
        <v>243508</v>
      </c>
      <c r="CP20" s="10">
        <v>256581</v>
      </c>
      <c r="CQ20" s="10">
        <v>270011</v>
      </c>
      <c r="CR20" s="10">
        <v>300522</v>
      </c>
      <c r="CS20" s="10">
        <v>284520</v>
      </c>
      <c r="CT20" s="10">
        <v>299101</v>
      </c>
      <c r="CU20" s="10">
        <v>320276</v>
      </c>
      <c r="CV20" s="10">
        <v>357884</v>
      </c>
      <c r="CW20" s="10">
        <v>345280</v>
      </c>
      <c r="CX20" s="10">
        <v>359243</v>
      </c>
      <c r="CY20" s="10">
        <v>391125</v>
      </c>
      <c r="CZ20" s="10">
        <v>443463</v>
      </c>
      <c r="DA20" s="10">
        <v>411231</v>
      </c>
      <c r="DB20" s="10">
        <v>433291</v>
      </c>
      <c r="DC20" s="10">
        <v>457569</v>
      </c>
      <c r="DD20" s="10">
        <v>507911</v>
      </c>
      <c r="DE20" s="10">
        <v>478643</v>
      </c>
      <c r="DF20" s="10">
        <v>490151</v>
      </c>
      <c r="DG20" s="10">
        <v>515469</v>
      </c>
      <c r="DH20" s="10">
        <v>560536</v>
      </c>
      <c r="DI20" s="10">
        <v>531059</v>
      </c>
      <c r="DJ20" s="10">
        <v>546469</v>
      </c>
      <c r="DK20" s="10">
        <v>569284</v>
      </c>
      <c r="DL20" s="10">
        <v>628404</v>
      </c>
      <c r="DM20" s="10">
        <v>589476</v>
      </c>
      <c r="DN20" s="10">
        <v>603861</v>
      </c>
      <c r="DO20" s="10">
        <v>635181</v>
      </c>
      <c r="DP20" s="10">
        <v>693712</v>
      </c>
      <c r="DQ20" s="10">
        <v>666438</v>
      </c>
      <c r="DR20" s="10">
        <v>676163</v>
      </c>
      <c r="DS20" s="10">
        <v>708305</v>
      </c>
      <c r="DT20" s="10">
        <v>765280</v>
      </c>
      <c r="DU20" s="10">
        <v>697971</v>
      </c>
      <c r="DV20" s="10">
        <v>715399</v>
      </c>
      <c r="DW20" s="10">
        <v>746274</v>
      </c>
      <c r="DX20" s="10">
        <v>797783</v>
      </c>
      <c r="DY20" s="10">
        <v>735487</v>
      </c>
      <c r="DZ20" s="10">
        <v>748306</v>
      </c>
      <c r="EA20" s="10">
        <v>775591</v>
      </c>
      <c r="EB20" s="10">
        <v>846231</v>
      </c>
      <c r="EC20" s="10">
        <v>798927</v>
      </c>
      <c r="ED20" s="10">
        <v>796336</v>
      </c>
      <c r="EE20" s="10">
        <v>820144</v>
      </c>
      <c r="EF20" s="10">
        <v>881099</v>
      </c>
      <c r="EG20" s="10">
        <v>818423</v>
      </c>
      <c r="EH20" s="10">
        <v>836657</v>
      </c>
      <c r="EI20" s="10">
        <v>862023</v>
      </c>
      <c r="EJ20" s="9">
        <v>935810</v>
      </c>
      <c r="FP20" s="3"/>
      <c r="FQ20" s="3"/>
      <c r="FR20" s="3"/>
      <c r="FS20" s="3"/>
    </row>
    <row r="21" spans="1:175" ht="15" customHeight="1">
      <c r="A21" s="13" t="s">
        <v>38</v>
      </c>
      <c r="B21" s="12">
        <v>6299</v>
      </c>
      <c r="C21" s="10">
        <v>4214</v>
      </c>
      <c r="D21" s="10">
        <v>3152</v>
      </c>
      <c r="E21" s="10">
        <v>3832</v>
      </c>
      <c r="F21" s="10">
        <v>5354</v>
      </c>
      <c r="G21" s="10">
        <v>5821</v>
      </c>
      <c r="H21" s="10">
        <v>7033</v>
      </c>
      <c r="I21" s="10">
        <v>7581</v>
      </c>
      <c r="J21" s="10">
        <v>7474</v>
      </c>
      <c r="K21" s="10">
        <v>7927</v>
      </c>
      <c r="L21" s="10">
        <v>7474</v>
      </c>
      <c r="M21" s="10">
        <v>7642</v>
      </c>
      <c r="N21" s="10">
        <v>7555</v>
      </c>
      <c r="O21" s="10">
        <v>7039</v>
      </c>
      <c r="P21" s="10">
        <v>5108</v>
      </c>
      <c r="Q21" s="10">
        <v>5632</v>
      </c>
      <c r="R21" s="10">
        <v>5689</v>
      </c>
      <c r="S21" s="10">
        <v>6605</v>
      </c>
      <c r="T21" s="11">
        <v>6561</v>
      </c>
      <c r="U21" s="11">
        <v>6854</v>
      </c>
      <c r="V21" s="11">
        <v>6332</v>
      </c>
      <c r="W21" s="11">
        <v>6760</v>
      </c>
      <c r="X21" s="11">
        <v>6382</v>
      </c>
      <c r="Y21" s="11">
        <v>6217</v>
      </c>
      <c r="Z21" s="11">
        <v>6665</v>
      </c>
      <c r="AA21" s="11">
        <v>7881</v>
      </c>
      <c r="AB21" s="11">
        <v>8089</v>
      </c>
      <c r="AC21" s="11">
        <v>8041</v>
      </c>
      <c r="AD21" s="11">
        <v>9095</v>
      </c>
      <c r="AE21" s="11">
        <v>9392</v>
      </c>
      <c r="AF21" s="11">
        <v>9752</v>
      </c>
      <c r="AG21" s="11">
        <v>10051</v>
      </c>
      <c r="AH21" s="11">
        <v>10280</v>
      </c>
      <c r="AI21" s="11">
        <v>10355</v>
      </c>
      <c r="AJ21" s="11">
        <v>9597</v>
      </c>
      <c r="AK21" s="11">
        <v>9975</v>
      </c>
      <c r="AL21" s="11">
        <v>11239</v>
      </c>
      <c r="AM21" s="11">
        <v>11005</v>
      </c>
      <c r="AN21" s="11">
        <v>11203</v>
      </c>
      <c r="AO21" s="11">
        <v>11623</v>
      </c>
      <c r="AP21" s="11">
        <v>12024</v>
      </c>
      <c r="AQ21" s="11">
        <v>14950</v>
      </c>
      <c r="AR21" s="11">
        <v>14972</v>
      </c>
      <c r="AS21" s="11">
        <v>14173</v>
      </c>
      <c r="AT21" s="11">
        <v>14893</v>
      </c>
      <c r="AU21" s="11">
        <v>17755</v>
      </c>
      <c r="AV21" s="11">
        <v>19832</v>
      </c>
      <c r="AW21" s="11">
        <v>22146</v>
      </c>
      <c r="AX21" s="11">
        <v>22287</v>
      </c>
      <c r="AY21" s="11">
        <v>22826</v>
      </c>
      <c r="AZ21" s="11">
        <v>19763</v>
      </c>
      <c r="BA21" s="11">
        <v>19912</v>
      </c>
      <c r="BB21" s="11">
        <v>15468</v>
      </c>
      <c r="BC21" s="11">
        <v>17539</v>
      </c>
      <c r="BD21" s="11">
        <v>18517</v>
      </c>
      <c r="BE21" s="11">
        <v>9094</v>
      </c>
      <c r="BF21" s="11">
        <v>6487</v>
      </c>
      <c r="BG21" s="11">
        <v>8502</v>
      </c>
      <c r="BH21" s="11">
        <v>13904</v>
      </c>
      <c r="BI21" s="11">
        <v>14419</v>
      </c>
      <c r="BJ21" s="11">
        <v>15600</v>
      </c>
      <c r="BK21" s="11">
        <v>20220</v>
      </c>
      <c r="BL21" s="11">
        <v>26710</v>
      </c>
      <c r="BM21" s="11">
        <v>28454</v>
      </c>
      <c r="BN21" s="11">
        <v>20779</v>
      </c>
      <c r="BO21" s="11">
        <v>25843</v>
      </c>
      <c r="BP21" s="11">
        <v>29775</v>
      </c>
      <c r="BQ21" s="11">
        <v>31477</v>
      </c>
      <c r="BR21" s="11">
        <v>31338</v>
      </c>
      <c r="BS21" s="11">
        <v>37196</v>
      </c>
      <c r="BT21" s="11">
        <v>44728</v>
      </c>
      <c r="BU21" s="11">
        <v>40992</v>
      </c>
      <c r="BV21" s="11">
        <v>47528</v>
      </c>
      <c r="BW21" s="11">
        <v>52684</v>
      </c>
      <c r="BX21" s="14">
        <v>73857</v>
      </c>
      <c r="BY21" s="10">
        <v>61087</v>
      </c>
      <c r="BZ21" s="10">
        <v>66181</v>
      </c>
      <c r="CA21" s="10">
        <v>72200</v>
      </c>
      <c r="CB21" s="10">
        <v>94960</v>
      </c>
      <c r="CC21" s="10">
        <v>85369</v>
      </c>
      <c r="CD21" s="10">
        <v>96358</v>
      </c>
      <c r="CE21" s="10">
        <v>147219</v>
      </c>
      <c r="CF21" s="10">
        <v>171262</v>
      </c>
      <c r="CG21" s="10">
        <v>170319</v>
      </c>
      <c r="CH21" s="10">
        <v>200205</v>
      </c>
      <c r="CI21" s="10">
        <v>217384</v>
      </c>
      <c r="CJ21" s="10">
        <v>246176</v>
      </c>
      <c r="CK21" s="10">
        <v>248773</v>
      </c>
      <c r="CL21" s="10">
        <v>277125</v>
      </c>
      <c r="CM21" s="10">
        <v>274271</v>
      </c>
      <c r="CN21" s="10">
        <v>291306</v>
      </c>
      <c r="CO21" s="10">
        <v>287377</v>
      </c>
      <c r="CP21" s="10">
        <v>309411</v>
      </c>
      <c r="CQ21" s="10">
        <v>243417</v>
      </c>
      <c r="CR21" s="10">
        <v>277018</v>
      </c>
      <c r="CS21" s="10">
        <v>278979</v>
      </c>
      <c r="CT21" s="10">
        <v>294254</v>
      </c>
      <c r="CU21" s="10">
        <v>298421</v>
      </c>
      <c r="CV21" s="10">
        <v>251445</v>
      </c>
      <c r="CW21" s="10">
        <v>258072</v>
      </c>
      <c r="CX21" s="10">
        <v>246000</v>
      </c>
      <c r="CY21" s="10">
        <v>213499</v>
      </c>
      <c r="CZ21" s="10">
        <v>242783</v>
      </c>
      <c r="DA21" s="10">
        <v>237609</v>
      </c>
      <c r="DB21" s="10">
        <v>260175</v>
      </c>
      <c r="DC21" s="10">
        <v>273127</v>
      </c>
      <c r="DD21" s="10">
        <v>367574</v>
      </c>
      <c r="DE21" s="10">
        <v>330219</v>
      </c>
      <c r="DF21" s="10">
        <v>320621</v>
      </c>
      <c r="DG21" s="10">
        <v>342360</v>
      </c>
      <c r="DH21" s="10">
        <v>429726</v>
      </c>
      <c r="DI21" s="10">
        <v>394402</v>
      </c>
      <c r="DJ21" s="10">
        <v>1103977</v>
      </c>
      <c r="DK21" s="10">
        <v>1177628</v>
      </c>
      <c r="DL21" s="10">
        <v>1264613</v>
      </c>
      <c r="DM21" s="10">
        <v>1243832</v>
      </c>
      <c r="DN21" s="10">
        <v>1144182</v>
      </c>
      <c r="DO21" s="10">
        <v>1274720</v>
      </c>
      <c r="DP21" s="10">
        <v>1358883</v>
      </c>
      <c r="DQ21" s="10">
        <v>1453721</v>
      </c>
      <c r="DR21" s="10">
        <v>1521011</v>
      </c>
      <c r="DS21" s="10">
        <v>1582044</v>
      </c>
      <c r="DT21" s="10">
        <v>1749687</v>
      </c>
      <c r="DU21" s="10">
        <v>1821905</v>
      </c>
      <c r="DV21" s="10">
        <v>1855145</v>
      </c>
      <c r="DW21" s="10">
        <v>1842472</v>
      </c>
      <c r="DX21" s="10">
        <v>1983851</v>
      </c>
      <c r="DY21" s="10">
        <v>2045497</v>
      </c>
      <c r="DZ21" s="10">
        <v>2133664</v>
      </c>
      <c r="EA21" s="10">
        <v>2141345</v>
      </c>
      <c r="EB21" s="10">
        <v>2184857</v>
      </c>
      <c r="EC21" s="10">
        <v>2157859</v>
      </c>
      <c r="ED21" s="10">
        <v>2185798</v>
      </c>
      <c r="EE21" s="10">
        <v>2251986</v>
      </c>
      <c r="EF21" s="10">
        <v>368562</v>
      </c>
      <c r="EG21" s="10">
        <v>270851</v>
      </c>
      <c r="EH21" s="10">
        <v>317103</v>
      </c>
      <c r="EI21" s="10">
        <v>323630</v>
      </c>
      <c r="EJ21" s="9">
        <v>282475</v>
      </c>
      <c r="FP21" s="3"/>
      <c r="FQ21" s="3"/>
      <c r="FR21" s="3"/>
      <c r="FS21" s="3"/>
    </row>
    <row r="22" spans="1:175" ht="15" customHeight="1">
      <c r="A22" s="13" t="s">
        <v>37</v>
      </c>
      <c r="B22" s="12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0">
        <v>4603</v>
      </c>
      <c r="BY22" s="10">
        <v>23615</v>
      </c>
      <c r="BZ22" s="10">
        <v>43233</v>
      </c>
      <c r="CA22" s="10">
        <v>65745</v>
      </c>
      <c r="CB22" s="10">
        <v>56538</v>
      </c>
      <c r="CC22" s="10">
        <v>98702</v>
      </c>
      <c r="CD22" s="10">
        <v>97561</v>
      </c>
      <c r="CE22" s="10">
        <v>82932</v>
      </c>
      <c r="CF22" s="10">
        <v>68952</v>
      </c>
      <c r="CG22" s="10">
        <v>109933</v>
      </c>
      <c r="CH22" s="10">
        <v>58127</v>
      </c>
      <c r="CI22" s="10">
        <v>71750</v>
      </c>
      <c r="CJ22" s="10">
        <v>75188</v>
      </c>
      <c r="CK22" s="10">
        <v>83909</v>
      </c>
      <c r="CL22" s="10">
        <v>61417</v>
      </c>
      <c r="CM22" s="10">
        <v>25129</v>
      </c>
      <c r="CN22" s="10">
        <v>54880</v>
      </c>
      <c r="CO22" s="10">
        <v>136582</v>
      </c>
      <c r="CP22" s="10">
        <v>173670</v>
      </c>
      <c r="CQ22" s="10">
        <v>307301</v>
      </c>
      <c r="CR22" s="10">
        <v>349264</v>
      </c>
      <c r="CS22" s="10">
        <v>497593</v>
      </c>
      <c r="CT22" s="10">
        <v>602216</v>
      </c>
      <c r="CU22" s="10">
        <v>686968</v>
      </c>
      <c r="CV22" s="10">
        <v>731547</v>
      </c>
      <c r="CW22" s="10">
        <v>844552</v>
      </c>
      <c r="CX22" s="10">
        <v>874329</v>
      </c>
      <c r="CY22" s="10">
        <v>1018090</v>
      </c>
      <c r="CZ22" s="10">
        <v>990506</v>
      </c>
      <c r="DA22" s="10">
        <v>1161452</v>
      </c>
      <c r="DB22" s="10">
        <v>1127620</v>
      </c>
      <c r="DC22" s="10">
        <v>1279058</v>
      </c>
      <c r="DD22" s="10">
        <v>963955</v>
      </c>
      <c r="DE22" s="10">
        <v>1116515</v>
      </c>
      <c r="DF22" s="10">
        <v>1080549</v>
      </c>
      <c r="DG22" s="10">
        <v>1102260</v>
      </c>
      <c r="DH22" s="10">
        <v>920600</v>
      </c>
      <c r="DI22" s="10">
        <v>1320079</v>
      </c>
      <c r="DJ22" s="10">
        <v>669577</v>
      </c>
      <c r="DK22" s="10">
        <v>869859</v>
      </c>
      <c r="DL22" s="10">
        <v>781300</v>
      </c>
      <c r="DM22" s="10">
        <v>1032895</v>
      </c>
      <c r="DN22" s="10">
        <v>1207265</v>
      </c>
      <c r="DO22" s="10">
        <v>1044200</v>
      </c>
      <c r="DP22" s="10">
        <v>837100</v>
      </c>
      <c r="DQ22" s="10">
        <v>302426</v>
      </c>
      <c r="DR22" s="10">
        <v>339205</v>
      </c>
      <c r="DS22" s="10">
        <v>280757</v>
      </c>
      <c r="DT22" s="10">
        <v>125412</v>
      </c>
      <c r="DU22" s="10">
        <v>442419</v>
      </c>
      <c r="DV22" s="10">
        <v>519579</v>
      </c>
      <c r="DW22" s="10">
        <v>529100</v>
      </c>
      <c r="DX22" s="10">
        <v>381428</v>
      </c>
      <c r="DY22" s="10">
        <v>280736</v>
      </c>
      <c r="DZ22" s="10">
        <v>212900</v>
      </c>
      <c r="EA22" s="10">
        <v>192700</v>
      </c>
      <c r="EB22" s="10">
        <v>23797</v>
      </c>
      <c r="EC22" s="10">
        <v>50000</v>
      </c>
      <c r="ED22" s="10">
        <v>0</v>
      </c>
      <c r="EE22" s="10">
        <v>0</v>
      </c>
      <c r="EF22" s="10">
        <v>1854522</v>
      </c>
      <c r="EG22" s="10">
        <v>1873802</v>
      </c>
      <c r="EH22" s="10">
        <v>1880372</v>
      </c>
      <c r="EI22" s="10">
        <v>1863422</v>
      </c>
      <c r="EJ22" s="9">
        <v>1855222</v>
      </c>
      <c r="FP22" s="3"/>
      <c r="FQ22" s="3"/>
      <c r="FR22" s="3"/>
      <c r="FS22" s="3"/>
    </row>
    <row r="23" spans="1:175" ht="15" customHeight="1">
      <c r="A23" s="13" t="s">
        <v>36</v>
      </c>
      <c r="B23" s="12">
        <v>1612</v>
      </c>
      <c r="C23" s="10">
        <v>527</v>
      </c>
      <c r="D23" s="10">
        <v>355</v>
      </c>
      <c r="E23" s="10">
        <v>752</v>
      </c>
      <c r="F23" s="10">
        <v>1046</v>
      </c>
      <c r="G23" s="10">
        <v>1427</v>
      </c>
      <c r="H23" s="10">
        <v>1403</v>
      </c>
      <c r="I23" s="10">
        <v>1676</v>
      </c>
      <c r="J23" s="10">
        <v>1608</v>
      </c>
      <c r="K23" s="10">
        <v>1559</v>
      </c>
      <c r="L23" s="10">
        <v>1729</v>
      </c>
      <c r="M23" s="10">
        <v>2149</v>
      </c>
      <c r="N23" s="10">
        <v>1875</v>
      </c>
      <c r="O23" s="10">
        <v>2392</v>
      </c>
      <c r="P23" s="10">
        <v>1592</v>
      </c>
      <c r="Q23" s="10">
        <v>2136</v>
      </c>
      <c r="R23" s="10">
        <v>2493</v>
      </c>
      <c r="S23" s="10">
        <v>2098</v>
      </c>
      <c r="T23" s="11">
        <v>3630</v>
      </c>
      <c r="U23" s="11">
        <v>3323</v>
      </c>
      <c r="V23" s="11">
        <v>3247</v>
      </c>
      <c r="W23" s="11">
        <v>3411</v>
      </c>
      <c r="X23" s="11">
        <v>4732</v>
      </c>
      <c r="Y23" s="11">
        <v>4437</v>
      </c>
      <c r="Z23" s="11">
        <v>3810</v>
      </c>
      <c r="AA23" s="11">
        <v>4412</v>
      </c>
      <c r="AB23" s="11">
        <v>5123</v>
      </c>
      <c r="AC23" s="11">
        <v>4436</v>
      </c>
      <c r="AD23" s="11">
        <v>3964</v>
      </c>
      <c r="AE23" s="11">
        <v>3881</v>
      </c>
      <c r="AF23" s="11">
        <v>4320</v>
      </c>
      <c r="AG23" s="11">
        <v>4454</v>
      </c>
      <c r="AH23" s="11">
        <v>4261</v>
      </c>
      <c r="AI23" s="11">
        <v>4683</v>
      </c>
      <c r="AJ23" s="11">
        <v>5382</v>
      </c>
      <c r="AK23" s="11">
        <v>3953</v>
      </c>
      <c r="AL23" s="11">
        <v>2064</v>
      </c>
      <c r="AM23" s="11">
        <v>4533</v>
      </c>
      <c r="AN23" s="11">
        <v>4709</v>
      </c>
      <c r="AO23" s="11">
        <v>4849</v>
      </c>
      <c r="AP23" s="11">
        <v>4197</v>
      </c>
      <c r="AQ23" s="11">
        <v>4616</v>
      </c>
      <c r="AR23" s="11">
        <v>5739</v>
      </c>
      <c r="AS23" s="11">
        <v>5348</v>
      </c>
      <c r="AT23" s="11">
        <v>4849</v>
      </c>
      <c r="AU23" s="11">
        <v>6204</v>
      </c>
      <c r="AV23" s="11">
        <v>4058</v>
      </c>
      <c r="AW23" s="11">
        <v>5293</v>
      </c>
      <c r="AX23" s="11">
        <v>5363</v>
      </c>
      <c r="AY23" s="11">
        <v>5466</v>
      </c>
      <c r="AZ23" s="11">
        <v>5964</v>
      </c>
      <c r="BA23" s="11">
        <v>4468</v>
      </c>
      <c r="BB23" s="11">
        <v>1988</v>
      </c>
      <c r="BC23" s="11">
        <v>2103</v>
      </c>
      <c r="BD23" s="11">
        <v>3632</v>
      </c>
      <c r="BE23" s="11">
        <v>4201</v>
      </c>
      <c r="BF23" s="11">
        <v>393</v>
      </c>
      <c r="BG23" s="11">
        <v>546</v>
      </c>
      <c r="BH23" s="11">
        <v>1067</v>
      </c>
      <c r="BI23" s="11">
        <v>4864</v>
      </c>
      <c r="BJ23" s="11">
        <v>3880</v>
      </c>
      <c r="BK23" s="11">
        <v>1027</v>
      </c>
      <c r="BL23" s="11">
        <v>12199</v>
      </c>
      <c r="BM23" s="11">
        <v>3129</v>
      </c>
      <c r="BN23" s="11">
        <v>1471</v>
      </c>
      <c r="BO23" s="11">
        <v>1599</v>
      </c>
      <c r="BP23" s="11">
        <v>21803</v>
      </c>
      <c r="BQ23" s="11">
        <v>2763</v>
      </c>
      <c r="BR23" s="11">
        <v>1143</v>
      </c>
      <c r="BS23" s="11">
        <v>1443</v>
      </c>
      <c r="BT23" s="11">
        <v>10893</v>
      </c>
      <c r="BU23" s="11">
        <v>1811</v>
      </c>
      <c r="BV23" s="11">
        <v>673</v>
      </c>
      <c r="BW23" s="11">
        <v>1178</v>
      </c>
      <c r="BX23" s="10">
        <v>22729</v>
      </c>
      <c r="BY23" s="10">
        <v>5624</v>
      </c>
      <c r="BZ23" s="10">
        <v>2568</v>
      </c>
      <c r="CA23" s="10">
        <v>2016</v>
      </c>
      <c r="CB23" s="10">
        <v>33167</v>
      </c>
      <c r="CC23" s="10">
        <v>1093</v>
      </c>
      <c r="CD23" s="10">
        <v>23862</v>
      </c>
      <c r="CE23" s="10">
        <v>656</v>
      </c>
      <c r="CF23" s="10">
        <v>48984</v>
      </c>
      <c r="CG23" s="10">
        <v>3114</v>
      </c>
      <c r="CH23" s="10">
        <v>23247</v>
      </c>
      <c r="CI23" s="10">
        <v>2841</v>
      </c>
      <c r="CJ23" s="10">
        <v>37721</v>
      </c>
      <c r="CK23" s="10">
        <v>3699</v>
      </c>
      <c r="CL23" s="10">
        <v>3681</v>
      </c>
      <c r="CM23" s="10">
        <v>9936</v>
      </c>
      <c r="CN23" s="10">
        <v>70684</v>
      </c>
      <c r="CO23" s="10">
        <v>2543</v>
      </c>
      <c r="CP23" s="10">
        <v>6895</v>
      </c>
      <c r="CQ23" s="10">
        <v>1845</v>
      </c>
      <c r="CR23" s="10">
        <v>60514</v>
      </c>
      <c r="CS23" s="10">
        <v>25151</v>
      </c>
      <c r="CT23" s="10">
        <v>1946</v>
      </c>
      <c r="CU23" s="10">
        <v>1000</v>
      </c>
      <c r="CV23" s="10">
        <v>101256</v>
      </c>
      <c r="CW23" s="10">
        <v>27186</v>
      </c>
      <c r="CX23" s="10">
        <v>47016</v>
      </c>
      <c r="CY23" s="10">
        <v>73008</v>
      </c>
      <c r="CZ23" s="10">
        <v>22263</v>
      </c>
      <c r="DA23" s="10">
        <v>12792</v>
      </c>
      <c r="DB23" s="10">
        <v>15459</v>
      </c>
      <c r="DC23" s="10">
        <v>3789</v>
      </c>
      <c r="DD23" s="10">
        <v>91674</v>
      </c>
      <c r="DE23" s="10">
        <v>43638</v>
      </c>
      <c r="DF23" s="10">
        <v>80332</v>
      </c>
      <c r="DG23" s="10">
        <v>38924</v>
      </c>
      <c r="DH23" s="10">
        <v>146857</v>
      </c>
      <c r="DI23" s="10">
        <v>2834</v>
      </c>
      <c r="DJ23" s="10">
        <v>75912</v>
      </c>
      <c r="DK23" s="10">
        <v>140016</v>
      </c>
      <c r="DL23" s="10">
        <v>254969</v>
      </c>
      <c r="DM23" s="10">
        <v>256810</v>
      </c>
      <c r="DN23" s="10">
        <v>439206</v>
      </c>
      <c r="DO23" s="10">
        <v>396297</v>
      </c>
      <c r="DP23" s="10">
        <v>356089</v>
      </c>
      <c r="DQ23" s="10">
        <v>221762</v>
      </c>
      <c r="DR23" s="10">
        <v>537217</v>
      </c>
      <c r="DS23" s="10">
        <v>756191</v>
      </c>
      <c r="DT23" s="10">
        <v>848567</v>
      </c>
      <c r="DU23" s="10">
        <v>830159</v>
      </c>
      <c r="DV23" s="10">
        <v>1006721</v>
      </c>
      <c r="DW23" s="10">
        <v>811259</v>
      </c>
      <c r="DX23" s="10">
        <v>573964</v>
      </c>
      <c r="DY23" s="10">
        <v>443595</v>
      </c>
      <c r="DZ23" s="10">
        <v>386950</v>
      </c>
      <c r="EA23" s="10">
        <v>352497</v>
      </c>
      <c r="EB23" s="10">
        <v>539821</v>
      </c>
      <c r="EC23" s="10">
        <v>372414</v>
      </c>
      <c r="ED23" s="10">
        <v>259307</v>
      </c>
      <c r="EE23" s="10">
        <v>242536</v>
      </c>
      <c r="EF23" s="10">
        <v>510634</v>
      </c>
      <c r="EG23" s="10">
        <v>386002</v>
      </c>
      <c r="EH23" s="10">
        <v>473966</v>
      </c>
      <c r="EI23" s="10">
        <v>202505</v>
      </c>
      <c r="EJ23" s="9">
        <v>692977</v>
      </c>
      <c r="FP23" s="3"/>
      <c r="FQ23" s="3"/>
      <c r="FR23" s="3"/>
      <c r="FS23" s="3"/>
    </row>
    <row r="24" spans="1:175" ht="15" customHeight="1">
      <c r="A24" s="13" t="s">
        <v>35</v>
      </c>
      <c r="B24" s="12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798</v>
      </c>
      <c r="AS24" s="11">
        <v>802</v>
      </c>
      <c r="AT24" s="11">
        <v>802</v>
      </c>
      <c r="AU24" s="11">
        <v>833</v>
      </c>
      <c r="AV24" s="11">
        <v>815</v>
      </c>
      <c r="AW24" s="11">
        <v>1965</v>
      </c>
      <c r="AX24" s="11">
        <v>1965</v>
      </c>
      <c r="AY24" s="11">
        <v>1990</v>
      </c>
      <c r="AZ24" s="11">
        <v>2010</v>
      </c>
      <c r="BA24" s="11">
        <v>2051</v>
      </c>
      <c r="BB24" s="11">
        <v>2039</v>
      </c>
      <c r="BC24" s="11">
        <v>1987</v>
      </c>
      <c r="BD24" s="11">
        <v>1379</v>
      </c>
      <c r="BE24" s="11">
        <v>1752</v>
      </c>
      <c r="BF24" s="11">
        <v>1613</v>
      </c>
      <c r="BG24" s="11">
        <v>3258</v>
      </c>
      <c r="BH24" s="11">
        <v>2757</v>
      </c>
      <c r="BI24" s="11">
        <v>3135</v>
      </c>
      <c r="BJ24" s="11">
        <v>3117</v>
      </c>
      <c r="BK24" s="11">
        <v>3404</v>
      </c>
      <c r="BL24" s="11">
        <v>-2431</v>
      </c>
      <c r="BM24" s="11">
        <v>-3082</v>
      </c>
      <c r="BN24" s="11">
        <v>-3219</v>
      </c>
      <c r="BO24" s="11">
        <v>-4483</v>
      </c>
      <c r="BP24" s="11">
        <v>9071</v>
      </c>
      <c r="BQ24" s="11">
        <v>15996</v>
      </c>
      <c r="BR24" s="11">
        <v>17593</v>
      </c>
      <c r="BS24" s="11">
        <v>18803</v>
      </c>
      <c r="BT24" s="11">
        <v>20145</v>
      </c>
      <c r="BU24" s="11">
        <v>18629</v>
      </c>
      <c r="BV24" s="11">
        <v>17152</v>
      </c>
      <c r="BW24" s="11">
        <v>17542</v>
      </c>
      <c r="BX24" s="10">
        <v>25401</v>
      </c>
      <c r="BY24" s="10">
        <v>28525</v>
      </c>
      <c r="BZ24" s="10">
        <v>15254</v>
      </c>
      <c r="CA24" s="10">
        <v>22616</v>
      </c>
      <c r="CB24" s="10">
        <v>35802</v>
      </c>
      <c r="CC24" s="10">
        <v>56745</v>
      </c>
      <c r="CD24" s="10">
        <v>94126</v>
      </c>
      <c r="CE24" s="10">
        <v>104180</v>
      </c>
      <c r="CF24" s="10">
        <v>104123</v>
      </c>
      <c r="CG24" s="10">
        <v>138290</v>
      </c>
      <c r="CH24" s="10">
        <v>208288</v>
      </c>
      <c r="CI24" s="10">
        <v>233940</v>
      </c>
      <c r="CJ24" s="10">
        <v>238481</v>
      </c>
      <c r="CK24" s="10">
        <v>286805</v>
      </c>
      <c r="CL24" s="10">
        <v>387792</v>
      </c>
      <c r="CM24" s="10">
        <v>406839</v>
      </c>
      <c r="CN24" s="10">
        <v>443276</v>
      </c>
      <c r="CO24" s="10">
        <v>444317</v>
      </c>
      <c r="CP24" s="10">
        <v>503913</v>
      </c>
      <c r="CQ24" s="10">
        <v>579487</v>
      </c>
      <c r="CR24" s="10">
        <v>608139</v>
      </c>
      <c r="CS24" s="10">
        <v>578412</v>
      </c>
      <c r="CT24" s="10">
        <v>594773</v>
      </c>
      <c r="CU24" s="10">
        <v>481219</v>
      </c>
      <c r="CV24" s="10">
        <v>286375</v>
      </c>
      <c r="CW24" s="10">
        <v>252788</v>
      </c>
      <c r="CX24" s="10">
        <v>239157</v>
      </c>
      <c r="CY24" s="10">
        <v>222498</v>
      </c>
      <c r="CZ24" s="10">
        <v>119717</v>
      </c>
      <c r="DA24" s="10">
        <v>83808</v>
      </c>
      <c r="DB24" s="10">
        <v>100401</v>
      </c>
      <c r="DC24" s="10">
        <v>108858</v>
      </c>
      <c r="DD24" s="10">
        <v>32333</v>
      </c>
      <c r="DE24" s="10">
        <v>182854</v>
      </c>
      <c r="DF24" s="10">
        <v>237344</v>
      </c>
      <c r="DG24" s="10">
        <v>234400</v>
      </c>
      <c r="DH24" s="10">
        <v>122195</v>
      </c>
      <c r="DI24" s="10">
        <v>166575</v>
      </c>
      <c r="DJ24" s="10">
        <v>203972</v>
      </c>
      <c r="DK24" s="10">
        <v>180240</v>
      </c>
      <c r="DL24" s="10">
        <v>132042</v>
      </c>
      <c r="DM24" s="10">
        <v>131683</v>
      </c>
      <c r="DN24" s="10">
        <v>99637</v>
      </c>
      <c r="DO24" s="10">
        <v>44804</v>
      </c>
      <c r="DP24" s="10">
        <v>25652</v>
      </c>
      <c r="DQ24" s="10">
        <v>80018</v>
      </c>
      <c r="DR24" s="10">
        <v>135562</v>
      </c>
      <c r="DS24" s="10">
        <v>47373</v>
      </c>
      <c r="DT24" s="10">
        <v>-14897</v>
      </c>
      <c r="DU24" s="10">
        <v>32855</v>
      </c>
      <c r="DV24" s="10">
        <v>-58757</v>
      </c>
      <c r="DW24" s="10">
        <v>-73677</v>
      </c>
      <c r="DX24" s="10">
        <v>65610</v>
      </c>
      <c r="DY24" s="10">
        <v>80920</v>
      </c>
      <c r="DZ24" s="10">
        <v>157530</v>
      </c>
      <c r="EA24" s="10">
        <v>194385</v>
      </c>
      <c r="EB24" s="10">
        <v>260518</v>
      </c>
      <c r="EC24" s="10">
        <v>222887</v>
      </c>
      <c r="ED24" s="10">
        <v>178872</v>
      </c>
      <c r="EE24" s="10">
        <v>137574</v>
      </c>
      <c r="EF24" s="10">
        <v>0</v>
      </c>
      <c r="EG24" s="10">
        <v>-84824</v>
      </c>
      <c r="EH24" s="10">
        <v>-82755</v>
      </c>
      <c r="EI24" s="10">
        <v>-65819</v>
      </c>
      <c r="EJ24" s="9">
        <v>0</v>
      </c>
      <c r="FP24" s="3"/>
      <c r="FQ24" s="3"/>
      <c r="FR24" s="3"/>
      <c r="FS24" s="3"/>
    </row>
    <row r="25" spans="1:175" ht="15" customHeight="1">
      <c r="A25" s="13" t="s">
        <v>34</v>
      </c>
      <c r="B25" s="12">
        <v>572</v>
      </c>
      <c r="C25" s="10">
        <v>601</v>
      </c>
      <c r="D25" s="10">
        <v>1963</v>
      </c>
      <c r="E25" s="10">
        <v>1973</v>
      </c>
      <c r="F25" s="10">
        <v>1756</v>
      </c>
      <c r="G25" s="10">
        <v>1766</v>
      </c>
      <c r="H25" s="10">
        <v>1802</v>
      </c>
      <c r="I25" s="10">
        <v>1864</v>
      </c>
      <c r="J25" s="10">
        <v>1917</v>
      </c>
      <c r="K25" s="10">
        <v>1986</v>
      </c>
      <c r="L25" s="10">
        <v>2047</v>
      </c>
      <c r="M25" s="10">
        <v>2116</v>
      </c>
      <c r="N25" s="10">
        <v>2199</v>
      </c>
      <c r="O25" s="10">
        <v>2279</v>
      </c>
      <c r="P25" s="10">
        <v>2389</v>
      </c>
      <c r="Q25" s="10">
        <v>2724</v>
      </c>
      <c r="R25" s="10">
        <v>3022</v>
      </c>
      <c r="S25" s="10">
        <v>3245</v>
      </c>
      <c r="T25" s="11">
        <v>3571</v>
      </c>
      <c r="U25" s="11">
        <v>3767</v>
      </c>
      <c r="V25" s="11">
        <v>3921</v>
      </c>
      <c r="W25" s="11">
        <v>4086</v>
      </c>
      <c r="X25" s="11">
        <v>3948</v>
      </c>
      <c r="Y25" s="11">
        <v>4190</v>
      </c>
      <c r="Z25" s="11">
        <v>4354</v>
      </c>
      <c r="AA25" s="11">
        <v>4539</v>
      </c>
      <c r="AB25" s="11">
        <v>4288</v>
      </c>
      <c r="AC25" s="11">
        <v>4495</v>
      </c>
      <c r="AD25" s="11">
        <v>4699</v>
      </c>
      <c r="AE25" s="11">
        <v>4947</v>
      </c>
      <c r="AF25" s="11">
        <v>4772</v>
      </c>
      <c r="AG25" s="11">
        <v>5022</v>
      </c>
      <c r="AH25" s="11">
        <v>5264</v>
      </c>
      <c r="AI25" s="11">
        <v>5540</v>
      </c>
      <c r="AJ25" s="11">
        <v>5668</v>
      </c>
      <c r="AK25" s="11">
        <v>6071</v>
      </c>
      <c r="AL25" s="11">
        <v>6426</v>
      </c>
      <c r="AM25" s="11">
        <v>6756</v>
      </c>
      <c r="AN25" s="11">
        <v>6491</v>
      </c>
      <c r="AO25" s="11">
        <v>6844</v>
      </c>
      <c r="AP25" s="11">
        <v>7181</v>
      </c>
      <c r="AQ25" s="11">
        <v>7541</v>
      </c>
      <c r="AR25" s="11">
        <v>7301</v>
      </c>
      <c r="AS25" s="11">
        <v>7702</v>
      </c>
      <c r="AT25" s="11">
        <v>7938</v>
      </c>
      <c r="AU25" s="11">
        <v>8246</v>
      </c>
      <c r="AV25" s="11">
        <v>8186</v>
      </c>
      <c r="AW25" s="11">
        <v>8728</v>
      </c>
      <c r="AX25" s="11">
        <v>8682</v>
      </c>
      <c r="AY25" s="11">
        <v>9772</v>
      </c>
      <c r="AZ25" s="11">
        <v>9812</v>
      </c>
      <c r="BA25" s="11">
        <v>10835</v>
      </c>
      <c r="BB25" s="11">
        <v>11899</v>
      </c>
      <c r="BC25" s="11">
        <v>12645</v>
      </c>
      <c r="BD25" s="11">
        <v>13703</v>
      </c>
      <c r="BE25" s="11">
        <v>15900</v>
      </c>
      <c r="BF25" s="11">
        <v>18220</v>
      </c>
      <c r="BG25" s="11">
        <v>19650</v>
      </c>
      <c r="BH25" s="11">
        <v>22997</v>
      </c>
      <c r="BI25" s="11">
        <v>26933</v>
      </c>
      <c r="BJ25" s="11">
        <v>26341</v>
      </c>
      <c r="BK25" s="11">
        <v>28509</v>
      </c>
      <c r="BL25" s="11">
        <v>29714</v>
      </c>
      <c r="BM25" s="11">
        <v>29714</v>
      </c>
      <c r="BN25" s="11">
        <v>26211</v>
      </c>
      <c r="BO25" s="11">
        <v>26211</v>
      </c>
      <c r="BP25" s="11">
        <v>36603</v>
      </c>
      <c r="BQ25" s="11">
        <v>36594</v>
      </c>
      <c r="BR25" s="11">
        <v>30791</v>
      </c>
      <c r="BS25" s="11">
        <v>30790</v>
      </c>
      <c r="BT25" s="11">
        <v>43862</v>
      </c>
      <c r="BU25" s="11">
        <v>43862</v>
      </c>
      <c r="BV25" s="11">
        <v>34159</v>
      </c>
      <c r="BW25" s="11">
        <v>34160</v>
      </c>
      <c r="BX25" s="10">
        <v>34182</v>
      </c>
      <c r="BY25" s="10">
        <v>101932</v>
      </c>
      <c r="BZ25" s="10">
        <v>99039</v>
      </c>
      <c r="CA25" s="10">
        <v>99040</v>
      </c>
      <c r="CB25" s="10">
        <v>100995</v>
      </c>
      <c r="CC25" s="10">
        <v>102292</v>
      </c>
      <c r="CD25" s="10">
        <v>102462</v>
      </c>
      <c r="CE25" s="10">
        <v>102107</v>
      </c>
      <c r="CF25" s="10">
        <v>106118</v>
      </c>
      <c r="CG25" s="10">
        <v>105910</v>
      </c>
      <c r="CH25" s="10">
        <v>92954</v>
      </c>
      <c r="CI25" s="10">
        <v>93129</v>
      </c>
      <c r="CJ25" s="10">
        <v>110024</v>
      </c>
      <c r="CK25" s="10">
        <v>110089</v>
      </c>
      <c r="CL25" s="10">
        <v>103061</v>
      </c>
      <c r="CM25" s="10">
        <v>102481</v>
      </c>
      <c r="CN25" s="10">
        <v>144647</v>
      </c>
      <c r="CO25" s="10">
        <v>144544</v>
      </c>
      <c r="CP25" s="10">
        <v>142953</v>
      </c>
      <c r="CQ25" s="10">
        <v>141061</v>
      </c>
      <c r="CR25" s="10">
        <v>107251</v>
      </c>
      <c r="CS25" s="10">
        <v>106270</v>
      </c>
      <c r="CT25" s="10">
        <v>103337</v>
      </c>
      <c r="CU25" s="10">
        <v>100935</v>
      </c>
      <c r="CV25" s="10">
        <v>263735</v>
      </c>
      <c r="CW25" s="10">
        <v>263752</v>
      </c>
      <c r="CX25" s="10">
        <v>262649</v>
      </c>
      <c r="CY25" s="10">
        <v>255175</v>
      </c>
      <c r="CZ25" s="10">
        <v>398038</v>
      </c>
      <c r="DA25" s="10">
        <v>398093</v>
      </c>
      <c r="DB25" s="10">
        <v>398941</v>
      </c>
      <c r="DC25" s="10">
        <v>382592</v>
      </c>
      <c r="DD25" s="10">
        <v>395437</v>
      </c>
      <c r="DE25" s="10">
        <v>395713</v>
      </c>
      <c r="DF25" s="10">
        <v>428659</v>
      </c>
      <c r="DG25" s="10">
        <v>427906</v>
      </c>
      <c r="DH25" s="10">
        <v>482034</v>
      </c>
      <c r="DI25" s="10">
        <v>482969</v>
      </c>
      <c r="DJ25" s="10">
        <v>483078</v>
      </c>
      <c r="DK25" s="10">
        <v>481276</v>
      </c>
      <c r="DL25" s="10">
        <v>474902</v>
      </c>
      <c r="DM25" s="10">
        <v>474679</v>
      </c>
      <c r="DN25" s="10">
        <v>473779</v>
      </c>
      <c r="DO25" s="10">
        <v>473491</v>
      </c>
      <c r="DP25" s="10">
        <v>385565</v>
      </c>
      <c r="DQ25" s="10">
        <v>386167</v>
      </c>
      <c r="DR25" s="10">
        <v>385668</v>
      </c>
      <c r="DS25" s="10">
        <v>385112</v>
      </c>
      <c r="DT25" s="10">
        <v>267266</v>
      </c>
      <c r="DU25" s="10">
        <v>266265</v>
      </c>
      <c r="DV25" s="10">
        <v>264793</v>
      </c>
      <c r="DW25" s="10">
        <v>264903</v>
      </c>
      <c r="DX25" s="10">
        <v>184018</v>
      </c>
      <c r="DY25" s="10">
        <v>184433</v>
      </c>
      <c r="DZ25" s="10">
        <v>185270</v>
      </c>
      <c r="EA25" s="10">
        <v>309811</v>
      </c>
      <c r="EB25" s="10">
        <v>493841</v>
      </c>
      <c r="EC25" s="10">
        <v>493927</v>
      </c>
      <c r="ED25" s="10">
        <v>493421</v>
      </c>
      <c r="EE25" s="10">
        <v>493236</v>
      </c>
      <c r="EF25" s="10">
        <v>446731</v>
      </c>
      <c r="EG25" s="10">
        <v>389974</v>
      </c>
      <c r="EH25" s="10">
        <v>400404</v>
      </c>
      <c r="EI25" s="10">
        <v>387844</v>
      </c>
      <c r="EJ25" s="9">
        <v>303738</v>
      </c>
      <c r="FP25" s="3"/>
      <c r="FQ25" s="3"/>
      <c r="FR25" s="3"/>
      <c r="FS25" s="3"/>
    </row>
    <row r="26" spans="1:175" ht="15" customHeight="1">
      <c r="A26" s="13" t="s">
        <v>33</v>
      </c>
      <c r="B26" s="12">
        <v>226</v>
      </c>
      <c r="C26" s="10">
        <v>123</v>
      </c>
      <c r="D26" s="10">
        <v>297</v>
      </c>
      <c r="E26" s="10">
        <v>318</v>
      </c>
      <c r="F26" s="10">
        <v>337</v>
      </c>
      <c r="G26" s="10">
        <v>153</v>
      </c>
      <c r="H26" s="10">
        <v>-141</v>
      </c>
      <c r="I26" s="10">
        <v>-373</v>
      </c>
      <c r="J26" s="10">
        <v>-365</v>
      </c>
      <c r="K26" s="10">
        <v>-329</v>
      </c>
      <c r="L26" s="10">
        <v>-149</v>
      </c>
      <c r="M26" s="10">
        <v>-532</v>
      </c>
      <c r="N26" s="10">
        <v>-440</v>
      </c>
      <c r="O26" s="10">
        <v>-508</v>
      </c>
      <c r="P26" s="10">
        <v>-278</v>
      </c>
      <c r="Q26" s="10">
        <v>730</v>
      </c>
      <c r="R26" s="10">
        <v>421</v>
      </c>
      <c r="S26" s="10">
        <v>429</v>
      </c>
      <c r="T26" s="11">
        <v>347</v>
      </c>
      <c r="U26" s="11">
        <v>107</v>
      </c>
      <c r="V26" s="11">
        <v>171</v>
      </c>
      <c r="W26" s="11">
        <v>169</v>
      </c>
      <c r="X26" s="11">
        <v>362</v>
      </c>
      <c r="Y26" s="11">
        <v>187</v>
      </c>
      <c r="Z26" s="11">
        <v>238</v>
      </c>
      <c r="AA26" s="11">
        <v>-124</v>
      </c>
      <c r="AB26" s="11">
        <v>308</v>
      </c>
      <c r="AC26" s="11">
        <v>108</v>
      </c>
      <c r="AD26" s="11">
        <v>121</v>
      </c>
      <c r="AE26" s="11">
        <v>-92</v>
      </c>
      <c r="AF26" s="11">
        <v>314</v>
      </c>
      <c r="AG26" s="11">
        <v>68</v>
      </c>
      <c r="AH26" s="11">
        <v>82</v>
      </c>
      <c r="AI26" s="11">
        <v>-84</v>
      </c>
      <c r="AJ26" s="11">
        <v>390</v>
      </c>
      <c r="AK26" s="11">
        <v>-407</v>
      </c>
      <c r="AL26" s="11">
        <v>-380</v>
      </c>
      <c r="AM26" s="11">
        <v>-602</v>
      </c>
      <c r="AN26" s="11">
        <v>327</v>
      </c>
      <c r="AO26" s="11">
        <v>-309</v>
      </c>
      <c r="AP26" s="11">
        <v>38</v>
      </c>
      <c r="AQ26" s="11">
        <v>-600</v>
      </c>
      <c r="AR26" s="11">
        <v>416</v>
      </c>
      <c r="AS26" s="11">
        <v>-394</v>
      </c>
      <c r="AT26" s="11">
        <v>-500</v>
      </c>
      <c r="AU26" s="11">
        <v>-545</v>
      </c>
      <c r="AV26" s="11">
        <v>410</v>
      </c>
      <c r="AW26" s="11">
        <v>-452</v>
      </c>
      <c r="AX26" s="11">
        <v>128</v>
      </c>
      <c r="AY26" s="11">
        <v>1368</v>
      </c>
      <c r="AZ26" s="11">
        <v>579</v>
      </c>
      <c r="BA26" s="11">
        <v>-231</v>
      </c>
      <c r="BB26" s="11">
        <v>31</v>
      </c>
      <c r="BC26" s="11">
        <v>374</v>
      </c>
      <c r="BD26" s="11">
        <v>1141</v>
      </c>
      <c r="BE26" s="11">
        <v>-365</v>
      </c>
      <c r="BF26" s="11">
        <v>7205</v>
      </c>
      <c r="BG26" s="11">
        <v>4890</v>
      </c>
      <c r="BH26" s="11">
        <v>-698</v>
      </c>
      <c r="BI26" s="11">
        <v>-1124</v>
      </c>
      <c r="BJ26" s="11">
        <v>-3566</v>
      </c>
      <c r="BK26" s="11">
        <v>-3708</v>
      </c>
      <c r="BL26" s="11">
        <v>2186</v>
      </c>
      <c r="BM26" s="11">
        <v>3494</v>
      </c>
      <c r="BN26" s="11">
        <v>4810</v>
      </c>
      <c r="BO26" s="11">
        <v>14085</v>
      </c>
      <c r="BP26" s="11">
        <v>3466</v>
      </c>
      <c r="BQ26" s="11">
        <v>2178</v>
      </c>
      <c r="BR26" s="11">
        <v>4269</v>
      </c>
      <c r="BS26" s="11">
        <v>5111</v>
      </c>
      <c r="BT26" s="11">
        <v>-7274</v>
      </c>
      <c r="BU26" s="11">
        <v>-2849</v>
      </c>
      <c r="BV26" s="11">
        <v>-2165</v>
      </c>
      <c r="BW26" s="11">
        <v>-1746</v>
      </c>
      <c r="BX26" s="10">
        <v>11987</v>
      </c>
      <c r="BY26" s="10">
        <v>22113</v>
      </c>
      <c r="BZ26" s="10">
        <v>13829</v>
      </c>
      <c r="CA26" s="10">
        <v>9035</v>
      </c>
      <c r="CB26" s="10">
        <v>4965</v>
      </c>
      <c r="CC26" s="10">
        <v>5855</v>
      </c>
      <c r="CD26" s="10">
        <v>-3946</v>
      </c>
      <c r="CE26" s="10">
        <v>-8627</v>
      </c>
      <c r="CF26" s="10">
        <v>-21565</v>
      </c>
      <c r="CG26" s="10">
        <v>-4139</v>
      </c>
      <c r="CH26" s="10">
        <v>-4738</v>
      </c>
      <c r="CI26" s="10">
        <v>-9502</v>
      </c>
      <c r="CJ26" s="10">
        <v>-12635</v>
      </c>
      <c r="CK26" s="10">
        <v>-7271</v>
      </c>
      <c r="CL26" s="10">
        <v>-32819</v>
      </c>
      <c r="CM26" s="10">
        <v>11121</v>
      </c>
      <c r="CN26" s="10">
        <v>-1257</v>
      </c>
      <c r="CO26" s="10">
        <v>44879</v>
      </c>
      <c r="CP26" s="10">
        <v>73084</v>
      </c>
      <c r="CQ26" s="10">
        <v>86422</v>
      </c>
      <c r="CR26" s="10">
        <v>108331</v>
      </c>
      <c r="CS26" s="10">
        <v>130683</v>
      </c>
      <c r="CT26" s="10">
        <v>88533</v>
      </c>
      <c r="CU26" s="10">
        <v>185925</v>
      </c>
      <c r="CV26" s="10">
        <v>179738</v>
      </c>
      <c r="CW26" s="10">
        <v>86116</v>
      </c>
      <c r="CX26" s="10">
        <v>90669</v>
      </c>
      <c r="CY26" s="10">
        <v>152450</v>
      </c>
      <c r="CZ26" s="10">
        <v>45835</v>
      </c>
      <c r="DA26" s="10">
        <v>16572</v>
      </c>
      <c r="DB26" s="10">
        <v>-2829</v>
      </c>
      <c r="DC26" s="10">
        <v>55147</v>
      </c>
      <c r="DD26" s="10">
        <v>-8998</v>
      </c>
      <c r="DE26" s="10">
        <v>-51335</v>
      </c>
      <c r="DF26" s="10">
        <v>-93662</v>
      </c>
      <c r="DG26" s="10">
        <v>1647</v>
      </c>
      <c r="DH26" s="10">
        <v>-9510</v>
      </c>
      <c r="DI26" s="10">
        <v>-44033</v>
      </c>
      <c r="DJ26" s="10">
        <v>-72906</v>
      </c>
      <c r="DK26" s="10">
        <v>-18074</v>
      </c>
      <c r="DL26" s="10">
        <v>-33310</v>
      </c>
      <c r="DM26" s="10">
        <v>-86345</v>
      </c>
      <c r="DN26" s="10">
        <v>-103332</v>
      </c>
      <c r="DO26" s="10">
        <v>-58331</v>
      </c>
      <c r="DP26" s="10">
        <v>-15652</v>
      </c>
      <c r="DQ26" s="10">
        <v>78179</v>
      </c>
      <c r="DR26" s="10">
        <v>51002</v>
      </c>
      <c r="DS26" s="10">
        <v>7032</v>
      </c>
      <c r="DT26" s="10">
        <v>183335</v>
      </c>
      <c r="DU26" s="10">
        <v>105737</v>
      </c>
      <c r="DV26" s="10">
        <v>-10281</v>
      </c>
      <c r="DW26" s="10">
        <v>-72317</v>
      </c>
      <c r="DX26" s="10">
        <v>-42643</v>
      </c>
      <c r="DY26" s="10">
        <v>17268</v>
      </c>
      <c r="DZ26" s="10">
        <v>133743</v>
      </c>
      <c r="EA26" s="10">
        <v>132261</v>
      </c>
      <c r="EB26" s="10">
        <v>-32738</v>
      </c>
      <c r="EC26" s="10">
        <v>31295</v>
      </c>
      <c r="ED26" s="10">
        <v>-157</v>
      </c>
      <c r="EE26" s="10">
        <v>-72419</v>
      </c>
      <c r="EF26" s="10">
        <v>107941</v>
      </c>
      <c r="EG26" s="10">
        <v>85152</v>
      </c>
      <c r="EH26" s="10">
        <v>44620</v>
      </c>
      <c r="EI26" s="10">
        <v>18314</v>
      </c>
      <c r="EJ26" s="9">
        <v>-84</v>
      </c>
      <c r="FP26" s="3"/>
      <c r="FQ26" s="3"/>
      <c r="FR26" s="3"/>
      <c r="FS26" s="3"/>
    </row>
    <row r="27" spans="1:175" ht="15" customHeight="1" thickBot="1">
      <c r="A27" s="8" t="s">
        <v>32</v>
      </c>
      <c r="B27" s="7">
        <v>17801</v>
      </c>
      <c r="C27" s="5">
        <v>14516</v>
      </c>
      <c r="D27" s="5">
        <v>14564</v>
      </c>
      <c r="E27" s="5">
        <v>15735</v>
      </c>
      <c r="F27" s="5">
        <v>18197</v>
      </c>
      <c r="G27" s="5">
        <v>19045</v>
      </c>
      <c r="H27" s="5">
        <v>20293</v>
      </c>
      <c r="I27" s="5">
        <v>21596</v>
      </c>
      <c r="J27" s="5">
        <v>22057</v>
      </c>
      <c r="K27" s="5">
        <v>23140</v>
      </c>
      <c r="L27" s="5">
        <v>23839</v>
      </c>
      <c r="M27" s="5">
        <v>24761</v>
      </c>
      <c r="N27" s="5">
        <v>25477</v>
      </c>
      <c r="O27" s="5">
        <v>26415</v>
      </c>
      <c r="P27" s="5">
        <v>26358</v>
      </c>
      <c r="Q27" s="5">
        <v>29547</v>
      </c>
      <c r="R27" s="5">
        <v>31423</v>
      </c>
      <c r="S27" s="5">
        <v>34138</v>
      </c>
      <c r="T27" s="6">
        <v>38365</v>
      </c>
      <c r="U27" s="6">
        <v>37395</v>
      </c>
      <c r="V27" s="6">
        <v>37369</v>
      </c>
      <c r="W27" s="6">
        <v>39098</v>
      </c>
      <c r="X27" s="6">
        <v>41271</v>
      </c>
      <c r="Y27" s="6">
        <v>40087</v>
      </c>
      <c r="Z27" s="6">
        <v>40416</v>
      </c>
      <c r="AA27" s="6">
        <v>42185</v>
      </c>
      <c r="AB27" s="6">
        <v>44901</v>
      </c>
      <c r="AC27" s="6">
        <v>42846</v>
      </c>
      <c r="AD27" s="6">
        <v>44020</v>
      </c>
      <c r="AE27" s="6">
        <v>45730</v>
      </c>
      <c r="AF27" s="6">
        <v>48261</v>
      </c>
      <c r="AG27" s="6">
        <v>47645</v>
      </c>
      <c r="AH27" s="6">
        <v>48590</v>
      </c>
      <c r="AI27" s="6">
        <v>50175</v>
      </c>
      <c r="AJ27" s="6">
        <v>52678</v>
      </c>
      <c r="AK27" s="6">
        <v>50388</v>
      </c>
      <c r="AL27" s="6">
        <v>50828</v>
      </c>
      <c r="AM27" s="6">
        <v>54103</v>
      </c>
      <c r="AN27" s="6">
        <v>57212</v>
      </c>
      <c r="AO27" s="6">
        <v>55629</v>
      </c>
      <c r="AP27" s="6">
        <v>56996</v>
      </c>
      <c r="AQ27" s="6">
        <v>61478</v>
      </c>
      <c r="AR27" s="6">
        <v>66427</v>
      </c>
      <c r="AS27" s="6">
        <v>63140</v>
      </c>
      <c r="AT27" s="6">
        <v>64682</v>
      </c>
      <c r="AU27" s="6">
        <v>71154</v>
      </c>
      <c r="AV27" s="6">
        <v>75708</v>
      </c>
      <c r="AW27" s="6">
        <v>78064</v>
      </c>
      <c r="AX27" s="6">
        <v>80867</v>
      </c>
      <c r="AY27" s="6">
        <v>86373</v>
      </c>
      <c r="AZ27" s="6">
        <v>88566</v>
      </c>
      <c r="BA27" s="6">
        <v>85476</v>
      </c>
      <c r="BB27" s="6">
        <v>87626</v>
      </c>
      <c r="BC27" s="6">
        <v>98697</v>
      </c>
      <c r="BD27" s="6">
        <v>114208</v>
      </c>
      <c r="BE27" s="6">
        <v>110902</v>
      </c>
      <c r="BF27" s="6">
        <v>122574</v>
      </c>
      <c r="BG27" s="6">
        <v>138798</v>
      </c>
      <c r="BH27" s="6">
        <v>156313</v>
      </c>
      <c r="BI27" s="6">
        <v>153542</v>
      </c>
      <c r="BJ27" s="6">
        <v>154189</v>
      </c>
      <c r="BK27" s="6">
        <v>156417</v>
      </c>
      <c r="BL27" s="6">
        <v>183062</v>
      </c>
      <c r="BM27" s="6">
        <v>168860</v>
      </c>
      <c r="BN27" s="6">
        <v>159635</v>
      </c>
      <c r="BO27" s="6">
        <v>173494</v>
      </c>
      <c r="BP27" s="6">
        <v>220364</v>
      </c>
      <c r="BQ27" s="6">
        <v>202564</v>
      </c>
      <c r="BR27" s="6">
        <v>198403</v>
      </c>
      <c r="BS27" s="6">
        <v>212368</v>
      </c>
      <c r="BT27" s="6">
        <v>242028</v>
      </c>
      <c r="BU27" s="6">
        <v>222355</v>
      </c>
      <c r="BV27" s="6">
        <v>222703</v>
      </c>
      <c r="BW27" s="6">
        <v>236641</v>
      </c>
      <c r="BX27" s="6">
        <v>327102</v>
      </c>
      <c r="BY27" s="5">
        <v>387229</v>
      </c>
      <c r="BZ27" s="5">
        <v>392113</v>
      </c>
      <c r="CA27" s="5">
        <v>432623</v>
      </c>
      <c r="CB27" s="5">
        <v>506431</v>
      </c>
      <c r="CC27" s="5">
        <v>517375</v>
      </c>
      <c r="CD27" s="5">
        <v>588250</v>
      </c>
      <c r="CE27" s="5">
        <v>612395</v>
      </c>
      <c r="CF27" s="5">
        <v>682981</v>
      </c>
      <c r="CG27" s="5">
        <v>717347</v>
      </c>
      <c r="CH27" s="5">
        <v>783397</v>
      </c>
      <c r="CI27" s="5">
        <v>823789</v>
      </c>
      <c r="CJ27" s="5">
        <v>935023</v>
      </c>
      <c r="CK27" s="5">
        <v>957314</v>
      </c>
      <c r="CL27" s="5">
        <v>1037260</v>
      </c>
      <c r="CM27" s="5">
        <v>1074375</v>
      </c>
      <c r="CN27" s="5">
        <v>1264943</v>
      </c>
      <c r="CO27" s="5">
        <v>1303750</v>
      </c>
      <c r="CP27" s="5">
        <v>1466507</v>
      </c>
      <c r="CQ27" s="5">
        <v>1629544</v>
      </c>
      <c r="CR27" s="5">
        <v>1811039</v>
      </c>
      <c r="CS27" s="5">
        <v>1901608</v>
      </c>
      <c r="CT27" s="5">
        <v>1984160</v>
      </c>
      <c r="CU27" s="5">
        <v>2074744</v>
      </c>
      <c r="CV27" s="5">
        <v>2171980</v>
      </c>
      <c r="CW27" s="5">
        <v>2077746</v>
      </c>
      <c r="CX27" s="5">
        <v>2119063</v>
      </c>
      <c r="CY27" s="5">
        <v>2325845</v>
      </c>
      <c r="CZ27" s="5">
        <v>2262605</v>
      </c>
      <c r="DA27" s="5">
        <v>2321557</v>
      </c>
      <c r="DB27" s="5">
        <v>2333058</v>
      </c>
      <c r="DC27" s="5">
        <v>2560140</v>
      </c>
      <c r="DD27" s="5">
        <v>2349886</v>
      </c>
      <c r="DE27" s="5">
        <v>2496247</v>
      </c>
      <c r="DF27" s="5">
        <v>2543994</v>
      </c>
      <c r="DG27" s="5">
        <v>2662966</v>
      </c>
      <c r="DH27" s="5">
        <v>2652438</v>
      </c>
      <c r="DI27" s="5">
        <v>2853885</v>
      </c>
      <c r="DJ27" s="5">
        <v>3010079</v>
      </c>
      <c r="DK27" s="5">
        <v>3400229</v>
      </c>
      <c r="DL27" s="5">
        <v>3502920</v>
      </c>
      <c r="DM27" s="5">
        <v>3643030</v>
      </c>
      <c r="DN27" s="5">
        <v>3864598</v>
      </c>
      <c r="DO27" s="5">
        <v>3810362</v>
      </c>
      <c r="DP27" s="5">
        <v>3641349</v>
      </c>
      <c r="DQ27" s="5">
        <v>3188711</v>
      </c>
      <c r="DR27" s="5">
        <v>3645828</v>
      </c>
      <c r="DS27" s="5">
        <v>3766814</v>
      </c>
      <c r="DT27" s="5">
        <v>3924650</v>
      </c>
      <c r="DU27" s="5">
        <v>4197311</v>
      </c>
      <c r="DV27" s="5">
        <v>4292599</v>
      </c>
      <c r="DW27" s="5">
        <v>4048014</v>
      </c>
      <c r="DX27" s="5">
        <v>3944011</v>
      </c>
      <c r="DY27" s="5">
        <v>3787936</v>
      </c>
      <c r="DZ27" s="5">
        <v>3958363</v>
      </c>
      <c r="EA27" s="5">
        <v>4098590</v>
      </c>
      <c r="EB27" s="5">
        <v>4316327</v>
      </c>
      <c r="EC27" s="5">
        <v>4127309</v>
      </c>
      <c r="ED27" s="5">
        <v>3913577</v>
      </c>
      <c r="EE27" s="5">
        <v>3873057</v>
      </c>
      <c r="EF27" s="5">
        <v>4169489</v>
      </c>
      <c r="EG27" s="5">
        <v>3739380</v>
      </c>
      <c r="EH27" s="5">
        <v>3870367</v>
      </c>
      <c r="EI27" s="5">
        <v>3591919</v>
      </c>
      <c r="EJ27" s="4">
        <v>4070138</v>
      </c>
      <c r="FP27" s="3"/>
      <c r="FQ27" s="3"/>
      <c r="FR27" s="3"/>
      <c r="FS27" s="3"/>
    </row>
    <row r="28" spans="1:175" ht="15" customHeight="1"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</row>
    <row r="29" spans="1:175" ht="15" customHeight="1"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r="30" spans="1:175" ht="15" customHeight="1">
      <c r="A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</row>
    <row r="31" spans="1:175">
      <c r="A31" s="1" t="s">
        <v>31</v>
      </c>
    </row>
    <row r="32" spans="1:175">
      <c r="A32" s="1" t="s">
        <v>30</v>
      </c>
    </row>
    <row r="33" spans="1:1">
      <c r="A33" s="1" t="s">
        <v>29</v>
      </c>
    </row>
    <row r="34" spans="1:1">
      <c r="A34" s="1" t="s">
        <v>28</v>
      </c>
    </row>
  </sheetData>
  <printOptions horizontalCentered="1" verticalCentered="1"/>
  <pageMargins left="0" right="0" top="0.98425196850393704" bottom="0.98425196850393704" header="0.51181102362204722" footer="0.51181102362204722"/>
  <pageSetup paperSize="9" scale="70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06C0-E5D9-4415-8554-3AD8878DC303}">
  <dimension ref="A1:HF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0" sqref="A10"/>
    </sheetView>
  </sheetViews>
  <sheetFormatPr defaultColWidth="9.1796875" defaultRowHeight="13"/>
  <cols>
    <col min="1" max="1" width="54.26953125" style="31" customWidth="1"/>
    <col min="2" max="75" width="10.7265625" style="31" customWidth="1"/>
    <col min="76" max="76" width="10.7265625" style="30" customWidth="1"/>
    <col min="77" max="174" width="10.7265625" style="31" customWidth="1"/>
    <col min="175" max="256" width="9.1796875" style="31"/>
    <col min="257" max="257" width="54.26953125" style="31" customWidth="1"/>
    <col min="258" max="430" width="10.7265625" style="31" customWidth="1"/>
    <col min="431" max="512" width="9.1796875" style="31"/>
    <col min="513" max="513" width="54.26953125" style="31" customWidth="1"/>
    <col min="514" max="686" width="10.7265625" style="31" customWidth="1"/>
    <col min="687" max="768" width="9.1796875" style="31"/>
    <col min="769" max="769" width="54.26953125" style="31" customWidth="1"/>
    <col min="770" max="942" width="10.7265625" style="31" customWidth="1"/>
    <col min="943" max="1024" width="9.1796875" style="31"/>
    <col min="1025" max="1025" width="54.26953125" style="31" customWidth="1"/>
    <col min="1026" max="1198" width="10.7265625" style="31" customWidth="1"/>
    <col min="1199" max="1280" width="9.1796875" style="31"/>
    <col min="1281" max="1281" width="54.26953125" style="31" customWidth="1"/>
    <col min="1282" max="1454" width="10.7265625" style="31" customWidth="1"/>
    <col min="1455" max="1536" width="9.1796875" style="31"/>
    <col min="1537" max="1537" width="54.26953125" style="31" customWidth="1"/>
    <col min="1538" max="1710" width="10.7265625" style="31" customWidth="1"/>
    <col min="1711" max="1792" width="9.1796875" style="31"/>
    <col min="1793" max="1793" width="54.26953125" style="31" customWidth="1"/>
    <col min="1794" max="1966" width="10.7265625" style="31" customWidth="1"/>
    <col min="1967" max="2048" width="9.1796875" style="31"/>
    <col min="2049" max="2049" width="54.26953125" style="31" customWidth="1"/>
    <col min="2050" max="2222" width="10.7265625" style="31" customWidth="1"/>
    <col min="2223" max="2304" width="9.1796875" style="31"/>
    <col min="2305" max="2305" width="54.26953125" style="31" customWidth="1"/>
    <col min="2306" max="2478" width="10.7265625" style="31" customWidth="1"/>
    <col min="2479" max="2560" width="9.1796875" style="31"/>
    <col min="2561" max="2561" width="54.26953125" style="31" customWidth="1"/>
    <col min="2562" max="2734" width="10.7265625" style="31" customWidth="1"/>
    <col min="2735" max="2816" width="9.1796875" style="31"/>
    <col min="2817" max="2817" width="54.26953125" style="31" customWidth="1"/>
    <col min="2818" max="2990" width="10.7265625" style="31" customWidth="1"/>
    <col min="2991" max="3072" width="9.1796875" style="31"/>
    <col min="3073" max="3073" width="54.26953125" style="31" customWidth="1"/>
    <col min="3074" max="3246" width="10.7265625" style="31" customWidth="1"/>
    <col min="3247" max="3328" width="9.1796875" style="31"/>
    <col min="3329" max="3329" width="54.26953125" style="31" customWidth="1"/>
    <col min="3330" max="3502" width="10.7265625" style="31" customWidth="1"/>
    <col min="3503" max="3584" width="9.1796875" style="31"/>
    <col min="3585" max="3585" width="54.26953125" style="31" customWidth="1"/>
    <col min="3586" max="3758" width="10.7265625" style="31" customWidth="1"/>
    <col min="3759" max="3840" width="9.1796875" style="31"/>
    <col min="3841" max="3841" width="54.26953125" style="31" customWidth="1"/>
    <col min="3842" max="4014" width="10.7265625" style="31" customWidth="1"/>
    <col min="4015" max="4096" width="9.1796875" style="31"/>
    <col min="4097" max="4097" width="54.26953125" style="31" customWidth="1"/>
    <col min="4098" max="4270" width="10.7265625" style="31" customWidth="1"/>
    <col min="4271" max="4352" width="9.1796875" style="31"/>
    <col min="4353" max="4353" width="54.26953125" style="31" customWidth="1"/>
    <col min="4354" max="4526" width="10.7265625" style="31" customWidth="1"/>
    <col min="4527" max="4608" width="9.1796875" style="31"/>
    <col min="4609" max="4609" width="54.26953125" style="31" customWidth="1"/>
    <col min="4610" max="4782" width="10.7265625" style="31" customWidth="1"/>
    <col min="4783" max="4864" width="9.1796875" style="31"/>
    <col min="4865" max="4865" width="54.26953125" style="31" customWidth="1"/>
    <col min="4866" max="5038" width="10.7265625" style="31" customWidth="1"/>
    <col min="5039" max="5120" width="9.1796875" style="31"/>
    <col min="5121" max="5121" width="54.26953125" style="31" customWidth="1"/>
    <col min="5122" max="5294" width="10.7265625" style="31" customWidth="1"/>
    <col min="5295" max="5376" width="9.1796875" style="31"/>
    <col min="5377" max="5377" width="54.26953125" style="31" customWidth="1"/>
    <col min="5378" max="5550" width="10.7265625" style="31" customWidth="1"/>
    <col min="5551" max="5632" width="9.1796875" style="31"/>
    <col min="5633" max="5633" width="54.26953125" style="31" customWidth="1"/>
    <col min="5634" max="5806" width="10.7265625" style="31" customWidth="1"/>
    <col min="5807" max="5888" width="9.1796875" style="31"/>
    <col min="5889" max="5889" width="54.26953125" style="31" customWidth="1"/>
    <col min="5890" max="6062" width="10.7265625" style="31" customWidth="1"/>
    <col min="6063" max="6144" width="9.1796875" style="31"/>
    <col min="6145" max="6145" width="54.26953125" style="31" customWidth="1"/>
    <col min="6146" max="6318" width="10.7265625" style="31" customWidth="1"/>
    <col min="6319" max="6400" width="9.1796875" style="31"/>
    <col min="6401" max="6401" width="54.26953125" style="31" customWidth="1"/>
    <col min="6402" max="6574" width="10.7265625" style="31" customWidth="1"/>
    <col min="6575" max="6656" width="9.1796875" style="31"/>
    <col min="6657" max="6657" width="54.26953125" style="31" customWidth="1"/>
    <col min="6658" max="6830" width="10.7265625" style="31" customWidth="1"/>
    <col min="6831" max="6912" width="9.1796875" style="31"/>
    <col min="6913" max="6913" width="54.26953125" style="31" customWidth="1"/>
    <col min="6914" max="7086" width="10.7265625" style="31" customWidth="1"/>
    <col min="7087" max="7168" width="9.1796875" style="31"/>
    <col min="7169" max="7169" width="54.26953125" style="31" customWidth="1"/>
    <col min="7170" max="7342" width="10.7265625" style="31" customWidth="1"/>
    <col min="7343" max="7424" width="9.1796875" style="31"/>
    <col min="7425" max="7425" width="54.26953125" style="31" customWidth="1"/>
    <col min="7426" max="7598" width="10.7265625" style="31" customWidth="1"/>
    <col min="7599" max="7680" width="9.1796875" style="31"/>
    <col min="7681" max="7681" width="54.26953125" style="31" customWidth="1"/>
    <col min="7682" max="7854" width="10.7265625" style="31" customWidth="1"/>
    <col min="7855" max="7936" width="9.1796875" style="31"/>
    <col min="7937" max="7937" width="54.26953125" style="31" customWidth="1"/>
    <col min="7938" max="8110" width="10.7265625" style="31" customWidth="1"/>
    <col min="8111" max="8192" width="9.1796875" style="31"/>
    <col min="8193" max="8193" width="54.26953125" style="31" customWidth="1"/>
    <col min="8194" max="8366" width="10.7265625" style="31" customWidth="1"/>
    <col min="8367" max="8448" width="9.1796875" style="31"/>
    <col min="8449" max="8449" width="54.26953125" style="31" customWidth="1"/>
    <col min="8450" max="8622" width="10.7265625" style="31" customWidth="1"/>
    <col min="8623" max="8704" width="9.1796875" style="31"/>
    <col min="8705" max="8705" width="54.26953125" style="31" customWidth="1"/>
    <col min="8706" max="8878" width="10.7265625" style="31" customWidth="1"/>
    <col min="8879" max="8960" width="9.1796875" style="31"/>
    <col min="8961" max="8961" width="54.26953125" style="31" customWidth="1"/>
    <col min="8962" max="9134" width="10.7265625" style="31" customWidth="1"/>
    <col min="9135" max="9216" width="9.1796875" style="31"/>
    <col min="9217" max="9217" width="54.26953125" style="31" customWidth="1"/>
    <col min="9218" max="9390" width="10.7265625" style="31" customWidth="1"/>
    <col min="9391" max="9472" width="9.1796875" style="31"/>
    <col min="9473" max="9473" width="54.26953125" style="31" customWidth="1"/>
    <col min="9474" max="9646" width="10.7265625" style="31" customWidth="1"/>
    <col min="9647" max="9728" width="9.1796875" style="31"/>
    <col min="9729" max="9729" width="54.26953125" style="31" customWidth="1"/>
    <col min="9730" max="9902" width="10.7265625" style="31" customWidth="1"/>
    <col min="9903" max="9984" width="9.1796875" style="31"/>
    <col min="9985" max="9985" width="54.26953125" style="31" customWidth="1"/>
    <col min="9986" max="10158" width="10.7265625" style="31" customWidth="1"/>
    <col min="10159" max="10240" width="9.1796875" style="31"/>
    <col min="10241" max="10241" width="54.26953125" style="31" customWidth="1"/>
    <col min="10242" max="10414" width="10.7265625" style="31" customWidth="1"/>
    <col min="10415" max="10496" width="9.1796875" style="31"/>
    <col min="10497" max="10497" width="54.26953125" style="31" customWidth="1"/>
    <col min="10498" max="10670" width="10.7265625" style="31" customWidth="1"/>
    <col min="10671" max="10752" width="9.1796875" style="31"/>
    <col min="10753" max="10753" width="54.26953125" style="31" customWidth="1"/>
    <col min="10754" max="10926" width="10.7265625" style="31" customWidth="1"/>
    <col min="10927" max="11008" width="9.1796875" style="31"/>
    <col min="11009" max="11009" width="54.26953125" style="31" customWidth="1"/>
    <col min="11010" max="11182" width="10.7265625" style="31" customWidth="1"/>
    <col min="11183" max="11264" width="9.1796875" style="31"/>
    <col min="11265" max="11265" width="54.26953125" style="31" customWidth="1"/>
    <col min="11266" max="11438" width="10.7265625" style="31" customWidth="1"/>
    <col min="11439" max="11520" width="9.1796875" style="31"/>
    <col min="11521" max="11521" width="54.26953125" style="31" customWidth="1"/>
    <col min="11522" max="11694" width="10.7265625" style="31" customWidth="1"/>
    <col min="11695" max="11776" width="9.1796875" style="31"/>
    <col min="11777" max="11777" width="54.26953125" style="31" customWidth="1"/>
    <col min="11778" max="11950" width="10.7265625" style="31" customWidth="1"/>
    <col min="11951" max="12032" width="9.1796875" style="31"/>
    <col min="12033" max="12033" width="54.26953125" style="31" customWidth="1"/>
    <col min="12034" max="12206" width="10.7265625" style="31" customWidth="1"/>
    <col min="12207" max="12288" width="9.1796875" style="31"/>
    <col min="12289" max="12289" width="54.26953125" style="31" customWidth="1"/>
    <col min="12290" max="12462" width="10.7265625" style="31" customWidth="1"/>
    <col min="12463" max="12544" width="9.1796875" style="31"/>
    <col min="12545" max="12545" width="54.26953125" style="31" customWidth="1"/>
    <col min="12546" max="12718" width="10.7265625" style="31" customWidth="1"/>
    <col min="12719" max="12800" width="9.1796875" style="31"/>
    <col min="12801" max="12801" width="54.26953125" style="31" customWidth="1"/>
    <col min="12802" max="12974" width="10.7265625" style="31" customWidth="1"/>
    <col min="12975" max="13056" width="9.1796875" style="31"/>
    <col min="13057" max="13057" width="54.26953125" style="31" customWidth="1"/>
    <col min="13058" max="13230" width="10.7265625" style="31" customWidth="1"/>
    <col min="13231" max="13312" width="9.1796875" style="31"/>
    <col min="13313" max="13313" width="54.26953125" style="31" customWidth="1"/>
    <col min="13314" max="13486" width="10.7265625" style="31" customWidth="1"/>
    <col min="13487" max="13568" width="9.1796875" style="31"/>
    <col min="13569" max="13569" width="54.26953125" style="31" customWidth="1"/>
    <col min="13570" max="13742" width="10.7265625" style="31" customWidth="1"/>
    <col min="13743" max="13824" width="9.1796875" style="31"/>
    <col min="13825" max="13825" width="54.26953125" style="31" customWidth="1"/>
    <col min="13826" max="13998" width="10.7265625" style="31" customWidth="1"/>
    <col min="13999" max="14080" width="9.1796875" style="31"/>
    <col min="14081" max="14081" width="54.26953125" style="31" customWidth="1"/>
    <col min="14082" max="14254" width="10.7265625" style="31" customWidth="1"/>
    <col min="14255" max="14336" width="9.1796875" style="31"/>
    <col min="14337" max="14337" width="54.26953125" style="31" customWidth="1"/>
    <col min="14338" max="14510" width="10.7265625" style="31" customWidth="1"/>
    <col min="14511" max="14592" width="9.1796875" style="31"/>
    <col min="14593" max="14593" width="54.26953125" style="31" customWidth="1"/>
    <col min="14594" max="14766" width="10.7265625" style="31" customWidth="1"/>
    <col min="14767" max="14848" width="9.1796875" style="31"/>
    <col min="14849" max="14849" width="54.26953125" style="31" customWidth="1"/>
    <col min="14850" max="15022" width="10.7265625" style="31" customWidth="1"/>
    <col min="15023" max="15104" width="9.1796875" style="31"/>
    <col min="15105" max="15105" width="54.26953125" style="31" customWidth="1"/>
    <col min="15106" max="15278" width="10.7265625" style="31" customWidth="1"/>
    <col min="15279" max="15360" width="9.1796875" style="31"/>
    <col min="15361" max="15361" width="54.26953125" style="31" customWidth="1"/>
    <col min="15362" max="15534" width="10.7265625" style="31" customWidth="1"/>
    <col min="15535" max="15616" width="9.1796875" style="31"/>
    <col min="15617" max="15617" width="54.26953125" style="31" customWidth="1"/>
    <col min="15618" max="15790" width="10.7265625" style="31" customWidth="1"/>
    <col min="15791" max="15872" width="9.1796875" style="31"/>
    <col min="15873" max="15873" width="54.26953125" style="31" customWidth="1"/>
    <col min="15874" max="16046" width="10.7265625" style="31" customWidth="1"/>
    <col min="16047" max="16128" width="9.1796875" style="31"/>
    <col min="16129" max="16129" width="54.26953125" style="31" customWidth="1"/>
    <col min="16130" max="16302" width="10.7265625" style="31" customWidth="1"/>
    <col min="16303" max="16384" width="9.1796875" style="31"/>
  </cols>
  <sheetData>
    <row r="1" spans="1:212">
      <c r="A1" s="29" t="s">
        <v>194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</row>
    <row r="2" spans="1:212" ht="13.5" thickBot="1">
      <c r="A2" s="31" t="s">
        <v>192</v>
      </c>
    </row>
    <row r="3" spans="1:212" ht="25" customHeight="1" thickBot="1">
      <c r="A3" s="32" t="s">
        <v>191</v>
      </c>
      <c r="B3" s="33" t="s">
        <v>179</v>
      </c>
      <c r="C3" s="34" t="s">
        <v>178</v>
      </c>
      <c r="D3" s="34" t="s">
        <v>177</v>
      </c>
      <c r="E3" s="34" t="s">
        <v>176</v>
      </c>
      <c r="F3" s="34" t="s">
        <v>175</v>
      </c>
      <c r="G3" s="34" t="s">
        <v>174</v>
      </c>
      <c r="H3" s="34" t="s">
        <v>173</v>
      </c>
      <c r="I3" s="34" t="s">
        <v>172</v>
      </c>
      <c r="J3" s="34" t="s">
        <v>171</v>
      </c>
      <c r="K3" s="34" t="s">
        <v>170</v>
      </c>
      <c r="L3" s="34" t="s">
        <v>169</v>
      </c>
      <c r="M3" s="34" t="s">
        <v>168</v>
      </c>
      <c r="N3" s="34" t="s">
        <v>167</v>
      </c>
      <c r="O3" s="34" t="s">
        <v>166</v>
      </c>
      <c r="P3" s="34" t="s">
        <v>165</v>
      </c>
      <c r="Q3" s="34" t="s">
        <v>164</v>
      </c>
      <c r="R3" s="34" t="s">
        <v>163</v>
      </c>
      <c r="S3" s="34" t="s">
        <v>162</v>
      </c>
      <c r="T3" s="34" t="s">
        <v>161</v>
      </c>
      <c r="U3" s="34" t="s">
        <v>160</v>
      </c>
      <c r="V3" s="34" t="s">
        <v>159</v>
      </c>
      <c r="W3" s="34" t="s">
        <v>158</v>
      </c>
      <c r="X3" s="34" t="s">
        <v>157</v>
      </c>
      <c r="Y3" s="34" t="s">
        <v>156</v>
      </c>
      <c r="Z3" s="34" t="s">
        <v>155</v>
      </c>
      <c r="AA3" s="34" t="s">
        <v>154</v>
      </c>
      <c r="AB3" s="34" t="s">
        <v>153</v>
      </c>
      <c r="AC3" s="34" t="s">
        <v>152</v>
      </c>
      <c r="AD3" s="34" t="s">
        <v>151</v>
      </c>
      <c r="AE3" s="34" t="s">
        <v>150</v>
      </c>
      <c r="AF3" s="34" t="s">
        <v>149</v>
      </c>
      <c r="AG3" s="34" t="s">
        <v>148</v>
      </c>
      <c r="AH3" s="34" t="s">
        <v>147</v>
      </c>
      <c r="AI3" s="34" t="s">
        <v>146</v>
      </c>
      <c r="AJ3" s="34" t="s">
        <v>145</v>
      </c>
      <c r="AK3" s="34" t="s">
        <v>144</v>
      </c>
      <c r="AL3" s="34" t="s">
        <v>143</v>
      </c>
      <c r="AM3" s="34" t="s">
        <v>142</v>
      </c>
      <c r="AN3" s="34" t="s">
        <v>141</v>
      </c>
      <c r="AO3" s="34" t="s">
        <v>140</v>
      </c>
      <c r="AP3" s="34" t="s">
        <v>139</v>
      </c>
      <c r="AQ3" s="34" t="s">
        <v>138</v>
      </c>
      <c r="AR3" s="34" t="s">
        <v>137</v>
      </c>
      <c r="AS3" s="34" t="s">
        <v>136</v>
      </c>
      <c r="AT3" s="34" t="s">
        <v>135</v>
      </c>
      <c r="AU3" s="34" t="s">
        <v>134</v>
      </c>
      <c r="AV3" s="34" t="s">
        <v>133</v>
      </c>
      <c r="AW3" s="34" t="s">
        <v>132</v>
      </c>
      <c r="AX3" s="34" t="s">
        <v>131</v>
      </c>
      <c r="AY3" s="34" t="s">
        <v>130</v>
      </c>
      <c r="AZ3" s="34" t="s">
        <v>129</v>
      </c>
      <c r="BA3" s="34" t="s">
        <v>128</v>
      </c>
      <c r="BB3" s="34" t="s">
        <v>127</v>
      </c>
      <c r="BC3" s="34" t="s">
        <v>126</v>
      </c>
      <c r="BD3" s="34" t="s">
        <v>125</v>
      </c>
      <c r="BE3" s="34" t="s">
        <v>124</v>
      </c>
      <c r="BF3" s="34" t="s">
        <v>123</v>
      </c>
      <c r="BG3" s="34" t="s">
        <v>122</v>
      </c>
      <c r="BH3" s="34" t="s">
        <v>121</v>
      </c>
      <c r="BI3" s="34" t="s">
        <v>120</v>
      </c>
      <c r="BJ3" s="34" t="s">
        <v>119</v>
      </c>
      <c r="BK3" s="34" t="s">
        <v>118</v>
      </c>
      <c r="BL3" s="34" t="s">
        <v>195</v>
      </c>
      <c r="BM3" s="34" t="s">
        <v>116</v>
      </c>
      <c r="BN3" s="34" t="s">
        <v>115</v>
      </c>
      <c r="BO3" s="34" t="s">
        <v>114</v>
      </c>
      <c r="BP3" s="34" t="s">
        <v>113</v>
      </c>
      <c r="BQ3" s="34" t="s">
        <v>112</v>
      </c>
      <c r="BR3" s="34" t="s">
        <v>111</v>
      </c>
      <c r="BS3" s="34" t="s">
        <v>110</v>
      </c>
      <c r="BT3" s="34" t="s">
        <v>109</v>
      </c>
      <c r="BU3" s="34" t="s">
        <v>108</v>
      </c>
      <c r="BV3" s="35" t="s">
        <v>107</v>
      </c>
      <c r="BW3" s="35" t="s">
        <v>106</v>
      </c>
      <c r="BX3" s="34" t="s">
        <v>105</v>
      </c>
      <c r="BY3" s="35" t="s">
        <v>104</v>
      </c>
      <c r="BZ3" s="35" t="s">
        <v>103</v>
      </c>
      <c r="CA3" s="35" t="s">
        <v>102</v>
      </c>
      <c r="CB3" s="35" t="s">
        <v>101</v>
      </c>
      <c r="CC3" s="35" t="s">
        <v>100</v>
      </c>
      <c r="CD3" s="35" t="s">
        <v>99</v>
      </c>
      <c r="CE3" s="35" t="s">
        <v>98</v>
      </c>
      <c r="CF3" s="35" t="s">
        <v>97</v>
      </c>
      <c r="CG3" s="35" t="s">
        <v>96</v>
      </c>
      <c r="CH3" s="35" t="s">
        <v>95</v>
      </c>
      <c r="CI3" s="35" t="s">
        <v>94</v>
      </c>
      <c r="CJ3" s="35" t="s">
        <v>93</v>
      </c>
      <c r="CK3" s="35" t="s">
        <v>92</v>
      </c>
      <c r="CL3" s="35" t="s">
        <v>91</v>
      </c>
      <c r="CM3" s="35" t="s">
        <v>90</v>
      </c>
      <c r="CN3" s="35" t="s">
        <v>89</v>
      </c>
      <c r="CO3" s="35" t="s">
        <v>88</v>
      </c>
      <c r="CP3" s="35" t="s">
        <v>87</v>
      </c>
      <c r="CQ3" s="35" t="s">
        <v>86</v>
      </c>
      <c r="CR3" s="35" t="s">
        <v>85</v>
      </c>
      <c r="CS3" s="35" t="s">
        <v>84</v>
      </c>
      <c r="CT3" s="35" t="s">
        <v>83</v>
      </c>
      <c r="CU3" s="35" t="s">
        <v>82</v>
      </c>
      <c r="CV3" s="35" t="s">
        <v>81</v>
      </c>
      <c r="CW3" s="35" t="s">
        <v>80</v>
      </c>
      <c r="CX3" s="35" t="s">
        <v>79</v>
      </c>
      <c r="CY3" s="35" t="s">
        <v>78</v>
      </c>
      <c r="CZ3" s="35" t="s">
        <v>77</v>
      </c>
      <c r="DA3" s="35" t="s">
        <v>76</v>
      </c>
      <c r="DB3" s="35" t="s">
        <v>75</v>
      </c>
      <c r="DC3" s="35" t="s">
        <v>74</v>
      </c>
      <c r="DD3" s="35" t="s">
        <v>73</v>
      </c>
      <c r="DE3" s="35" t="s">
        <v>72</v>
      </c>
      <c r="DF3" s="35" t="s">
        <v>71</v>
      </c>
      <c r="DG3" s="35" t="s">
        <v>70</v>
      </c>
      <c r="DH3" s="35" t="s">
        <v>69</v>
      </c>
      <c r="DI3" s="35" t="s">
        <v>68</v>
      </c>
      <c r="DJ3" s="35" t="s">
        <v>67</v>
      </c>
      <c r="DK3" s="35" t="s">
        <v>66</v>
      </c>
      <c r="DL3" s="35" t="s">
        <v>65</v>
      </c>
      <c r="DM3" s="35" t="s">
        <v>64</v>
      </c>
      <c r="DN3" s="35" t="s">
        <v>63</v>
      </c>
      <c r="DO3" s="35" t="s">
        <v>62</v>
      </c>
      <c r="DP3" s="35" t="s">
        <v>61</v>
      </c>
      <c r="DQ3" s="35" t="s">
        <v>60</v>
      </c>
      <c r="DR3" s="35" t="s">
        <v>59</v>
      </c>
      <c r="DS3" s="35" t="s">
        <v>58</v>
      </c>
      <c r="DT3" s="35" t="s">
        <v>57</v>
      </c>
      <c r="DU3" s="35" t="s">
        <v>56</v>
      </c>
      <c r="DV3" s="35" t="s">
        <v>55</v>
      </c>
      <c r="DW3" s="35" t="s">
        <v>54</v>
      </c>
      <c r="DX3" s="35" t="s">
        <v>53</v>
      </c>
      <c r="DY3" s="35" t="s">
        <v>52</v>
      </c>
      <c r="DZ3" s="35" t="s">
        <v>51</v>
      </c>
      <c r="EA3" s="35" t="s">
        <v>50</v>
      </c>
      <c r="EB3" s="35" t="s">
        <v>49</v>
      </c>
      <c r="EC3" s="35" t="s">
        <v>48</v>
      </c>
      <c r="ED3" s="35" t="s">
        <v>47</v>
      </c>
      <c r="EE3" s="35" t="s">
        <v>46</v>
      </c>
      <c r="EF3" s="35" t="s">
        <v>45</v>
      </c>
      <c r="EG3" s="35" t="s">
        <v>44</v>
      </c>
      <c r="EH3" s="35" t="s">
        <v>43</v>
      </c>
      <c r="EI3" s="35" t="s">
        <v>42</v>
      </c>
      <c r="EJ3" s="36" t="s">
        <v>41</v>
      </c>
    </row>
    <row r="4" spans="1:212">
      <c r="A4" s="37"/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40"/>
      <c r="BR4" s="40"/>
      <c r="BS4" s="40"/>
      <c r="BT4" s="40"/>
      <c r="BU4" s="40"/>
      <c r="BV4" s="40"/>
      <c r="BW4" s="40"/>
      <c r="BX4" s="41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42"/>
    </row>
    <row r="5" spans="1:212">
      <c r="A5" s="43" t="s">
        <v>196</v>
      </c>
      <c r="B5" s="44">
        <v>16815</v>
      </c>
      <c r="C5" s="45">
        <v>13603</v>
      </c>
      <c r="D5" s="45">
        <v>13601</v>
      </c>
      <c r="E5" s="45">
        <v>14879</v>
      </c>
      <c r="F5" s="45">
        <v>17213</v>
      </c>
      <c r="G5" s="45">
        <v>17675</v>
      </c>
      <c r="H5" s="45">
        <v>19630</v>
      </c>
      <c r="I5" s="45">
        <v>21086</v>
      </c>
      <c r="J5" s="45">
        <v>21510</v>
      </c>
      <c r="K5" s="45">
        <v>22532</v>
      </c>
      <c r="L5" s="45">
        <v>22646</v>
      </c>
      <c r="M5" s="45">
        <v>22838</v>
      </c>
      <c r="N5" s="45">
        <v>23184</v>
      </c>
      <c r="O5" s="45">
        <v>23850</v>
      </c>
      <c r="P5" s="45">
        <v>21659</v>
      </c>
      <c r="Q5" s="45">
        <v>27504</v>
      </c>
      <c r="R5" s="45">
        <v>29664</v>
      </c>
      <c r="S5" s="45">
        <v>32972</v>
      </c>
      <c r="T5" s="45">
        <v>34977</v>
      </c>
      <c r="U5" s="45">
        <v>34429</v>
      </c>
      <c r="V5" s="45">
        <v>34297</v>
      </c>
      <c r="W5" s="45">
        <v>36089</v>
      </c>
      <c r="X5" s="45">
        <v>38528</v>
      </c>
      <c r="Y5" s="45">
        <v>37808</v>
      </c>
      <c r="Z5" s="45">
        <v>39112</v>
      </c>
      <c r="AA5" s="45">
        <v>41586</v>
      </c>
      <c r="AB5" s="45">
        <v>43591</v>
      </c>
      <c r="AC5" s="45">
        <v>43219</v>
      </c>
      <c r="AD5" s="45">
        <v>44045</v>
      </c>
      <c r="AE5" s="45">
        <v>46410</v>
      </c>
      <c r="AF5" s="45">
        <v>48554</v>
      </c>
      <c r="AG5" s="45">
        <v>48367</v>
      </c>
      <c r="AH5" s="45">
        <v>49778</v>
      </c>
      <c r="AI5" s="45">
        <v>51197</v>
      </c>
      <c r="AJ5" s="45">
        <v>51329</v>
      </c>
      <c r="AK5" s="45">
        <v>49610</v>
      </c>
      <c r="AL5" s="45">
        <v>49394</v>
      </c>
      <c r="AM5" s="45">
        <v>51506</v>
      </c>
      <c r="AN5" s="45">
        <v>53924</v>
      </c>
      <c r="AO5" s="45">
        <v>54372</v>
      </c>
      <c r="AP5" s="45">
        <v>55783</v>
      </c>
      <c r="AQ5" s="45">
        <v>59843</v>
      </c>
      <c r="AR5" s="45">
        <v>62881</v>
      </c>
      <c r="AS5" s="45">
        <v>62115</v>
      </c>
      <c r="AT5" s="45">
        <v>63531</v>
      </c>
      <c r="AU5" s="45">
        <v>69662</v>
      </c>
      <c r="AV5" s="45">
        <v>74045</v>
      </c>
      <c r="AW5" s="45">
        <v>77913</v>
      </c>
      <c r="AX5" s="45">
        <v>79503</v>
      </c>
      <c r="AY5" s="45">
        <v>82836</v>
      </c>
      <c r="AZ5" s="45">
        <v>85473</v>
      </c>
      <c r="BA5" s="45">
        <v>80261</v>
      </c>
      <c r="BB5" s="45">
        <v>76918</v>
      </c>
      <c r="BC5" s="45">
        <v>76455</v>
      </c>
      <c r="BD5" s="45">
        <v>72708</v>
      </c>
      <c r="BE5" s="45">
        <v>65158</v>
      </c>
      <c r="BF5" s="45">
        <v>64880</v>
      </c>
      <c r="BG5" s="45">
        <v>58225</v>
      </c>
      <c r="BH5" s="45">
        <v>45459</v>
      </c>
      <c r="BI5" s="45">
        <v>36335</v>
      </c>
      <c r="BJ5" s="45">
        <v>23958</v>
      </c>
      <c r="BK5" s="45">
        <v>22937</v>
      </c>
      <c r="BL5" s="40">
        <v>11390</v>
      </c>
      <c r="BM5" s="40">
        <v>-5613</v>
      </c>
      <c r="BN5" s="40">
        <v>-19262</v>
      </c>
      <c r="BO5" s="40">
        <v>-25001</v>
      </c>
      <c r="BP5" s="40">
        <v>-36846</v>
      </c>
      <c r="BQ5" s="40">
        <v>-46209</v>
      </c>
      <c r="BR5" s="40">
        <v>-54548</v>
      </c>
      <c r="BS5" s="40">
        <v>-39124</v>
      </c>
      <c r="BT5" s="40">
        <v>-24252</v>
      </c>
      <c r="BU5" s="40">
        <v>-21729</v>
      </c>
      <c r="BV5" s="40">
        <v>-15200</v>
      </c>
      <c r="BW5" s="40">
        <v>13370</v>
      </c>
      <c r="BX5" s="40">
        <v>14099</v>
      </c>
      <c r="BY5" s="39">
        <v>231070</v>
      </c>
      <c r="BZ5" s="39">
        <v>224370</v>
      </c>
      <c r="CA5" s="39">
        <v>283462</v>
      </c>
      <c r="CB5" s="39">
        <v>294243</v>
      </c>
      <c r="CC5" s="39">
        <v>285331</v>
      </c>
      <c r="CD5" s="39">
        <v>336091</v>
      </c>
      <c r="CE5" s="39">
        <v>359145</v>
      </c>
      <c r="CF5" s="39">
        <v>336014</v>
      </c>
      <c r="CG5" s="39">
        <v>342165</v>
      </c>
      <c r="CH5" s="39">
        <v>405627</v>
      </c>
      <c r="CI5" s="39">
        <v>429789</v>
      </c>
      <c r="CJ5" s="39">
        <v>418073</v>
      </c>
      <c r="CK5" s="39">
        <v>415723</v>
      </c>
      <c r="CL5" s="39">
        <v>428186</v>
      </c>
      <c r="CM5" s="39">
        <v>459466</v>
      </c>
      <c r="CN5" s="39">
        <v>483302</v>
      </c>
      <c r="CO5" s="39">
        <v>436938</v>
      </c>
      <c r="CP5" s="39">
        <v>510552</v>
      </c>
      <c r="CQ5" s="39">
        <v>671513</v>
      </c>
      <c r="CR5" s="39">
        <v>664128</v>
      </c>
      <c r="CS5" s="39">
        <v>747856</v>
      </c>
      <c r="CT5" s="39">
        <v>837144</v>
      </c>
      <c r="CU5" s="39">
        <v>899594</v>
      </c>
      <c r="CV5" s="39">
        <v>854720</v>
      </c>
      <c r="CW5" s="39">
        <v>787582</v>
      </c>
      <c r="CX5" s="39">
        <v>796995</v>
      </c>
      <c r="CY5" s="39">
        <v>894642</v>
      </c>
      <c r="CZ5" s="39">
        <v>817435</v>
      </c>
      <c r="DA5" s="39">
        <v>813301</v>
      </c>
      <c r="DB5" s="39">
        <v>892410</v>
      </c>
      <c r="DC5" s="39">
        <v>1142193</v>
      </c>
      <c r="DD5" s="39">
        <v>1047372</v>
      </c>
      <c r="DE5" s="39">
        <v>1166179</v>
      </c>
      <c r="DF5" s="39">
        <v>1412539</v>
      </c>
      <c r="DG5" s="39">
        <v>1591242</v>
      </c>
      <c r="DH5" s="39">
        <v>1663000</v>
      </c>
      <c r="DI5" s="39">
        <v>1770940</v>
      </c>
      <c r="DJ5" s="39">
        <v>1980148</v>
      </c>
      <c r="DK5" s="39">
        <v>2287118</v>
      </c>
      <c r="DL5" s="39">
        <v>2282356</v>
      </c>
      <c r="DM5" s="39">
        <v>2402627</v>
      </c>
      <c r="DN5" s="39">
        <v>2431679</v>
      </c>
      <c r="DO5" s="39">
        <v>2666107</v>
      </c>
      <c r="DP5" s="39">
        <v>2669582</v>
      </c>
      <c r="DQ5" s="39">
        <v>2682151</v>
      </c>
      <c r="DR5" s="39">
        <v>3066018</v>
      </c>
      <c r="DS5" s="39">
        <v>3300325</v>
      </c>
      <c r="DT5" s="39">
        <v>3324441</v>
      </c>
      <c r="DU5" s="39">
        <v>3632513</v>
      </c>
      <c r="DV5" s="39">
        <v>3678580</v>
      </c>
      <c r="DW5" s="39">
        <v>3535146</v>
      </c>
      <c r="DX5" s="39">
        <v>3804862</v>
      </c>
      <c r="DY5" s="39">
        <v>3985846</v>
      </c>
      <c r="DZ5" s="39">
        <v>4025588</v>
      </c>
      <c r="EA5" s="39">
        <v>4701020</v>
      </c>
      <c r="EB5" s="39">
        <v>4793864</v>
      </c>
      <c r="EC5" s="39">
        <v>4547503</v>
      </c>
      <c r="ED5" s="39">
        <v>4378479</v>
      </c>
      <c r="EE5" s="39">
        <v>4335984</v>
      </c>
      <c r="EF5" s="39">
        <v>4387931</v>
      </c>
      <c r="EG5" s="39">
        <v>3921878</v>
      </c>
      <c r="EH5" s="39">
        <v>3833249</v>
      </c>
      <c r="EI5" s="39">
        <v>4083773</v>
      </c>
      <c r="EJ5" s="42">
        <v>3662631</v>
      </c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</row>
    <row r="6" spans="1:212">
      <c r="A6" s="47" t="s">
        <v>197</v>
      </c>
      <c r="B6" s="38">
        <v>16442</v>
      </c>
      <c r="C6" s="39">
        <v>13180</v>
      </c>
      <c r="D6" s="39">
        <v>13234</v>
      </c>
      <c r="E6" s="39">
        <v>14418</v>
      </c>
      <c r="F6" s="39">
        <v>16738</v>
      </c>
      <c r="G6" s="39">
        <v>17233</v>
      </c>
      <c r="H6" s="39">
        <v>19208</v>
      </c>
      <c r="I6" s="39">
        <v>20633</v>
      </c>
      <c r="J6" s="39">
        <v>21067</v>
      </c>
      <c r="K6" s="39">
        <v>22075</v>
      </c>
      <c r="L6" s="39">
        <v>22167</v>
      </c>
      <c r="M6" s="39">
        <v>22362</v>
      </c>
      <c r="N6" s="39">
        <v>22711</v>
      </c>
      <c r="O6" s="39">
        <v>22598</v>
      </c>
      <c r="P6" s="39">
        <v>20211</v>
      </c>
      <c r="Q6" s="39">
        <v>25300</v>
      </c>
      <c r="R6" s="39">
        <v>27162</v>
      </c>
      <c r="S6" s="39">
        <v>30309</v>
      </c>
      <c r="T6" s="39">
        <v>32425</v>
      </c>
      <c r="U6" s="39">
        <v>31865</v>
      </c>
      <c r="V6" s="39">
        <v>31698</v>
      </c>
      <c r="W6" s="39">
        <v>33509</v>
      </c>
      <c r="X6" s="39">
        <v>35911</v>
      </c>
      <c r="Y6" s="39">
        <v>34999</v>
      </c>
      <c r="Z6" s="39">
        <v>36155</v>
      </c>
      <c r="AA6" s="39">
        <v>38504</v>
      </c>
      <c r="AB6" s="39">
        <v>40366</v>
      </c>
      <c r="AC6" s="39">
        <v>39863</v>
      </c>
      <c r="AD6" s="39">
        <v>40709</v>
      </c>
      <c r="AE6" s="39">
        <v>43009</v>
      </c>
      <c r="AF6" s="39">
        <v>45021</v>
      </c>
      <c r="AG6" s="39">
        <v>44799</v>
      </c>
      <c r="AH6" s="39">
        <v>46176</v>
      </c>
      <c r="AI6" s="39">
        <v>47027</v>
      </c>
      <c r="AJ6" s="39">
        <v>47320</v>
      </c>
      <c r="AK6" s="39">
        <v>45493</v>
      </c>
      <c r="AL6" s="39">
        <v>45202</v>
      </c>
      <c r="AM6" s="39">
        <v>47200</v>
      </c>
      <c r="AN6" s="39">
        <v>49464</v>
      </c>
      <c r="AO6" s="39">
        <v>49788</v>
      </c>
      <c r="AP6" s="39">
        <v>51127</v>
      </c>
      <c r="AQ6" s="39">
        <v>55020</v>
      </c>
      <c r="AR6" s="39">
        <v>57895</v>
      </c>
      <c r="AS6" s="39">
        <v>56534</v>
      </c>
      <c r="AT6" s="39">
        <v>57565</v>
      </c>
      <c r="AU6" s="39">
        <v>63081</v>
      </c>
      <c r="AV6" s="39">
        <v>66081</v>
      </c>
      <c r="AW6" s="39">
        <v>69595</v>
      </c>
      <c r="AX6" s="39">
        <v>70843</v>
      </c>
      <c r="AY6" s="39">
        <v>73839</v>
      </c>
      <c r="AZ6" s="39">
        <v>75381</v>
      </c>
      <c r="BA6" s="39">
        <v>70114</v>
      </c>
      <c r="BB6" s="39">
        <v>66627</v>
      </c>
      <c r="BC6" s="39">
        <v>66105</v>
      </c>
      <c r="BD6" s="39">
        <v>61146</v>
      </c>
      <c r="BE6" s="39">
        <v>54582</v>
      </c>
      <c r="BF6" s="39">
        <v>55289</v>
      </c>
      <c r="BG6" s="39">
        <v>49657</v>
      </c>
      <c r="BH6" s="39">
        <v>37906</v>
      </c>
      <c r="BI6" s="39">
        <v>28809</v>
      </c>
      <c r="BJ6" s="39">
        <v>16487</v>
      </c>
      <c r="BK6" s="39">
        <v>15077</v>
      </c>
      <c r="BL6" s="48">
        <v>10395</v>
      </c>
      <c r="BM6" s="48">
        <v>-5720</v>
      </c>
      <c r="BN6" s="48">
        <v>-19062</v>
      </c>
      <c r="BO6" s="48">
        <v>-25420</v>
      </c>
      <c r="BP6" s="48">
        <v>-33441</v>
      </c>
      <c r="BQ6" s="48">
        <v>-43324</v>
      </c>
      <c r="BR6" s="40">
        <v>-51172</v>
      </c>
      <c r="BS6" s="40">
        <v>-35761</v>
      </c>
      <c r="BT6" s="40">
        <v>-18795</v>
      </c>
      <c r="BU6" s="40">
        <v>-15837</v>
      </c>
      <c r="BV6" s="40">
        <v>-7188</v>
      </c>
      <c r="BW6" s="40">
        <v>22562</v>
      </c>
      <c r="BX6" s="40">
        <v>39481</v>
      </c>
      <c r="BY6" s="39">
        <v>257083</v>
      </c>
      <c r="BZ6" s="39">
        <v>249227</v>
      </c>
      <c r="CA6" s="39">
        <v>311112</v>
      </c>
      <c r="CB6" s="39">
        <v>323359</v>
      </c>
      <c r="CC6" s="39">
        <v>320912</v>
      </c>
      <c r="CD6" s="39">
        <v>374887</v>
      </c>
      <c r="CE6" s="39">
        <v>404005</v>
      </c>
      <c r="CF6" s="39">
        <v>380855</v>
      </c>
      <c r="CG6" s="39">
        <v>399265</v>
      </c>
      <c r="CH6" s="39">
        <v>482120</v>
      </c>
      <c r="CI6" s="39">
        <v>519939</v>
      </c>
      <c r="CJ6" s="39">
        <v>517423</v>
      </c>
      <c r="CK6" s="39">
        <v>534267</v>
      </c>
      <c r="CL6" s="39">
        <v>582120</v>
      </c>
      <c r="CM6" s="39">
        <v>634202</v>
      </c>
      <c r="CN6" s="39">
        <v>725164</v>
      </c>
      <c r="CO6" s="39">
        <v>754282</v>
      </c>
      <c r="CP6" s="39">
        <v>903012</v>
      </c>
      <c r="CQ6" s="39">
        <v>1089865</v>
      </c>
      <c r="CR6" s="39">
        <v>1107670</v>
      </c>
      <c r="CS6" s="39">
        <v>1184326</v>
      </c>
      <c r="CT6" s="39">
        <v>1216977</v>
      </c>
      <c r="CU6" s="39">
        <v>1248760</v>
      </c>
      <c r="CV6" s="39">
        <v>1179738</v>
      </c>
      <c r="CW6" s="39">
        <v>1092134</v>
      </c>
      <c r="CX6" s="39">
        <v>1088375</v>
      </c>
      <c r="CY6" s="39">
        <v>1178230</v>
      </c>
      <c r="CZ6" s="39">
        <v>1090791</v>
      </c>
      <c r="DA6" s="39">
        <v>1055720</v>
      </c>
      <c r="DB6" s="39">
        <v>1127399</v>
      </c>
      <c r="DC6" s="39">
        <v>1362821</v>
      </c>
      <c r="DD6" s="39">
        <v>1241465</v>
      </c>
      <c r="DE6" s="39">
        <v>1299947</v>
      </c>
      <c r="DF6" s="39">
        <v>1525103</v>
      </c>
      <c r="DG6" s="39">
        <v>1682804</v>
      </c>
      <c r="DH6" s="39">
        <v>1717820</v>
      </c>
      <c r="DI6" s="39">
        <v>1822559</v>
      </c>
      <c r="DJ6" s="39">
        <v>2010805</v>
      </c>
      <c r="DK6" s="39">
        <v>2316745</v>
      </c>
      <c r="DL6" s="39">
        <v>2307198</v>
      </c>
      <c r="DM6" s="39">
        <v>2397963</v>
      </c>
      <c r="DN6" s="39">
        <v>2404993</v>
      </c>
      <c r="DO6" s="39">
        <v>2634470</v>
      </c>
      <c r="DP6" s="39">
        <v>2625476</v>
      </c>
      <c r="DQ6" s="39">
        <v>2585843</v>
      </c>
      <c r="DR6" s="39">
        <v>2947675</v>
      </c>
      <c r="DS6" s="39">
        <v>3149269</v>
      </c>
      <c r="DT6" s="39">
        <v>3175603</v>
      </c>
      <c r="DU6" s="39">
        <v>3452475</v>
      </c>
      <c r="DV6" s="39">
        <v>3481809</v>
      </c>
      <c r="DW6" s="39">
        <v>3368379</v>
      </c>
      <c r="DX6" s="39">
        <v>3532123</v>
      </c>
      <c r="DY6" s="39">
        <v>3679161</v>
      </c>
      <c r="DZ6" s="39">
        <v>3684458</v>
      </c>
      <c r="EA6" s="39">
        <v>4315865</v>
      </c>
      <c r="EB6" s="39">
        <v>4463587</v>
      </c>
      <c r="EC6" s="39">
        <v>4130342</v>
      </c>
      <c r="ED6" s="39">
        <v>3915403</v>
      </c>
      <c r="EE6" s="39">
        <v>3856296</v>
      </c>
      <c r="EF6" s="39">
        <v>3959181</v>
      </c>
      <c r="EG6" s="39">
        <v>3301567</v>
      </c>
      <c r="EH6" s="39">
        <v>3218913</v>
      </c>
      <c r="EI6" s="39">
        <v>3305604</v>
      </c>
      <c r="EJ6" s="42">
        <v>3018453</v>
      </c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</row>
    <row r="7" spans="1:212">
      <c r="A7" s="47" t="s">
        <v>198</v>
      </c>
      <c r="B7" s="38">
        <v>15628</v>
      </c>
      <c r="C7" s="39">
        <v>12285</v>
      </c>
      <c r="D7" s="39">
        <v>12343</v>
      </c>
      <c r="E7" s="39">
        <v>13371</v>
      </c>
      <c r="F7" s="39">
        <v>15629</v>
      </c>
      <c r="G7" s="39">
        <v>16074</v>
      </c>
      <c r="H7" s="39">
        <v>17542</v>
      </c>
      <c r="I7" s="39">
        <v>18639</v>
      </c>
      <c r="J7" s="39">
        <v>19056</v>
      </c>
      <c r="K7" s="39">
        <v>19701</v>
      </c>
      <c r="L7" s="39">
        <v>19707</v>
      </c>
      <c r="M7" s="39">
        <v>20082</v>
      </c>
      <c r="N7" s="39">
        <v>20638</v>
      </c>
      <c r="O7" s="39">
        <v>20593</v>
      </c>
      <c r="P7" s="39">
        <v>18254</v>
      </c>
      <c r="Q7" s="39">
        <v>22948</v>
      </c>
      <c r="R7" s="39">
        <v>24070</v>
      </c>
      <c r="S7" s="39">
        <v>27129</v>
      </c>
      <c r="T7" s="39">
        <v>28674</v>
      </c>
      <c r="U7" s="39">
        <v>28445</v>
      </c>
      <c r="V7" s="39">
        <v>28461</v>
      </c>
      <c r="W7" s="39">
        <v>29861</v>
      </c>
      <c r="X7" s="39">
        <v>31855</v>
      </c>
      <c r="Y7" s="39">
        <v>31269</v>
      </c>
      <c r="Z7" s="39">
        <v>32053</v>
      </c>
      <c r="AA7" s="39">
        <v>33738</v>
      </c>
      <c r="AB7" s="39">
        <v>35824</v>
      </c>
      <c r="AC7" s="39">
        <v>35140</v>
      </c>
      <c r="AD7" s="39">
        <v>36091</v>
      </c>
      <c r="AE7" s="39">
        <v>37608</v>
      </c>
      <c r="AF7" s="39">
        <v>39290</v>
      </c>
      <c r="AG7" s="39">
        <v>39039</v>
      </c>
      <c r="AH7" s="39">
        <v>39387</v>
      </c>
      <c r="AI7" s="39">
        <v>39978</v>
      </c>
      <c r="AJ7" s="39">
        <v>41310</v>
      </c>
      <c r="AK7" s="39">
        <v>39721</v>
      </c>
      <c r="AL7" s="39">
        <v>39343</v>
      </c>
      <c r="AM7" s="39">
        <v>41283</v>
      </c>
      <c r="AN7" s="39">
        <v>42913</v>
      </c>
      <c r="AO7" s="39">
        <v>43077</v>
      </c>
      <c r="AP7" s="39">
        <v>44385</v>
      </c>
      <c r="AQ7" s="39">
        <v>49236</v>
      </c>
      <c r="AR7" s="39">
        <v>52406</v>
      </c>
      <c r="AS7" s="39">
        <v>51184</v>
      </c>
      <c r="AT7" s="39">
        <v>51778</v>
      </c>
      <c r="AU7" s="39">
        <v>57738</v>
      </c>
      <c r="AV7" s="39">
        <v>60573</v>
      </c>
      <c r="AW7" s="39">
        <v>65204</v>
      </c>
      <c r="AX7" s="39">
        <v>66381</v>
      </c>
      <c r="AY7" s="39">
        <v>69142</v>
      </c>
      <c r="AZ7" s="39">
        <v>71148</v>
      </c>
      <c r="BA7" s="39">
        <v>66532</v>
      </c>
      <c r="BB7" s="39">
        <v>63396</v>
      </c>
      <c r="BC7" s="39">
        <v>61950</v>
      </c>
      <c r="BD7" s="39">
        <v>55466</v>
      </c>
      <c r="BE7" s="39">
        <v>47914</v>
      </c>
      <c r="BF7" s="39">
        <v>49100</v>
      </c>
      <c r="BG7" s="39">
        <v>43672</v>
      </c>
      <c r="BH7" s="39">
        <v>31582</v>
      </c>
      <c r="BI7" s="39">
        <v>21328</v>
      </c>
      <c r="BJ7" s="39">
        <v>10368</v>
      </c>
      <c r="BK7" s="39">
        <v>8136</v>
      </c>
      <c r="BL7" s="48">
        <v>4149</v>
      </c>
      <c r="BM7" s="48">
        <v>-6815</v>
      </c>
      <c r="BN7" s="48">
        <v>-16361</v>
      </c>
      <c r="BO7" s="48">
        <v>-18627</v>
      </c>
      <c r="BP7" s="48">
        <v>-13377</v>
      </c>
      <c r="BQ7" s="48">
        <v>-15097</v>
      </c>
      <c r="BR7" s="40">
        <v>-22560</v>
      </c>
      <c r="BS7" s="40">
        <v>-9077</v>
      </c>
      <c r="BT7" s="40">
        <v>-4926</v>
      </c>
      <c r="BU7" s="40">
        <v>-11366</v>
      </c>
      <c r="BV7" s="40">
        <v>-9177</v>
      </c>
      <c r="BW7" s="40">
        <v>3110</v>
      </c>
      <c r="BX7" s="40">
        <v>18822</v>
      </c>
      <c r="BY7" s="39">
        <v>251600</v>
      </c>
      <c r="BZ7" s="39">
        <v>236774</v>
      </c>
      <c r="CA7" s="39">
        <v>275852</v>
      </c>
      <c r="CB7" s="39">
        <v>282594</v>
      </c>
      <c r="CC7" s="39">
        <v>290773</v>
      </c>
      <c r="CD7" s="39">
        <v>340870</v>
      </c>
      <c r="CE7" s="39">
        <v>363944</v>
      </c>
      <c r="CF7" s="39">
        <v>340443</v>
      </c>
      <c r="CG7" s="39">
        <v>362953</v>
      </c>
      <c r="CH7" s="39">
        <v>432579</v>
      </c>
      <c r="CI7" s="39">
        <v>467945</v>
      </c>
      <c r="CJ7" s="39">
        <v>466914</v>
      </c>
      <c r="CK7" s="39">
        <v>491440</v>
      </c>
      <c r="CL7" s="39">
        <v>510056</v>
      </c>
      <c r="CM7" s="39">
        <v>548286</v>
      </c>
      <c r="CN7" s="39">
        <v>624135</v>
      </c>
      <c r="CO7" s="39">
        <v>655689</v>
      </c>
      <c r="CP7" s="39">
        <v>779496</v>
      </c>
      <c r="CQ7" s="39">
        <v>939198</v>
      </c>
      <c r="CR7" s="39">
        <v>950331</v>
      </c>
      <c r="CS7" s="39">
        <v>1024030</v>
      </c>
      <c r="CT7" s="39">
        <v>1041230</v>
      </c>
      <c r="CU7" s="39">
        <v>1068821</v>
      </c>
      <c r="CV7" s="39">
        <v>1020118</v>
      </c>
      <c r="CW7" s="39">
        <v>955228</v>
      </c>
      <c r="CX7" s="39">
        <v>944342</v>
      </c>
      <c r="CY7" s="39">
        <v>1039500</v>
      </c>
      <c r="CZ7" s="39">
        <v>953537</v>
      </c>
      <c r="DA7" s="39">
        <v>920723</v>
      </c>
      <c r="DB7" s="39">
        <v>969749</v>
      </c>
      <c r="DC7" s="39">
        <v>1187630</v>
      </c>
      <c r="DD7" s="39">
        <v>1096179</v>
      </c>
      <c r="DE7" s="39">
        <v>1182509</v>
      </c>
      <c r="DF7" s="39">
        <v>1389530</v>
      </c>
      <c r="DG7" s="39">
        <v>1503409</v>
      </c>
      <c r="DH7" s="39">
        <v>1514499</v>
      </c>
      <c r="DI7" s="39">
        <v>1663552</v>
      </c>
      <c r="DJ7" s="39">
        <v>1872086</v>
      </c>
      <c r="DK7" s="39">
        <v>2241767</v>
      </c>
      <c r="DL7" s="39">
        <v>2277709</v>
      </c>
      <c r="DM7" s="39">
        <v>2418397</v>
      </c>
      <c r="DN7" s="39">
        <v>2636299</v>
      </c>
      <c r="DO7" s="39">
        <v>2653732</v>
      </c>
      <c r="DP7" s="39">
        <v>2617018</v>
      </c>
      <c r="DQ7" s="39">
        <v>2710293</v>
      </c>
      <c r="DR7" s="39">
        <v>3091324</v>
      </c>
      <c r="DS7" s="39">
        <v>3399158</v>
      </c>
      <c r="DT7" s="39">
        <v>3445817</v>
      </c>
      <c r="DU7" s="39">
        <v>3825814</v>
      </c>
      <c r="DV7" s="39">
        <v>3871120</v>
      </c>
      <c r="DW7" s="39">
        <v>3516078</v>
      </c>
      <c r="DX7" s="39">
        <v>3563046</v>
      </c>
      <c r="DY7" s="39">
        <v>3279911</v>
      </c>
      <c r="DZ7" s="39">
        <v>3473373</v>
      </c>
      <c r="EA7" s="39">
        <v>3653402</v>
      </c>
      <c r="EB7" s="39">
        <v>3700662</v>
      </c>
      <c r="EC7" s="39">
        <v>3522824</v>
      </c>
      <c r="ED7" s="39">
        <v>3126307</v>
      </c>
      <c r="EE7" s="39">
        <v>3295159</v>
      </c>
      <c r="EF7" s="39">
        <v>3273810</v>
      </c>
      <c r="EG7" s="39">
        <v>2918002</v>
      </c>
      <c r="EH7" s="39">
        <v>3115546</v>
      </c>
      <c r="EI7" s="39">
        <v>3063441</v>
      </c>
      <c r="EJ7" s="42">
        <v>3132421</v>
      </c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</row>
    <row r="8" spans="1:212">
      <c r="A8" s="47" t="s">
        <v>199</v>
      </c>
      <c r="B8" s="38">
        <v>814</v>
      </c>
      <c r="C8" s="39">
        <v>895</v>
      </c>
      <c r="D8" s="39">
        <v>891</v>
      </c>
      <c r="E8" s="39">
        <v>1047</v>
      </c>
      <c r="F8" s="39">
        <v>1109</v>
      </c>
      <c r="G8" s="39">
        <v>1159</v>
      </c>
      <c r="H8" s="39">
        <v>1666</v>
      </c>
      <c r="I8" s="39">
        <v>1994</v>
      </c>
      <c r="J8" s="39">
        <v>2011</v>
      </c>
      <c r="K8" s="39">
        <v>2374</v>
      </c>
      <c r="L8" s="39">
        <v>2460</v>
      </c>
      <c r="M8" s="39">
        <v>2280</v>
      </c>
      <c r="N8" s="39">
        <v>2073</v>
      </c>
      <c r="O8" s="39">
        <v>2005</v>
      </c>
      <c r="P8" s="39">
        <v>1957</v>
      </c>
      <c r="Q8" s="39">
        <v>2352</v>
      </c>
      <c r="R8" s="39">
        <v>3092</v>
      </c>
      <c r="S8" s="39">
        <v>3180</v>
      </c>
      <c r="T8" s="39">
        <v>3751</v>
      </c>
      <c r="U8" s="39">
        <v>3420</v>
      </c>
      <c r="V8" s="39">
        <v>3237</v>
      </c>
      <c r="W8" s="39">
        <v>3648</v>
      </c>
      <c r="X8" s="39">
        <v>4056</v>
      </c>
      <c r="Y8" s="39">
        <v>3730</v>
      </c>
      <c r="Z8" s="39">
        <v>4102</v>
      </c>
      <c r="AA8" s="39">
        <v>4766</v>
      </c>
      <c r="AB8" s="39">
        <v>4542</v>
      </c>
      <c r="AC8" s="39">
        <v>4723</v>
      </c>
      <c r="AD8" s="39">
        <v>4618</v>
      </c>
      <c r="AE8" s="39">
        <v>5401</v>
      </c>
      <c r="AF8" s="39">
        <v>5731</v>
      </c>
      <c r="AG8" s="39">
        <v>5760</v>
      </c>
      <c r="AH8" s="39">
        <v>6789</v>
      </c>
      <c r="AI8" s="39">
        <v>7049</v>
      </c>
      <c r="AJ8" s="39">
        <v>6010</v>
      </c>
      <c r="AK8" s="39">
        <v>5772</v>
      </c>
      <c r="AL8" s="39">
        <v>5859</v>
      </c>
      <c r="AM8" s="39">
        <v>5917</v>
      </c>
      <c r="AN8" s="39">
        <v>6551</v>
      </c>
      <c r="AO8" s="39">
        <v>6711</v>
      </c>
      <c r="AP8" s="39">
        <v>6742</v>
      </c>
      <c r="AQ8" s="39">
        <v>5784</v>
      </c>
      <c r="AR8" s="39">
        <v>5489</v>
      </c>
      <c r="AS8" s="39">
        <v>5350</v>
      </c>
      <c r="AT8" s="39">
        <v>5787</v>
      </c>
      <c r="AU8" s="39">
        <v>5343</v>
      </c>
      <c r="AV8" s="39">
        <v>5508</v>
      </c>
      <c r="AW8" s="39">
        <v>4391</v>
      </c>
      <c r="AX8" s="39">
        <v>4462</v>
      </c>
      <c r="AY8" s="39">
        <v>4697</v>
      </c>
      <c r="AZ8" s="39">
        <v>4233</v>
      </c>
      <c r="BA8" s="39">
        <v>3582</v>
      </c>
      <c r="BB8" s="39">
        <v>3231</v>
      </c>
      <c r="BC8" s="39">
        <v>4155</v>
      </c>
      <c r="BD8" s="39">
        <v>5680</v>
      </c>
      <c r="BE8" s="39">
        <v>6668</v>
      </c>
      <c r="BF8" s="39">
        <v>6189</v>
      </c>
      <c r="BG8" s="39">
        <v>5985</v>
      </c>
      <c r="BH8" s="39">
        <v>6324</v>
      </c>
      <c r="BI8" s="39">
        <v>7481</v>
      </c>
      <c r="BJ8" s="39">
        <v>6119</v>
      </c>
      <c r="BK8" s="39">
        <v>6941</v>
      </c>
      <c r="BL8" s="48">
        <v>6246</v>
      </c>
      <c r="BM8" s="48">
        <v>1095</v>
      </c>
      <c r="BN8" s="48">
        <v>-2701</v>
      </c>
      <c r="BO8" s="48">
        <v>-6793</v>
      </c>
      <c r="BP8" s="48">
        <v>-20064</v>
      </c>
      <c r="BQ8" s="48">
        <v>-28227</v>
      </c>
      <c r="BR8" s="40">
        <v>-28612</v>
      </c>
      <c r="BS8" s="40">
        <v>-26684</v>
      </c>
      <c r="BT8" s="40">
        <v>-13869</v>
      </c>
      <c r="BU8" s="40">
        <v>-4471</v>
      </c>
      <c r="BV8" s="40">
        <v>1989</v>
      </c>
      <c r="BW8" s="40">
        <v>19452</v>
      </c>
      <c r="BX8" s="40">
        <v>20659</v>
      </c>
      <c r="BY8" s="39">
        <v>5483</v>
      </c>
      <c r="BZ8" s="39">
        <v>12453</v>
      </c>
      <c r="CA8" s="39">
        <v>35260</v>
      </c>
      <c r="CB8" s="39">
        <v>40765</v>
      </c>
      <c r="CC8" s="39">
        <v>30139</v>
      </c>
      <c r="CD8" s="39">
        <v>34017</v>
      </c>
      <c r="CE8" s="39">
        <v>40061</v>
      </c>
      <c r="CF8" s="39">
        <v>40412</v>
      </c>
      <c r="CG8" s="39">
        <v>36312</v>
      </c>
      <c r="CH8" s="39">
        <v>49541</v>
      </c>
      <c r="CI8" s="39">
        <v>51994</v>
      </c>
      <c r="CJ8" s="39">
        <v>50509</v>
      </c>
      <c r="CK8" s="39">
        <v>42827</v>
      </c>
      <c r="CL8" s="39">
        <v>72064</v>
      </c>
      <c r="CM8" s="39">
        <v>85916</v>
      </c>
      <c r="CN8" s="39">
        <v>101029</v>
      </c>
      <c r="CO8" s="39">
        <v>98593</v>
      </c>
      <c r="CP8" s="39">
        <v>123516</v>
      </c>
      <c r="CQ8" s="39">
        <v>150667</v>
      </c>
      <c r="CR8" s="39">
        <v>157339</v>
      </c>
      <c r="CS8" s="39">
        <v>160296</v>
      </c>
      <c r="CT8" s="39">
        <v>175747</v>
      </c>
      <c r="CU8" s="39">
        <v>179939</v>
      </c>
      <c r="CV8" s="39">
        <v>159620</v>
      </c>
      <c r="CW8" s="39">
        <v>136906</v>
      </c>
      <c r="CX8" s="39">
        <v>144033</v>
      </c>
      <c r="CY8" s="39">
        <v>138730</v>
      </c>
      <c r="CZ8" s="39">
        <v>137254</v>
      </c>
      <c r="DA8" s="39">
        <v>134997</v>
      </c>
      <c r="DB8" s="39">
        <v>157650</v>
      </c>
      <c r="DC8" s="39">
        <v>175191</v>
      </c>
      <c r="DD8" s="39">
        <v>145286</v>
      </c>
      <c r="DE8" s="39">
        <v>117438</v>
      </c>
      <c r="DF8" s="39">
        <v>135573</v>
      </c>
      <c r="DG8" s="39">
        <v>179395</v>
      </c>
      <c r="DH8" s="39">
        <v>203321</v>
      </c>
      <c r="DI8" s="39">
        <v>159007</v>
      </c>
      <c r="DJ8" s="39">
        <v>138719</v>
      </c>
      <c r="DK8" s="39">
        <v>74978</v>
      </c>
      <c r="DL8" s="39">
        <v>29489</v>
      </c>
      <c r="DM8" s="39">
        <v>-20434</v>
      </c>
      <c r="DN8" s="39">
        <v>-231306</v>
      </c>
      <c r="DO8" s="39">
        <v>-19262</v>
      </c>
      <c r="DP8" s="39">
        <v>8458</v>
      </c>
      <c r="DQ8" s="39">
        <v>-124450</v>
      </c>
      <c r="DR8" s="39">
        <v>-143649</v>
      </c>
      <c r="DS8" s="39">
        <v>-249889</v>
      </c>
      <c r="DT8" s="39">
        <v>-270214</v>
      </c>
      <c r="DU8" s="39">
        <v>-373339</v>
      </c>
      <c r="DV8" s="39">
        <v>-389311</v>
      </c>
      <c r="DW8" s="39">
        <v>-147699</v>
      </c>
      <c r="DX8" s="39">
        <v>-30923</v>
      </c>
      <c r="DY8" s="39">
        <v>399250</v>
      </c>
      <c r="DZ8" s="39">
        <v>211085</v>
      </c>
      <c r="EA8" s="39">
        <v>662463</v>
      </c>
      <c r="EB8" s="39">
        <v>762925</v>
      </c>
      <c r="EC8" s="39">
        <v>607518</v>
      </c>
      <c r="ED8" s="39">
        <v>789096</v>
      </c>
      <c r="EE8" s="39">
        <v>561137</v>
      </c>
      <c r="EF8" s="39">
        <v>685371</v>
      </c>
      <c r="EG8" s="39">
        <v>383565</v>
      </c>
      <c r="EH8" s="39">
        <v>103367</v>
      </c>
      <c r="EI8" s="39">
        <v>242163</v>
      </c>
      <c r="EJ8" s="42">
        <v>-113968</v>
      </c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</row>
    <row r="9" spans="1:212">
      <c r="A9" s="47" t="s">
        <v>200</v>
      </c>
      <c r="B9" s="38">
        <v>373</v>
      </c>
      <c r="C9" s="39">
        <v>423</v>
      </c>
      <c r="D9" s="39">
        <v>367</v>
      </c>
      <c r="E9" s="39">
        <v>461</v>
      </c>
      <c r="F9" s="39">
        <v>475</v>
      </c>
      <c r="G9" s="39">
        <v>442</v>
      </c>
      <c r="H9" s="39">
        <v>422</v>
      </c>
      <c r="I9" s="39">
        <v>453</v>
      </c>
      <c r="J9" s="39">
        <v>443</v>
      </c>
      <c r="K9" s="39">
        <v>457</v>
      </c>
      <c r="L9" s="39">
        <v>479</v>
      </c>
      <c r="M9" s="39">
        <v>476</v>
      </c>
      <c r="N9" s="39">
        <v>473</v>
      </c>
      <c r="O9" s="39">
        <v>1252</v>
      </c>
      <c r="P9" s="39">
        <v>1448</v>
      </c>
      <c r="Q9" s="39">
        <v>2204</v>
      </c>
      <c r="R9" s="39">
        <v>2502</v>
      </c>
      <c r="S9" s="39">
        <v>2663</v>
      </c>
      <c r="T9" s="39">
        <v>2552</v>
      </c>
      <c r="U9" s="39">
        <v>2564</v>
      </c>
      <c r="V9" s="39">
        <v>2599</v>
      </c>
      <c r="W9" s="39">
        <v>2580</v>
      </c>
      <c r="X9" s="39">
        <v>2617</v>
      </c>
      <c r="Y9" s="39">
        <v>2809</v>
      </c>
      <c r="Z9" s="39">
        <v>2957</v>
      </c>
      <c r="AA9" s="39">
        <v>3082</v>
      </c>
      <c r="AB9" s="39">
        <v>3225</v>
      </c>
      <c r="AC9" s="39">
        <v>3356</v>
      </c>
      <c r="AD9" s="39">
        <v>3336</v>
      </c>
      <c r="AE9" s="39">
        <v>3401</v>
      </c>
      <c r="AF9" s="39">
        <v>3533</v>
      </c>
      <c r="AG9" s="39">
        <v>3568</v>
      </c>
      <c r="AH9" s="39">
        <v>3602</v>
      </c>
      <c r="AI9" s="39">
        <v>4170</v>
      </c>
      <c r="AJ9" s="39">
        <v>4009</v>
      </c>
      <c r="AK9" s="39">
        <v>4117</v>
      </c>
      <c r="AL9" s="39">
        <v>4192</v>
      </c>
      <c r="AM9" s="39">
        <v>4306</v>
      </c>
      <c r="AN9" s="39">
        <v>4460</v>
      </c>
      <c r="AO9" s="39">
        <v>4584</v>
      </c>
      <c r="AP9" s="39">
        <v>4656</v>
      </c>
      <c r="AQ9" s="39">
        <v>4823</v>
      </c>
      <c r="AR9" s="39">
        <v>4986</v>
      </c>
      <c r="AS9" s="39">
        <v>5581</v>
      </c>
      <c r="AT9" s="39">
        <v>5966</v>
      </c>
      <c r="AU9" s="39">
        <v>6581</v>
      </c>
      <c r="AV9" s="39">
        <v>7964</v>
      </c>
      <c r="AW9" s="39">
        <v>8318</v>
      </c>
      <c r="AX9" s="39">
        <v>8660</v>
      </c>
      <c r="AY9" s="39">
        <v>8997</v>
      </c>
      <c r="AZ9" s="39">
        <v>10092</v>
      </c>
      <c r="BA9" s="39">
        <v>10147</v>
      </c>
      <c r="BB9" s="39">
        <v>10291</v>
      </c>
      <c r="BC9" s="39">
        <v>10350</v>
      </c>
      <c r="BD9" s="39">
        <v>11562</v>
      </c>
      <c r="BE9" s="39">
        <v>10576</v>
      </c>
      <c r="BF9" s="39">
        <v>9591</v>
      </c>
      <c r="BG9" s="39">
        <v>8568</v>
      </c>
      <c r="BH9" s="39">
        <v>7553</v>
      </c>
      <c r="BI9" s="39">
        <v>7526</v>
      </c>
      <c r="BJ9" s="39">
        <v>7471</v>
      </c>
      <c r="BK9" s="39">
        <v>7860</v>
      </c>
      <c r="BL9" s="48">
        <v>995</v>
      </c>
      <c r="BM9" s="48">
        <v>107</v>
      </c>
      <c r="BN9" s="48">
        <v>-200</v>
      </c>
      <c r="BO9" s="48">
        <v>419</v>
      </c>
      <c r="BP9" s="48">
        <v>-3405</v>
      </c>
      <c r="BQ9" s="48">
        <v>-2885</v>
      </c>
      <c r="BR9" s="40">
        <v>-3376</v>
      </c>
      <c r="BS9" s="40">
        <v>-3363</v>
      </c>
      <c r="BT9" s="40">
        <v>-5457</v>
      </c>
      <c r="BU9" s="40">
        <v>-5892</v>
      </c>
      <c r="BV9" s="40">
        <v>-8012</v>
      </c>
      <c r="BW9" s="40">
        <v>-9192</v>
      </c>
      <c r="BX9" s="40">
        <v>-25382</v>
      </c>
      <c r="BY9" s="39">
        <v>-26013</v>
      </c>
      <c r="BZ9" s="39">
        <v>-24857</v>
      </c>
      <c r="CA9" s="39">
        <v>-27650</v>
      </c>
      <c r="CB9" s="39">
        <v>-29116</v>
      </c>
      <c r="CC9" s="39">
        <v>-35581</v>
      </c>
      <c r="CD9" s="39">
        <v>-38796</v>
      </c>
      <c r="CE9" s="39">
        <v>-44860</v>
      </c>
      <c r="CF9" s="39">
        <v>-44841</v>
      </c>
      <c r="CG9" s="39">
        <v>-57100</v>
      </c>
      <c r="CH9" s="39">
        <v>-76493</v>
      </c>
      <c r="CI9" s="39">
        <v>-90150</v>
      </c>
      <c r="CJ9" s="39">
        <v>-99350</v>
      </c>
      <c r="CK9" s="39">
        <v>-118544</v>
      </c>
      <c r="CL9" s="39">
        <v>-153934</v>
      </c>
      <c r="CM9" s="39">
        <v>-174736</v>
      </c>
      <c r="CN9" s="39">
        <v>-241862</v>
      </c>
      <c r="CO9" s="39">
        <v>-317344</v>
      </c>
      <c r="CP9" s="39">
        <v>-392460</v>
      </c>
      <c r="CQ9" s="39">
        <v>-418352</v>
      </c>
      <c r="CR9" s="39">
        <v>-443542</v>
      </c>
      <c r="CS9" s="39">
        <v>-436470</v>
      </c>
      <c r="CT9" s="39">
        <v>-379833</v>
      </c>
      <c r="CU9" s="39">
        <v>-349166</v>
      </c>
      <c r="CV9" s="39">
        <v>-325018</v>
      </c>
      <c r="CW9" s="39">
        <v>-304552</v>
      </c>
      <c r="CX9" s="39">
        <v>-291380</v>
      </c>
      <c r="CY9" s="39">
        <v>-283588</v>
      </c>
      <c r="CZ9" s="39">
        <v>-273356</v>
      </c>
      <c r="DA9" s="39">
        <v>-242419</v>
      </c>
      <c r="DB9" s="39">
        <v>-234989</v>
      </c>
      <c r="DC9" s="39">
        <v>-220628</v>
      </c>
      <c r="DD9" s="39">
        <v>-194093</v>
      </c>
      <c r="DE9" s="39">
        <v>-133768</v>
      </c>
      <c r="DF9" s="39">
        <v>-112564</v>
      </c>
      <c r="DG9" s="39">
        <v>-91562</v>
      </c>
      <c r="DH9" s="39">
        <v>-54820</v>
      </c>
      <c r="DI9" s="39">
        <v>-51619</v>
      </c>
      <c r="DJ9" s="39">
        <v>-30657</v>
      </c>
      <c r="DK9" s="39">
        <v>-29627</v>
      </c>
      <c r="DL9" s="39">
        <v>-24842</v>
      </c>
      <c r="DM9" s="39">
        <v>4664</v>
      </c>
      <c r="DN9" s="39">
        <v>26686</v>
      </c>
      <c r="DO9" s="39">
        <v>31637</v>
      </c>
      <c r="DP9" s="39">
        <v>44106</v>
      </c>
      <c r="DQ9" s="39">
        <v>96308</v>
      </c>
      <c r="DR9" s="39">
        <v>118343</v>
      </c>
      <c r="DS9" s="39">
        <v>151056</v>
      </c>
      <c r="DT9" s="39">
        <v>148838</v>
      </c>
      <c r="DU9" s="39">
        <v>180038</v>
      </c>
      <c r="DV9" s="39">
        <v>196771</v>
      </c>
      <c r="DW9" s="39">
        <v>166767</v>
      </c>
      <c r="DX9" s="39">
        <v>272739</v>
      </c>
      <c r="DY9" s="39">
        <v>306685</v>
      </c>
      <c r="DZ9" s="39">
        <v>341130</v>
      </c>
      <c r="EA9" s="39">
        <v>385155</v>
      </c>
      <c r="EB9" s="39">
        <v>330277</v>
      </c>
      <c r="EC9" s="39">
        <v>417161</v>
      </c>
      <c r="ED9" s="39">
        <v>463076</v>
      </c>
      <c r="EE9" s="39">
        <v>479688</v>
      </c>
      <c r="EF9" s="39">
        <v>428750</v>
      </c>
      <c r="EG9" s="39">
        <v>620311</v>
      </c>
      <c r="EH9" s="39">
        <v>614336</v>
      </c>
      <c r="EI9" s="39">
        <v>778169</v>
      </c>
      <c r="EJ9" s="42">
        <v>644178</v>
      </c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</row>
    <row r="10" spans="1:212" ht="11.25" customHeight="1">
      <c r="A10" s="47" t="s">
        <v>198</v>
      </c>
      <c r="B10" s="38">
        <v>0</v>
      </c>
      <c r="C10" s="39">
        <v>0</v>
      </c>
      <c r="D10" s="39">
        <v>0</v>
      </c>
      <c r="E10" s="39">
        <v>0</v>
      </c>
      <c r="F10" s="39">
        <v>23</v>
      </c>
      <c r="G10" s="39">
        <v>23</v>
      </c>
      <c r="H10" s="39">
        <v>23</v>
      </c>
      <c r="I10" s="39">
        <v>23</v>
      </c>
      <c r="J10" s="39">
        <v>23</v>
      </c>
      <c r="K10" s="39">
        <v>23</v>
      </c>
      <c r="L10" s="39">
        <v>23</v>
      </c>
      <c r="M10" s="39">
        <v>23</v>
      </c>
      <c r="N10" s="39">
        <v>23</v>
      </c>
      <c r="O10" s="39">
        <v>23</v>
      </c>
      <c r="P10" s="39">
        <v>23</v>
      </c>
      <c r="Q10" s="39">
        <v>23</v>
      </c>
      <c r="R10" s="39">
        <v>23</v>
      </c>
      <c r="S10" s="39">
        <v>23</v>
      </c>
      <c r="T10" s="39">
        <v>23</v>
      </c>
      <c r="U10" s="39">
        <v>23</v>
      </c>
      <c r="V10" s="39">
        <v>23</v>
      </c>
      <c r="W10" s="39">
        <v>23</v>
      </c>
      <c r="X10" s="39">
        <v>23</v>
      </c>
      <c r="Y10" s="39">
        <v>23</v>
      </c>
      <c r="Z10" s="39">
        <v>23</v>
      </c>
      <c r="AA10" s="39">
        <v>23</v>
      </c>
      <c r="AB10" s="39">
        <v>23</v>
      </c>
      <c r="AC10" s="39">
        <v>23</v>
      </c>
      <c r="AD10" s="39">
        <v>23</v>
      </c>
      <c r="AE10" s="39">
        <v>23</v>
      </c>
      <c r="AF10" s="39">
        <v>23</v>
      </c>
      <c r="AG10" s="39">
        <v>23</v>
      </c>
      <c r="AH10" s="39">
        <v>23</v>
      </c>
      <c r="AI10" s="39">
        <v>23</v>
      </c>
      <c r="AJ10" s="39">
        <v>23</v>
      </c>
      <c r="AK10" s="39">
        <v>23</v>
      </c>
      <c r="AL10" s="39">
        <v>23</v>
      </c>
      <c r="AM10" s="39">
        <v>23</v>
      </c>
      <c r="AN10" s="39">
        <v>47</v>
      </c>
      <c r="AO10" s="39">
        <v>47</v>
      </c>
      <c r="AP10" s="39">
        <v>47</v>
      </c>
      <c r="AQ10" s="39">
        <v>47</v>
      </c>
      <c r="AR10" s="39">
        <v>47</v>
      </c>
      <c r="AS10" s="39">
        <v>47</v>
      </c>
      <c r="AT10" s="39">
        <v>47</v>
      </c>
      <c r="AU10" s="39">
        <v>47</v>
      </c>
      <c r="AV10" s="39">
        <v>47</v>
      </c>
      <c r="AW10" s="39">
        <v>47</v>
      </c>
      <c r="AX10" s="39">
        <v>47</v>
      </c>
      <c r="AY10" s="39">
        <v>47</v>
      </c>
      <c r="AZ10" s="39">
        <v>47</v>
      </c>
      <c r="BA10" s="39">
        <v>47</v>
      </c>
      <c r="BB10" s="39">
        <v>47</v>
      </c>
      <c r="BC10" s="39">
        <v>47</v>
      </c>
      <c r="BD10" s="39">
        <v>47</v>
      </c>
      <c r="BE10" s="39">
        <v>50</v>
      </c>
      <c r="BF10" s="39">
        <v>50</v>
      </c>
      <c r="BG10" s="39">
        <v>53</v>
      </c>
      <c r="BH10" s="39">
        <v>52</v>
      </c>
      <c r="BI10" s="39">
        <v>52</v>
      </c>
      <c r="BJ10" s="39">
        <v>52</v>
      </c>
      <c r="BK10" s="39">
        <v>52</v>
      </c>
      <c r="BL10" s="48">
        <v>60</v>
      </c>
      <c r="BM10" s="48">
        <v>60</v>
      </c>
      <c r="BN10" s="48">
        <v>60</v>
      </c>
      <c r="BO10" s="48">
        <v>60</v>
      </c>
      <c r="BP10" s="48">
        <v>79</v>
      </c>
      <c r="BQ10" s="48">
        <v>79</v>
      </c>
      <c r="BR10" s="40">
        <v>79</v>
      </c>
      <c r="BS10" s="40">
        <v>79</v>
      </c>
      <c r="BT10" s="40">
        <v>98</v>
      </c>
      <c r="BU10" s="40">
        <v>98</v>
      </c>
      <c r="BV10" s="40">
        <v>98</v>
      </c>
      <c r="BW10" s="40">
        <v>99</v>
      </c>
      <c r="BX10" s="40">
        <v>138</v>
      </c>
      <c r="BY10" s="39">
        <v>138</v>
      </c>
      <c r="BZ10" s="39">
        <v>138</v>
      </c>
      <c r="CA10" s="39">
        <v>138</v>
      </c>
      <c r="CB10" s="39">
        <v>661</v>
      </c>
      <c r="CC10" s="39">
        <v>661</v>
      </c>
      <c r="CD10" s="39">
        <v>661</v>
      </c>
      <c r="CE10" s="39">
        <v>856</v>
      </c>
      <c r="CF10" s="39">
        <v>1008</v>
      </c>
      <c r="CG10" s="39">
        <v>1008</v>
      </c>
      <c r="CH10" s="39">
        <v>1008</v>
      </c>
      <c r="CI10" s="39">
        <v>1008</v>
      </c>
      <c r="CJ10" s="39">
        <v>1372</v>
      </c>
      <c r="CK10" s="39">
        <v>1372</v>
      </c>
      <c r="CL10" s="39">
        <v>1372</v>
      </c>
      <c r="CM10" s="39">
        <v>1350</v>
      </c>
      <c r="CN10" s="39">
        <v>1887</v>
      </c>
      <c r="CO10" s="39">
        <v>1887</v>
      </c>
      <c r="CP10" s="39">
        <v>1887</v>
      </c>
      <c r="CQ10" s="39">
        <v>1887</v>
      </c>
      <c r="CR10" s="39">
        <v>2417</v>
      </c>
      <c r="CS10" s="39">
        <v>2417</v>
      </c>
      <c r="CT10" s="39">
        <v>2417</v>
      </c>
      <c r="CU10" s="39">
        <v>2410</v>
      </c>
      <c r="CV10" s="39">
        <v>2189</v>
      </c>
      <c r="CW10" s="39">
        <v>1874</v>
      </c>
      <c r="CX10" s="39">
        <v>1874</v>
      </c>
      <c r="CY10" s="39">
        <v>1874</v>
      </c>
      <c r="CZ10" s="39">
        <v>1738</v>
      </c>
      <c r="DA10" s="39">
        <v>1663</v>
      </c>
      <c r="DB10" s="39">
        <v>1704</v>
      </c>
      <c r="DC10" s="39">
        <v>1722</v>
      </c>
      <c r="DD10" s="39">
        <v>1545</v>
      </c>
      <c r="DE10" s="39">
        <v>1624</v>
      </c>
      <c r="DF10" s="39">
        <v>2238</v>
      </c>
      <c r="DG10" s="39">
        <v>2328</v>
      </c>
      <c r="DH10" s="39">
        <v>2206</v>
      </c>
      <c r="DI10" s="39">
        <v>2351</v>
      </c>
      <c r="DJ10" s="39">
        <v>2464</v>
      </c>
      <c r="DK10" s="39">
        <v>2386</v>
      </c>
      <c r="DL10" s="39">
        <v>2259</v>
      </c>
      <c r="DM10" s="39">
        <v>2258</v>
      </c>
      <c r="DN10" s="39">
        <v>2212</v>
      </c>
      <c r="DO10" s="39">
        <v>2095</v>
      </c>
      <c r="DP10" s="39">
        <v>2015</v>
      </c>
      <c r="DQ10" s="39">
        <v>2247</v>
      </c>
      <c r="DR10" s="39">
        <v>2377</v>
      </c>
      <c r="DS10" s="39">
        <v>2170</v>
      </c>
      <c r="DT10" s="39">
        <v>2023</v>
      </c>
      <c r="DU10" s="39">
        <v>2135</v>
      </c>
      <c r="DV10" s="39">
        <v>1922</v>
      </c>
      <c r="DW10" s="39">
        <v>1889</v>
      </c>
      <c r="DX10" s="39">
        <v>2212</v>
      </c>
      <c r="DY10" s="39">
        <v>2248</v>
      </c>
      <c r="DZ10" s="39">
        <v>2185</v>
      </c>
      <c r="EA10" s="39">
        <v>2512</v>
      </c>
      <c r="EB10" s="39">
        <v>2665</v>
      </c>
      <c r="EC10" s="39">
        <v>2578</v>
      </c>
      <c r="ED10" s="39">
        <v>2476</v>
      </c>
      <c r="EE10" s="39">
        <v>2379</v>
      </c>
      <c r="EF10" s="39">
        <v>2398</v>
      </c>
      <c r="EG10" s="39">
        <v>4359</v>
      </c>
      <c r="EH10" s="39">
        <v>4384</v>
      </c>
      <c r="EI10" s="39">
        <v>4418</v>
      </c>
      <c r="EJ10" s="42">
        <v>4396</v>
      </c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</row>
    <row r="11" spans="1:212" ht="13.15" customHeight="1">
      <c r="A11" s="47" t="s">
        <v>201</v>
      </c>
      <c r="B11" s="38">
        <v>373</v>
      </c>
      <c r="C11" s="39">
        <v>423</v>
      </c>
      <c r="D11" s="39">
        <v>367</v>
      </c>
      <c r="E11" s="39">
        <v>461</v>
      </c>
      <c r="F11" s="39">
        <v>452</v>
      </c>
      <c r="G11" s="39">
        <v>419</v>
      </c>
      <c r="H11" s="39">
        <v>399</v>
      </c>
      <c r="I11" s="39">
        <v>430</v>
      </c>
      <c r="J11" s="39">
        <v>420</v>
      </c>
      <c r="K11" s="39">
        <v>434</v>
      </c>
      <c r="L11" s="39">
        <v>456</v>
      </c>
      <c r="M11" s="39">
        <v>453</v>
      </c>
      <c r="N11" s="39">
        <v>450</v>
      </c>
      <c r="O11" s="39">
        <v>1229</v>
      </c>
      <c r="P11" s="39">
        <v>1425</v>
      </c>
      <c r="Q11" s="39">
        <v>2181</v>
      </c>
      <c r="R11" s="39">
        <v>2479</v>
      </c>
      <c r="S11" s="39">
        <v>2640</v>
      </c>
      <c r="T11" s="39">
        <v>2529</v>
      </c>
      <c r="U11" s="39">
        <v>2541</v>
      </c>
      <c r="V11" s="39">
        <v>2576</v>
      </c>
      <c r="W11" s="39">
        <v>2557</v>
      </c>
      <c r="X11" s="39">
        <v>2594</v>
      </c>
      <c r="Y11" s="39">
        <v>2786</v>
      </c>
      <c r="Z11" s="39">
        <v>2934</v>
      </c>
      <c r="AA11" s="39">
        <v>3059</v>
      </c>
      <c r="AB11" s="39">
        <v>3202</v>
      </c>
      <c r="AC11" s="39">
        <v>3333</v>
      </c>
      <c r="AD11" s="39">
        <v>3313</v>
      </c>
      <c r="AE11" s="39">
        <v>3378</v>
      </c>
      <c r="AF11" s="39">
        <v>3510</v>
      </c>
      <c r="AG11" s="39">
        <v>3545</v>
      </c>
      <c r="AH11" s="39">
        <v>3579</v>
      </c>
      <c r="AI11" s="39">
        <v>4147</v>
      </c>
      <c r="AJ11" s="39">
        <v>3986</v>
      </c>
      <c r="AK11" s="39">
        <v>4094</v>
      </c>
      <c r="AL11" s="39">
        <v>4169</v>
      </c>
      <c r="AM11" s="39">
        <v>4283</v>
      </c>
      <c r="AN11" s="39">
        <v>4413</v>
      </c>
      <c r="AO11" s="39">
        <v>4537</v>
      </c>
      <c r="AP11" s="39">
        <v>4609</v>
      </c>
      <c r="AQ11" s="39">
        <v>4776</v>
      </c>
      <c r="AR11" s="39">
        <v>4939</v>
      </c>
      <c r="AS11" s="39">
        <v>5534</v>
      </c>
      <c r="AT11" s="39">
        <v>5919</v>
      </c>
      <c r="AU11" s="39">
        <v>6534</v>
      </c>
      <c r="AV11" s="39">
        <v>7917</v>
      </c>
      <c r="AW11" s="39">
        <v>8271</v>
      </c>
      <c r="AX11" s="39">
        <v>8613</v>
      </c>
      <c r="AY11" s="39">
        <v>8950</v>
      </c>
      <c r="AZ11" s="39">
        <v>10045</v>
      </c>
      <c r="BA11" s="39">
        <v>10100</v>
      </c>
      <c r="BB11" s="39">
        <v>10244</v>
      </c>
      <c r="BC11" s="39">
        <v>10303</v>
      </c>
      <c r="BD11" s="39">
        <v>11515</v>
      </c>
      <c r="BE11" s="39">
        <v>10526</v>
      </c>
      <c r="BF11" s="39">
        <v>9541</v>
      </c>
      <c r="BG11" s="39">
        <v>8515</v>
      </c>
      <c r="BH11" s="39">
        <v>7501</v>
      </c>
      <c r="BI11" s="39">
        <v>7474</v>
      </c>
      <c r="BJ11" s="39">
        <v>7419</v>
      </c>
      <c r="BK11" s="39">
        <v>7808</v>
      </c>
      <c r="BL11" s="48">
        <v>935</v>
      </c>
      <c r="BM11" s="48">
        <v>47</v>
      </c>
      <c r="BN11" s="48">
        <v>-260</v>
      </c>
      <c r="BO11" s="48">
        <v>359</v>
      </c>
      <c r="BP11" s="48">
        <v>-3484</v>
      </c>
      <c r="BQ11" s="48">
        <v>-2964</v>
      </c>
      <c r="BR11" s="40">
        <v>-3455</v>
      </c>
      <c r="BS11" s="40">
        <v>-3442</v>
      </c>
      <c r="BT11" s="40">
        <v>-5555</v>
      </c>
      <c r="BU11" s="40">
        <v>-5990</v>
      </c>
      <c r="BV11" s="40">
        <v>-8110</v>
      </c>
      <c r="BW11" s="40">
        <v>-9291</v>
      </c>
      <c r="BX11" s="40">
        <v>-25520</v>
      </c>
      <c r="BY11" s="39">
        <v>-26151</v>
      </c>
      <c r="BZ11" s="39">
        <v>-24995</v>
      </c>
      <c r="CA11" s="39">
        <v>-27788</v>
      </c>
      <c r="CB11" s="39">
        <v>-29777</v>
      </c>
      <c r="CC11" s="39">
        <v>-36242</v>
      </c>
      <c r="CD11" s="39">
        <v>-39457</v>
      </c>
      <c r="CE11" s="39">
        <v>-45716</v>
      </c>
      <c r="CF11" s="39">
        <v>-45849</v>
      </c>
      <c r="CG11" s="39">
        <v>-58108</v>
      </c>
      <c r="CH11" s="39">
        <v>-77501</v>
      </c>
      <c r="CI11" s="39">
        <v>-91158</v>
      </c>
      <c r="CJ11" s="39">
        <v>-100722</v>
      </c>
      <c r="CK11" s="39">
        <v>-119916</v>
      </c>
      <c r="CL11" s="39">
        <v>-155306</v>
      </c>
      <c r="CM11" s="39">
        <v>-176086</v>
      </c>
      <c r="CN11" s="39">
        <v>-243749</v>
      </c>
      <c r="CO11" s="39">
        <v>-319231</v>
      </c>
      <c r="CP11" s="39">
        <v>-394347</v>
      </c>
      <c r="CQ11" s="39">
        <v>-420239</v>
      </c>
      <c r="CR11" s="39">
        <v>-445959</v>
      </c>
      <c r="CS11" s="39">
        <v>-438887</v>
      </c>
      <c r="CT11" s="39">
        <v>-382250</v>
      </c>
      <c r="CU11" s="39">
        <v>-351576</v>
      </c>
      <c r="CV11" s="39">
        <v>-327207</v>
      </c>
      <c r="CW11" s="39">
        <v>-306426</v>
      </c>
      <c r="CX11" s="39">
        <v>-293254</v>
      </c>
      <c r="CY11" s="39">
        <v>-285462</v>
      </c>
      <c r="CZ11" s="39">
        <v>-275094</v>
      </c>
      <c r="DA11" s="39">
        <v>-244082</v>
      </c>
      <c r="DB11" s="39">
        <v>-236693</v>
      </c>
      <c r="DC11" s="39">
        <v>-222350</v>
      </c>
      <c r="DD11" s="39">
        <v>-195638</v>
      </c>
      <c r="DE11" s="39">
        <v>-135392</v>
      </c>
      <c r="DF11" s="39">
        <v>-114802</v>
      </c>
      <c r="DG11" s="39">
        <v>-93890</v>
      </c>
      <c r="DH11" s="39">
        <v>-57026</v>
      </c>
      <c r="DI11" s="39">
        <v>-53970</v>
      </c>
      <c r="DJ11" s="39">
        <v>-33121</v>
      </c>
      <c r="DK11" s="39">
        <v>-32013</v>
      </c>
      <c r="DL11" s="39">
        <v>-27101</v>
      </c>
      <c r="DM11" s="39">
        <v>2406</v>
      </c>
      <c r="DN11" s="39">
        <v>24474</v>
      </c>
      <c r="DO11" s="39">
        <v>29542</v>
      </c>
      <c r="DP11" s="39">
        <v>42091</v>
      </c>
      <c r="DQ11" s="39">
        <v>94061</v>
      </c>
      <c r="DR11" s="39">
        <v>115966</v>
      </c>
      <c r="DS11" s="39">
        <v>148886</v>
      </c>
      <c r="DT11" s="39">
        <v>146815</v>
      </c>
      <c r="DU11" s="39">
        <v>177903</v>
      </c>
      <c r="DV11" s="39">
        <v>194849</v>
      </c>
      <c r="DW11" s="39">
        <v>164878</v>
      </c>
      <c r="DX11" s="39">
        <v>270527</v>
      </c>
      <c r="DY11" s="39">
        <v>304437</v>
      </c>
      <c r="DZ11" s="39">
        <v>338945</v>
      </c>
      <c r="EA11" s="39">
        <v>382643</v>
      </c>
      <c r="EB11" s="39">
        <v>327612</v>
      </c>
      <c r="EC11" s="39">
        <v>414583</v>
      </c>
      <c r="ED11" s="39">
        <v>460600</v>
      </c>
      <c r="EE11" s="39">
        <v>477309</v>
      </c>
      <c r="EF11" s="39">
        <v>426352</v>
      </c>
      <c r="EG11" s="39">
        <v>615952</v>
      </c>
      <c r="EH11" s="39">
        <v>609952</v>
      </c>
      <c r="EI11" s="39">
        <v>773751</v>
      </c>
      <c r="EJ11" s="42">
        <v>639782</v>
      </c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</row>
    <row r="12" spans="1:212">
      <c r="A12" s="47" t="s">
        <v>202</v>
      </c>
      <c r="B12" s="38">
        <v>11642.59</v>
      </c>
      <c r="C12" s="39">
        <v>14586.51</v>
      </c>
      <c r="D12" s="39">
        <v>15048.38</v>
      </c>
      <c r="E12" s="39">
        <v>15421</v>
      </c>
      <c r="F12" s="39">
        <v>16652.02</v>
      </c>
      <c r="G12" s="39">
        <v>17277.82</v>
      </c>
      <c r="H12" s="39">
        <v>17763.02</v>
      </c>
      <c r="I12" s="39">
        <v>19071.39</v>
      </c>
      <c r="J12" s="39">
        <v>21619.15</v>
      </c>
      <c r="K12" s="39">
        <v>23630.720000000001</v>
      </c>
      <c r="L12" s="39">
        <v>26263.08</v>
      </c>
      <c r="M12" s="39">
        <v>29082.87</v>
      </c>
      <c r="N12" s="39">
        <v>30406.560000000001</v>
      </c>
      <c r="O12" s="39">
        <v>36290</v>
      </c>
      <c r="P12" s="39">
        <v>38900.230000000003</v>
      </c>
      <c r="Q12" s="39">
        <v>42348.98</v>
      </c>
      <c r="R12" s="39">
        <v>48759.63</v>
      </c>
      <c r="S12" s="39">
        <v>58043.71</v>
      </c>
      <c r="T12" s="39">
        <v>65368</v>
      </c>
      <c r="U12" s="39">
        <v>65400</v>
      </c>
      <c r="V12" s="39">
        <v>67789</v>
      </c>
      <c r="W12" s="39">
        <v>71368.5</v>
      </c>
      <c r="X12" s="39">
        <v>73560</v>
      </c>
      <c r="Y12" s="39">
        <v>74099</v>
      </c>
      <c r="Z12" s="39">
        <v>76409</v>
      </c>
      <c r="AA12" s="39">
        <v>77600</v>
      </c>
      <c r="AB12" s="39">
        <v>78903</v>
      </c>
      <c r="AC12" s="39">
        <v>78742</v>
      </c>
      <c r="AD12" s="39">
        <v>83479</v>
      </c>
      <c r="AE12" s="39">
        <v>85412</v>
      </c>
      <c r="AF12" s="39">
        <v>90774</v>
      </c>
      <c r="AG12" s="39">
        <v>91585</v>
      </c>
      <c r="AH12" s="39">
        <v>97090</v>
      </c>
      <c r="AI12" s="39">
        <v>100987</v>
      </c>
      <c r="AJ12" s="39">
        <v>109426</v>
      </c>
      <c r="AK12" s="39">
        <v>110196</v>
      </c>
      <c r="AL12" s="39">
        <v>117295</v>
      </c>
      <c r="AM12" s="39">
        <v>120185</v>
      </c>
      <c r="AN12" s="39">
        <v>121858</v>
      </c>
      <c r="AO12" s="39">
        <v>123909</v>
      </c>
      <c r="AP12" s="39">
        <v>130361</v>
      </c>
      <c r="AQ12" s="39">
        <v>135931</v>
      </c>
      <c r="AR12" s="39">
        <v>149873</v>
      </c>
      <c r="AS12" s="39">
        <v>161489</v>
      </c>
      <c r="AT12" s="39">
        <v>171190</v>
      </c>
      <c r="AU12" s="39">
        <v>180363</v>
      </c>
      <c r="AV12" s="39">
        <v>199600</v>
      </c>
      <c r="AW12" s="39">
        <v>209407</v>
      </c>
      <c r="AX12" s="39">
        <v>216406</v>
      </c>
      <c r="AY12" s="39">
        <v>231339</v>
      </c>
      <c r="AZ12" s="39">
        <v>260119</v>
      </c>
      <c r="BA12" s="39">
        <v>270941</v>
      </c>
      <c r="BB12" s="39">
        <v>280300</v>
      </c>
      <c r="BC12" s="39">
        <v>292591</v>
      </c>
      <c r="BD12" s="39">
        <v>317497</v>
      </c>
      <c r="BE12" s="39">
        <v>320707</v>
      </c>
      <c r="BF12" s="39">
        <v>336033</v>
      </c>
      <c r="BG12" s="39">
        <v>350808</v>
      </c>
      <c r="BH12" s="39">
        <v>385849</v>
      </c>
      <c r="BI12" s="39">
        <v>402527</v>
      </c>
      <c r="BJ12" s="39">
        <v>420084</v>
      </c>
      <c r="BK12" s="39">
        <v>446335</v>
      </c>
      <c r="BL12" s="39">
        <v>522521</v>
      </c>
      <c r="BM12" s="39">
        <v>554945</v>
      </c>
      <c r="BN12" s="39">
        <v>589434</v>
      </c>
      <c r="BO12" s="39">
        <v>631480</v>
      </c>
      <c r="BP12" s="39">
        <v>706789</v>
      </c>
      <c r="BQ12" s="39">
        <v>736480</v>
      </c>
      <c r="BR12" s="39">
        <v>785680</v>
      </c>
      <c r="BS12" s="39">
        <v>822616</v>
      </c>
      <c r="BT12" s="39">
        <v>876364</v>
      </c>
      <c r="BU12" s="39">
        <v>904230</v>
      </c>
      <c r="BV12" s="39">
        <v>953399</v>
      </c>
      <c r="BW12" s="39">
        <v>991467</v>
      </c>
      <c r="BX12" s="39">
        <v>1111115</v>
      </c>
      <c r="BY12" s="39">
        <v>1018134</v>
      </c>
      <c r="BZ12" s="39">
        <v>1079923</v>
      </c>
      <c r="CA12" s="39">
        <v>1120357</v>
      </c>
      <c r="CB12" s="39">
        <v>1259793</v>
      </c>
      <c r="CC12" s="39">
        <v>1374248</v>
      </c>
      <c r="CD12" s="39">
        <v>1461977</v>
      </c>
      <c r="CE12" s="39">
        <v>1549416</v>
      </c>
      <c r="CF12" s="39">
        <v>1688577</v>
      </c>
      <c r="CG12" s="39">
        <v>1828865</v>
      </c>
      <c r="CH12" s="39">
        <v>1913552</v>
      </c>
      <c r="CI12" s="39">
        <v>2049139</v>
      </c>
      <c r="CJ12" s="39">
        <v>2217675</v>
      </c>
      <c r="CK12" s="39">
        <v>2360570</v>
      </c>
      <c r="CL12" s="39">
        <v>2524739</v>
      </c>
      <c r="CM12" s="39">
        <v>2679149</v>
      </c>
      <c r="CN12" s="39">
        <v>2832199</v>
      </c>
      <c r="CO12" s="39">
        <v>2987691</v>
      </c>
      <c r="CP12" s="39">
        <v>3131850</v>
      </c>
      <c r="CQ12" s="39">
        <v>3285066</v>
      </c>
      <c r="CR12" s="39">
        <v>3548279</v>
      </c>
      <c r="CS12" s="39">
        <v>3632964</v>
      </c>
      <c r="CT12" s="39">
        <v>3784708</v>
      </c>
      <c r="CU12" s="39">
        <v>3990110</v>
      </c>
      <c r="CV12" s="39">
        <v>4245259</v>
      </c>
      <c r="CW12" s="39">
        <v>4378618</v>
      </c>
      <c r="CX12" s="39">
        <v>4504403</v>
      </c>
      <c r="CY12" s="39">
        <v>4762540</v>
      </c>
      <c r="CZ12" s="39">
        <v>5084944</v>
      </c>
      <c r="DA12" s="39">
        <v>5268730</v>
      </c>
      <c r="DB12" s="39">
        <v>5348508</v>
      </c>
      <c r="DC12" s="39">
        <v>5517701</v>
      </c>
      <c r="DD12" s="39">
        <v>5776020</v>
      </c>
      <c r="DE12" s="39">
        <v>6054837</v>
      </c>
      <c r="DF12" s="39">
        <v>6027524</v>
      </c>
      <c r="DG12" s="39">
        <v>6341620</v>
      </c>
      <c r="DH12" s="39">
        <v>6525461</v>
      </c>
      <c r="DI12" s="39">
        <v>6634829</v>
      </c>
      <c r="DJ12" s="39">
        <v>6702274</v>
      </c>
      <c r="DK12" s="39">
        <v>6678765</v>
      </c>
      <c r="DL12" s="39">
        <v>6876239</v>
      </c>
      <c r="DM12" s="39">
        <v>7239458</v>
      </c>
      <c r="DN12" s="39">
        <v>7540593</v>
      </c>
      <c r="DO12" s="39">
        <v>7494390</v>
      </c>
      <c r="DP12" s="39">
        <v>7805783</v>
      </c>
      <c r="DQ12" s="39">
        <v>8422719</v>
      </c>
      <c r="DR12" s="39">
        <v>8612988</v>
      </c>
      <c r="DS12" s="39">
        <v>8753318</v>
      </c>
      <c r="DT12" s="39">
        <v>9235253.5</v>
      </c>
      <c r="DU12" s="39">
        <v>9454530.3000000007</v>
      </c>
      <c r="DV12" s="39">
        <v>9718433.5</v>
      </c>
      <c r="DW12" s="39">
        <v>10413299.300000001</v>
      </c>
      <c r="DX12" s="39">
        <v>10751230.9</v>
      </c>
      <c r="DY12" s="39">
        <v>10957457.5</v>
      </c>
      <c r="DZ12" s="39">
        <v>11353103.4</v>
      </c>
      <c r="EA12" s="39">
        <v>11297186.4</v>
      </c>
      <c r="EB12" s="39">
        <v>11694075.300000001</v>
      </c>
      <c r="EC12" s="39">
        <v>11893510</v>
      </c>
      <c r="ED12" s="39">
        <v>12136110.1</v>
      </c>
      <c r="EE12" s="39">
        <v>12506994.4</v>
      </c>
      <c r="EF12" s="39">
        <v>13292751.5</v>
      </c>
      <c r="EG12" s="39">
        <v>13964640.6</v>
      </c>
      <c r="EH12" s="39">
        <v>14458671.699999999</v>
      </c>
      <c r="EI12" s="39">
        <v>14137670.300000001</v>
      </c>
      <c r="EJ12" s="42">
        <v>15059494.800000001</v>
      </c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</row>
    <row r="13" spans="1:212">
      <c r="A13" s="47" t="s">
        <v>203</v>
      </c>
      <c r="B13" s="38">
        <v>410.59</v>
      </c>
      <c r="C13" s="39">
        <v>1801.51</v>
      </c>
      <c r="D13" s="39">
        <v>2129.38</v>
      </c>
      <c r="E13" s="39">
        <v>1312</v>
      </c>
      <c r="F13" s="39">
        <v>1689.02</v>
      </c>
      <c r="G13" s="39">
        <v>1650.82</v>
      </c>
      <c r="H13" s="39">
        <v>1617.02</v>
      </c>
      <c r="I13" s="39">
        <v>1228.3900000000001</v>
      </c>
      <c r="J13" s="39">
        <v>1092.1500000000001</v>
      </c>
      <c r="K13" s="39">
        <v>817.72</v>
      </c>
      <c r="L13" s="39">
        <v>-218.42</v>
      </c>
      <c r="M13" s="39">
        <v>-464.07</v>
      </c>
      <c r="N13" s="39">
        <v>-339</v>
      </c>
      <c r="O13" s="39">
        <v>-239.18</v>
      </c>
      <c r="P13" s="39">
        <v>2236.4899999999998</v>
      </c>
      <c r="Q13" s="39">
        <v>464.96</v>
      </c>
      <c r="R13" s="39">
        <v>1167.1300000000001</v>
      </c>
      <c r="S13" s="39">
        <v>2472.66</v>
      </c>
      <c r="T13" s="39">
        <v>1496</v>
      </c>
      <c r="U13" s="39">
        <v>591</v>
      </c>
      <c r="V13" s="39">
        <v>1046</v>
      </c>
      <c r="W13" s="39">
        <v>1184.5</v>
      </c>
      <c r="X13" s="39">
        <v>144</v>
      </c>
      <c r="Y13" s="39">
        <v>220</v>
      </c>
      <c r="Z13" s="39">
        <v>649</v>
      </c>
      <c r="AA13" s="39">
        <v>516</v>
      </c>
      <c r="AB13" s="39">
        <v>721</v>
      </c>
      <c r="AC13" s="39">
        <v>409</v>
      </c>
      <c r="AD13" s="39">
        <v>883</v>
      </c>
      <c r="AE13" s="39">
        <v>219</v>
      </c>
      <c r="AF13" s="39">
        <v>245</v>
      </c>
      <c r="AG13" s="39">
        <v>-296</v>
      </c>
      <c r="AH13" s="39">
        <v>-197</v>
      </c>
      <c r="AI13" s="39">
        <v>-286</v>
      </c>
      <c r="AJ13" s="39">
        <v>-948</v>
      </c>
      <c r="AK13" s="39">
        <v>-1192</v>
      </c>
      <c r="AL13" s="39">
        <v>-228</v>
      </c>
      <c r="AM13" s="39">
        <v>-3091</v>
      </c>
      <c r="AN13" s="39">
        <v>-2767</v>
      </c>
      <c r="AO13" s="39">
        <v>-2567</v>
      </c>
      <c r="AP13" s="39">
        <v>-2786</v>
      </c>
      <c r="AQ13" s="39">
        <v>-4284</v>
      </c>
      <c r="AR13" s="39">
        <v>-4717</v>
      </c>
      <c r="AS13" s="39">
        <v>-2740</v>
      </c>
      <c r="AT13" s="39">
        <v>-2939</v>
      </c>
      <c r="AU13" s="39">
        <v>-3853</v>
      </c>
      <c r="AV13" s="39">
        <v>1305</v>
      </c>
      <c r="AW13" s="39">
        <v>-3730</v>
      </c>
      <c r="AX13" s="39">
        <v>-3831</v>
      </c>
      <c r="AY13" s="39">
        <v>-3291</v>
      </c>
      <c r="AZ13" s="39">
        <v>-3037</v>
      </c>
      <c r="BA13" s="39">
        <v>-726</v>
      </c>
      <c r="BB13" s="39">
        <v>1845</v>
      </c>
      <c r="BC13" s="39">
        <v>3387</v>
      </c>
      <c r="BD13" s="39">
        <v>7084</v>
      </c>
      <c r="BE13" s="39">
        <v>5553</v>
      </c>
      <c r="BF13" s="39">
        <v>9808</v>
      </c>
      <c r="BG13" s="39">
        <v>17190</v>
      </c>
      <c r="BH13" s="39">
        <v>33941</v>
      </c>
      <c r="BI13" s="39">
        <v>44023</v>
      </c>
      <c r="BJ13" s="39">
        <v>46383</v>
      </c>
      <c r="BK13" s="39">
        <v>57839</v>
      </c>
      <c r="BL13" s="39">
        <v>72501</v>
      </c>
      <c r="BM13" s="39">
        <v>88973</v>
      </c>
      <c r="BN13" s="39">
        <v>97092</v>
      </c>
      <c r="BO13" s="39">
        <v>104429</v>
      </c>
      <c r="BP13" s="39">
        <v>117889</v>
      </c>
      <c r="BQ13" s="39">
        <v>127538</v>
      </c>
      <c r="BR13" s="39">
        <v>136085</v>
      </c>
      <c r="BS13" s="39">
        <v>148973</v>
      </c>
      <c r="BT13" s="39">
        <v>164800</v>
      </c>
      <c r="BU13" s="39">
        <v>174914</v>
      </c>
      <c r="BV13" s="39">
        <v>182934</v>
      </c>
      <c r="BW13" s="39">
        <v>194712</v>
      </c>
      <c r="BX13" s="39">
        <v>247844</v>
      </c>
      <c r="BY13" s="39">
        <v>98382</v>
      </c>
      <c r="BZ13" s="39">
        <v>120567</v>
      </c>
      <c r="CA13" s="39">
        <v>119221</v>
      </c>
      <c r="CB13" s="39">
        <v>166005</v>
      </c>
      <c r="CC13" s="39">
        <v>206008</v>
      </c>
      <c r="CD13" s="39">
        <v>215872</v>
      </c>
      <c r="CE13" s="39">
        <v>247822</v>
      </c>
      <c r="CF13" s="39">
        <v>311889</v>
      </c>
      <c r="CG13" s="39">
        <v>382060</v>
      </c>
      <c r="CH13" s="39">
        <v>383714</v>
      </c>
      <c r="CI13" s="39">
        <v>433943</v>
      </c>
      <c r="CJ13" s="39">
        <v>484333</v>
      </c>
      <c r="CK13" s="39">
        <v>556425</v>
      </c>
      <c r="CL13" s="39">
        <v>622040</v>
      </c>
      <c r="CM13" s="39">
        <v>676784</v>
      </c>
      <c r="CN13" s="39">
        <v>641305</v>
      </c>
      <c r="CO13" s="39">
        <v>734281</v>
      </c>
      <c r="CP13" s="39">
        <v>761048</v>
      </c>
      <c r="CQ13" s="39">
        <v>771920</v>
      </c>
      <c r="CR13" s="39">
        <v>887260</v>
      </c>
      <c r="CS13" s="39">
        <v>930559</v>
      </c>
      <c r="CT13" s="39">
        <v>994759</v>
      </c>
      <c r="CU13" s="39">
        <v>1170520</v>
      </c>
      <c r="CV13" s="39">
        <v>1333138</v>
      </c>
      <c r="CW13" s="39">
        <v>1437102</v>
      </c>
      <c r="CX13" s="39">
        <v>1502771</v>
      </c>
      <c r="CY13" s="39">
        <v>1685396</v>
      </c>
      <c r="CZ13" s="39">
        <v>1849130</v>
      </c>
      <c r="DA13" s="39">
        <v>1962268</v>
      </c>
      <c r="DB13" s="39">
        <v>2016472</v>
      </c>
      <c r="DC13" s="39">
        <v>2146686</v>
      </c>
      <c r="DD13" s="39">
        <v>2315946</v>
      </c>
      <c r="DE13" s="39">
        <v>2478409</v>
      </c>
      <c r="DF13" s="39">
        <v>2364215</v>
      </c>
      <c r="DG13" s="39">
        <v>2571524</v>
      </c>
      <c r="DH13" s="39">
        <v>2604723</v>
      </c>
      <c r="DI13" s="39">
        <v>2764670</v>
      </c>
      <c r="DJ13" s="39">
        <v>2748142</v>
      </c>
      <c r="DK13" s="39">
        <v>2600054</v>
      </c>
      <c r="DL13" s="39">
        <v>2519764</v>
      </c>
      <c r="DM13" s="39">
        <v>2803169</v>
      </c>
      <c r="DN13" s="39">
        <v>2831819</v>
      </c>
      <c r="DO13" s="39">
        <v>2818004</v>
      </c>
      <c r="DP13" s="39">
        <v>2802105</v>
      </c>
      <c r="DQ13" s="39">
        <v>3133608</v>
      </c>
      <c r="DR13" s="39">
        <v>2997608</v>
      </c>
      <c r="DS13" s="39">
        <v>2909247</v>
      </c>
      <c r="DT13" s="39">
        <v>2897953.5</v>
      </c>
      <c r="DU13" s="39">
        <v>3018718.3</v>
      </c>
      <c r="DV13" s="39">
        <v>2919824.5</v>
      </c>
      <c r="DW13" s="39">
        <v>3292875.3</v>
      </c>
      <c r="DX13" s="39">
        <v>3120359.9</v>
      </c>
      <c r="DY13" s="39">
        <v>3213663.5</v>
      </c>
      <c r="DZ13" s="39">
        <v>3257903.4</v>
      </c>
      <c r="EA13" s="39">
        <v>3145541.4</v>
      </c>
      <c r="EB13" s="39">
        <v>3193619.3</v>
      </c>
      <c r="EC13" s="39">
        <v>3338258</v>
      </c>
      <c r="ED13" s="39">
        <v>3364695.1</v>
      </c>
      <c r="EE13" s="39">
        <v>3701983.4</v>
      </c>
      <c r="EF13" s="39">
        <v>3887488.5</v>
      </c>
      <c r="EG13" s="39">
        <v>3932802.6</v>
      </c>
      <c r="EH13" s="39">
        <v>3949404.7</v>
      </c>
      <c r="EI13" s="39">
        <v>3443652.3</v>
      </c>
      <c r="EJ13" s="42">
        <v>3890069.8</v>
      </c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</row>
    <row r="14" spans="1:212">
      <c r="A14" s="47" t="s">
        <v>198</v>
      </c>
      <c r="B14" s="38">
        <v>163</v>
      </c>
      <c r="C14" s="39">
        <v>1256</v>
      </c>
      <c r="D14" s="39">
        <v>1377</v>
      </c>
      <c r="E14" s="39">
        <v>1022</v>
      </c>
      <c r="F14" s="39">
        <v>744</v>
      </c>
      <c r="G14" s="39">
        <v>556</v>
      </c>
      <c r="H14" s="39">
        <v>570</v>
      </c>
      <c r="I14" s="39">
        <v>254</v>
      </c>
      <c r="J14" s="39">
        <v>306</v>
      </c>
      <c r="K14" s="39">
        <v>364</v>
      </c>
      <c r="L14" s="39">
        <v>179</v>
      </c>
      <c r="M14" s="39">
        <v>164</v>
      </c>
      <c r="N14" s="39">
        <v>431</v>
      </c>
      <c r="O14" s="39">
        <v>12</v>
      </c>
      <c r="P14" s="39">
        <v>1022</v>
      </c>
      <c r="Q14" s="39">
        <v>-384</v>
      </c>
      <c r="R14" s="39">
        <v>-307</v>
      </c>
      <c r="S14" s="39">
        <v>211</v>
      </c>
      <c r="T14" s="39">
        <v>-1141</v>
      </c>
      <c r="U14" s="39">
        <v>-875</v>
      </c>
      <c r="V14" s="39">
        <v>-870</v>
      </c>
      <c r="W14" s="39">
        <v>-1019</v>
      </c>
      <c r="X14" s="39">
        <v>-2331</v>
      </c>
      <c r="Y14" s="39">
        <v>-2029</v>
      </c>
      <c r="Z14" s="39">
        <v>-1402</v>
      </c>
      <c r="AA14" s="39">
        <v>-1885</v>
      </c>
      <c r="AB14" s="39">
        <v>-2422</v>
      </c>
      <c r="AC14" s="39">
        <v>-1739</v>
      </c>
      <c r="AD14" s="39">
        <v>-1276</v>
      </c>
      <c r="AE14" s="39">
        <v>-1319</v>
      </c>
      <c r="AF14" s="39">
        <v>-1820</v>
      </c>
      <c r="AG14" s="39">
        <v>-1769</v>
      </c>
      <c r="AH14" s="39">
        <v>-1620</v>
      </c>
      <c r="AI14" s="39">
        <v>-2041</v>
      </c>
      <c r="AJ14" s="39">
        <v>-2771</v>
      </c>
      <c r="AK14" s="39">
        <v>-1142</v>
      </c>
      <c r="AL14" s="39">
        <v>755</v>
      </c>
      <c r="AM14" s="39">
        <v>-1704</v>
      </c>
      <c r="AN14" s="39">
        <v>-1864</v>
      </c>
      <c r="AO14" s="39">
        <v>-1987</v>
      </c>
      <c r="AP14" s="39">
        <v>-1328</v>
      </c>
      <c r="AQ14" s="39">
        <v>-1727</v>
      </c>
      <c r="AR14" s="39">
        <v>-2847</v>
      </c>
      <c r="AS14" s="39">
        <v>-1935</v>
      </c>
      <c r="AT14" s="39">
        <v>-1429</v>
      </c>
      <c r="AU14" s="39">
        <v>-2757</v>
      </c>
      <c r="AV14" s="39">
        <v>-628</v>
      </c>
      <c r="AW14" s="39">
        <v>-1832</v>
      </c>
      <c r="AX14" s="39">
        <v>-1887</v>
      </c>
      <c r="AY14" s="39">
        <v>-1979</v>
      </c>
      <c r="AZ14" s="39">
        <v>-2402</v>
      </c>
      <c r="BA14" s="39">
        <v>-698</v>
      </c>
      <c r="BB14" s="39">
        <v>2272</v>
      </c>
      <c r="BC14" s="39">
        <v>3349</v>
      </c>
      <c r="BD14" s="39">
        <v>7186</v>
      </c>
      <c r="BE14" s="39">
        <v>6813</v>
      </c>
      <c r="BF14" s="39">
        <v>11428</v>
      </c>
      <c r="BG14" s="39">
        <v>17942</v>
      </c>
      <c r="BH14" s="39">
        <v>33762</v>
      </c>
      <c r="BI14" s="39">
        <v>41920</v>
      </c>
      <c r="BJ14" s="39">
        <v>44154</v>
      </c>
      <c r="BK14" s="39">
        <v>52429</v>
      </c>
      <c r="BL14" s="40">
        <v>59327</v>
      </c>
      <c r="BM14" s="40">
        <v>77191</v>
      </c>
      <c r="BN14" s="40">
        <v>81177</v>
      </c>
      <c r="BO14" s="40">
        <v>91899</v>
      </c>
      <c r="BP14" s="40">
        <v>112516</v>
      </c>
      <c r="BQ14" s="40">
        <v>124924</v>
      </c>
      <c r="BR14" s="40">
        <v>128377</v>
      </c>
      <c r="BS14" s="40">
        <v>146683</v>
      </c>
      <c r="BT14" s="40">
        <v>158380</v>
      </c>
      <c r="BU14" s="40">
        <v>169738</v>
      </c>
      <c r="BV14" s="40">
        <v>177825</v>
      </c>
      <c r="BW14" s="40">
        <v>191727</v>
      </c>
      <c r="BX14" s="40">
        <v>242898</v>
      </c>
      <c r="BY14" s="39">
        <v>91417</v>
      </c>
      <c r="BZ14" s="39">
        <v>115619</v>
      </c>
      <c r="CA14" s="39">
        <v>118161</v>
      </c>
      <c r="CB14" s="39">
        <v>157406</v>
      </c>
      <c r="CC14" s="39">
        <v>194417</v>
      </c>
      <c r="CD14" s="39">
        <v>191392</v>
      </c>
      <c r="CE14" s="39">
        <v>203505</v>
      </c>
      <c r="CF14" s="39">
        <v>244731</v>
      </c>
      <c r="CG14" s="39">
        <v>305892</v>
      </c>
      <c r="CH14" s="39">
        <v>283124</v>
      </c>
      <c r="CI14" s="39">
        <v>308079</v>
      </c>
      <c r="CJ14" s="39">
        <v>384939</v>
      </c>
      <c r="CK14" s="39">
        <v>415585</v>
      </c>
      <c r="CL14" s="39">
        <v>479733</v>
      </c>
      <c r="CM14" s="39">
        <v>464774</v>
      </c>
      <c r="CN14" s="39">
        <v>491580</v>
      </c>
      <c r="CO14" s="39">
        <v>575240</v>
      </c>
      <c r="CP14" s="39">
        <v>614552</v>
      </c>
      <c r="CQ14" s="39">
        <v>623854</v>
      </c>
      <c r="CR14" s="39">
        <v>727185</v>
      </c>
      <c r="CS14" s="39">
        <v>778822</v>
      </c>
      <c r="CT14" s="39">
        <v>856891</v>
      </c>
      <c r="CU14" s="39">
        <v>925820</v>
      </c>
      <c r="CV14" s="39">
        <v>955789</v>
      </c>
      <c r="CW14" s="39">
        <v>1004740</v>
      </c>
      <c r="CX14" s="39">
        <v>1053418</v>
      </c>
      <c r="CY14" s="39">
        <v>1130499</v>
      </c>
      <c r="CZ14" s="39">
        <v>1180129</v>
      </c>
      <c r="DA14" s="39">
        <v>1284874</v>
      </c>
      <c r="DB14" s="39">
        <v>1263354</v>
      </c>
      <c r="DC14" s="39">
        <v>1289715</v>
      </c>
      <c r="DD14" s="39">
        <v>1094909</v>
      </c>
      <c r="DE14" s="39">
        <v>1225306</v>
      </c>
      <c r="DF14" s="39">
        <v>1033525</v>
      </c>
      <c r="DG14" s="39">
        <v>1080433</v>
      </c>
      <c r="DH14" s="39">
        <v>954063</v>
      </c>
      <c r="DI14" s="39">
        <v>1150863</v>
      </c>
      <c r="DJ14" s="39">
        <v>1031885</v>
      </c>
      <c r="DK14" s="39">
        <v>990735</v>
      </c>
      <c r="DL14" s="39">
        <v>844457</v>
      </c>
      <c r="DM14" s="39">
        <v>936583</v>
      </c>
      <c r="DN14" s="39">
        <v>760167</v>
      </c>
      <c r="DO14" s="39">
        <v>736371</v>
      </c>
      <c r="DP14" s="39">
        <v>636983</v>
      </c>
      <c r="DQ14" s="39">
        <v>220515</v>
      </c>
      <c r="DR14" s="39">
        <v>-17900</v>
      </c>
      <c r="DS14" s="39">
        <v>-454852</v>
      </c>
      <c r="DT14" s="39">
        <v>-544369</v>
      </c>
      <c r="DU14" s="39">
        <v>-538238</v>
      </c>
      <c r="DV14" s="39">
        <v>-650868</v>
      </c>
      <c r="DW14" s="39">
        <v>-412489</v>
      </c>
      <c r="DX14" s="39">
        <v>-237722</v>
      </c>
      <c r="DY14" s="39">
        <v>-99087</v>
      </c>
      <c r="DZ14" s="39">
        <v>-41818</v>
      </c>
      <c r="EA14" s="39">
        <v>-6923</v>
      </c>
      <c r="EB14" s="39">
        <v>-226790</v>
      </c>
      <c r="EC14" s="39">
        <v>-49679</v>
      </c>
      <c r="ED14" s="39">
        <v>63561</v>
      </c>
      <c r="EE14" s="39">
        <v>81096</v>
      </c>
      <c r="EF14" s="39">
        <v>-220743</v>
      </c>
      <c r="EG14" s="39">
        <v>-85640</v>
      </c>
      <c r="EH14" s="39">
        <v>-173533</v>
      </c>
      <c r="EI14" s="39">
        <v>97504</v>
      </c>
      <c r="EJ14" s="42">
        <v>-425354</v>
      </c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</row>
    <row r="15" spans="1:212" ht="13.5" customHeight="1">
      <c r="A15" s="47" t="s">
        <v>204</v>
      </c>
      <c r="B15" s="38">
        <v>1775</v>
      </c>
      <c r="C15" s="39">
        <v>1783</v>
      </c>
      <c r="D15" s="39">
        <v>1732</v>
      </c>
      <c r="E15" s="39">
        <v>1774</v>
      </c>
      <c r="F15" s="39">
        <v>1790</v>
      </c>
      <c r="G15" s="39">
        <v>1983</v>
      </c>
      <c r="H15" s="39">
        <v>1973</v>
      </c>
      <c r="I15" s="39">
        <v>1930</v>
      </c>
      <c r="J15" s="39">
        <v>1914</v>
      </c>
      <c r="K15" s="39">
        <v>1923</v>
      </c>
      <c r="L15" s="39">
        <v>1908</v>
      </c>
      <c r="M15" s="39">
        <v>2313</v>
      </c>
      <c r="N15" s="39">
        <v>2306</v>
      </c>
      <c r="O15" s="39">
        <v>2404</v>
      </c>
      <c r="P15" s="39">
        <v>2614</v>
      </c>
      <c r="Q15" s="39">
        <v>1752</v>
      </c>
      <c r="R15" s="39">
        <v>2186</v>
      </c>
      <c r="S15" s="39">
        <v>2309</v>
      </c>
      <c r="T15" s="39">
        <v>2489</v>
      </c>
      <c r="U15" s="39">
        <v>2448</v>
      </c>
      <c r="V15" s="39">
        <v>2377</v>
      </c>
      <c r="W15" s="39">
        <v>2392</v>
      </c>
      <c r="X15" s="39">
        <v>2401</v>
      </c>
      <c r="Y15" s="39">
        <v>2408</v>
      </c>
      <c r="Z15" s="39">
        <v>2408</v>
      </c>
      <c r="AA15" s="39">
        <v>2527</v>
      </c>
      <c r="AB15" s="39">
        <v>2701</v>
      </c>
      <c r="AC15" s="39">
        <v>2697</v>
      </c>
      <c r="AD15" s="39">
        <v>2688</v>
      </c>
      <c r="AE15" s="39">
        <v>2562</v>
      </c>
      <c r="AF15" s="39">
        <v>2500</v>
      </c>
      <c r="AG15" s="39">
        <v>2685</v>
      </c>
      <c r="AH15" s="39">
        <v>2641</v>
      </c>
      <c r="AI15" s="39">
        <v>2642</v>
      </c>
      <c r="AJ15" s="39">
        <v>2611</v>
      </c>
      <c r="AK15" s="39">
        <v>2811</v>
      </c>
      <c r="AL15" s="39">
        <v>2819</v>
      </c>
      <c r="AM15" s="39">
        <v>2829</v>
      </c>
      <c r="AN15" s="39">
        <v>2845</v>
      </c>
      <c r="AO15" s="39">
        <v>2862</v>
      </c>
      <c r="AP15" s="39">
        <v>2869</v>
      </c>
      <c r="AQ15" s="39">
        <v>2889</v>
      </c>
      <c r="AR15" s="39">
        <v>2892</v>
      </c>
      <c r="AS15" s="39">
        <v>3413</v>
      </c>
      <c r="AT15" s="39">
        <v>3420</v>
      </c>
      <c r="AU15" s="39">
        <v>3447</v>
      </c>
      <c r="AV15" s="39">
        <v>3430</v>
      </c>
      <c r="AW15" s="39">
        <v>3461</v>
      </c>
      <c r="AX15" s="39">
        <v>3476</v>
      </c>
      <c r="AY15" s="39">
        <v>3487</v>
      </c>
      <c r="AZ15" s="39">
        <v>3562</v>
      </c>
      <c r="BA15" s="39">
        <v>3770</v>
      </c>
      <c r="BB15" s="39">
        <v>4260</v>
      </c>
      <c r="BC15" s="39">
        <v>5452</v>
      </c>
      <c r="BD15" s="39">
        <v>10818</v>
      </c>
      <c r="BE15" s="39">
        <v>11014</v>
      </c>
      <c r="BF15" s="39">
        <v>11821</v>
      </c>
      <c r="BG15" s="39">
        <v>18488</v>
      </c>
      <c r="BH15" s="39">
        <v>34829</v>
      </c>
      <c r="BI15" s="39">
        <v>46784</v>
      </c>
      <c r="BJ15" s="39">
        <v>48034</v>
      </c>
      <c r="BK15" s="39">
        <v>53456</v>
      </c>
      <c r="BL15" s="48">
        <v>71526</v>
      </c>
      <c r="BM15" s="48">
        <v>80320</v>
      </c>
      <c r="BN15" s="48">
        <v>82648</v>
      </c>
      <c r="BO15" s="48">
        <v>93498</v>
      </c>
      <c r="BP15" s="48">
        <v>134319</v>
      </c>
      <c r="BQ15" s="48">
        <v>127687</v>
      </c>
      <c r="BR15" s="40">
        <v>129520</v>
      </c>
      <c r="BS15" s="40">
        <v>148126</v>
      </c>
      <c r="BT15" s="40">
        <v>169273</v>
      </c>
      <c r="BU15" s="40">
        <v>171549</v>
      </c>
      <c r="BV15" s="40">
        <v>178498</v>
      </c>
      <c r="BW15" s="40">
        <v>192905</v>
      </c>
      <c r="BX15" s="40">
        <v>265627</v>
      </c>
      <c r="BY15" s="39">
        <v>97041</v>
      </c>
      <c r="BZ15" s="39">
        <v>118187</v>
      </c>
      <c r="CA15" s="39">
        <v>120177</v>
      </c>
      <c r="CB15" s="39">
        <v>190573</v>
      </c>
      <c r="CC15" s="39">
        <v>195510</v>
      </c>
      <c r="CD15" s="39">
        <v>215254</v>
      </c>
      <c r="CE15" s="39">
        <v>204161</v>
      </c>
      <c r="CF15" s="39">
        <v>293715</v>
      </c>
      <c r="CG15" s="39">
        <v>309006</v>
      </c>
      <c r="CH15" s="39">
        <v>306371</v>
      </c>
      <c r="CI15" s="39">
        <v>310920</v>
      </c>
      <c r="CJ15" s="39">
        <v>422660</v>
      </c>
      <c r="CK15" s="39">
        <v>419284</v>
      </c>
      <c r="CL15" s="39">
        <v>483414</v>
      </c>
      <c r="CM15" s="39">
        <v>474710</v>
      </c>
      <c r="CN15" s="39">
        <v>562264</v>
      </c>
      <c r="CO15" s="39">
        <v>577783</v>
      </c>
      <c r="CP15" s="39">
        <v>621447</v>
      </c>
      <c r="CQ15" s="39">
        <v>625699</v>
      </c>
      <c r="CR15" s="39">
        <v>787699</v>
      </c>
      <c r="CS15" s="39">
        <v>803973</v>
      </c>
      <c r="CT15" s="39">
        <v>858837</v>
      </c>
      <c r="CU15" s="39">
        <v>926820</v>
      </c>
      <c r="CV15" s="39">
        <v>1057045</v>
      </c>
      <c r="CW15" s="39">
        <v>1031926</v>
      </c>
      <c r="CX15" s="39">
        <v>1100434</v>
      </c>
      <c r="CY15" s="39">
        <v>1203507</v>
      </c>
      <c r="CZ15" s="39">
        <v>1202392</v>
      </c>
      <c r="DA15" s="39">
        <v>1297666</v>
      </c>
      <c r="DB15" s="39">
        <v>1278813</v>
      </c>
      <c r="DC15" s="39">
        <v>1293504</v>
      </c>
      <c r="DD15" s="39">
        <v>1186583</v>
      </c>
      <c r="DE15" s="39">
        <v>1268944</v>
      </c>
      <c r="DF15" s="39">
        <v>1113857</v>
      </c>
      <c r="DG15" s="39">
        <v>1119357</v>
      </c>
      <c r="DH15" s="39">
        <v>1100920</v>
      </c>
      <c r="DI15" s="39">
        <v>1153697</v>
      </c>
      <c r="DJ15" s="39">
        <v>1107797</v>
      </c>
      <c r="DK15" s="39">
        <v>1130751</v>
      </c>
      <c r="DL15" s="39">
        <v>1099426</v>
      </c>
      <c r="DM15" s="39">
        <v>1193393</v>
      </c>
      <c r="DN15" s="39">
        <v>1199373</v>
      </c>
      <c r="DO15" s="39">
        <v>1132668</v>
      </c>
      <c r="DP15" s="39">
        <v>993072</v>
      </c>
      <c r="DQ15" s="39">
        <v>442277</v>
      </c>
      <c r="DR15" s="39">
        <v>519317</v>
      </c>
      <c r="DS15" s="39">
        <v>301339</v>
      </c>
      <c r="DT15" s="39">
        <v>304198</v>
      </c>
      <c r="DU15" s="39">
        <v>291921</v>
      </c>
      <c r="DV15" s="39">
        <v>355853</v>
      </c>
      <c r="DW15" s="39">
        <v>398770</v>
      </c>
      <c r="DX15" s="39">
        <v>336242</v>
      </c>
      <c r="DY15" s="39">
        <v>344508</v>
      </c>
      <c r="DZ15" s="39">
        <v>345132</v>
      </c>
      <c r="EA15" s="39">
        <v>345574</v>
      </c>
      <c r="EB15" s="39">
        <v>313031</v>
      </c>
      <c r="EC15" s="39">
        <v>322735</v>
      </c>
      <c r="ED15" s="39">
        <v>322868</v>
      </c>
      <c r="EE15" s="39">
        <v>323632</v>
      </c>
      <c r="EF15" s="39">
        <v>289891</v>
      </c>
      <c r="EG15" s="39">
        <v>300362</v>
      </c>
      <c r="EH15" s="39">
        <v>300433</v>
      </c>
      <c r="EI15" s="39">
        <v>300009</v>
      </c>
      <c r="EJ15" s="42">
        <v>267623</v>
      </c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</row>
    <row r="16" spans="1:212" ht="11.25" customHeight="1">
      <c r="A16" s="47" t="s">
        <v>205</v>
      </c>
      <c r="B16" s="38">
        <v>1612</v>
      </c>
      <c r="C16" s="39">
        <v>527</v>
      </c>
      <c r="D16" s="39">
        <v>355</v>
      </c>
      <c r="E16" s="39">
        <v>752</v>
      </c>
      <c r="F16" s="39">
        <v>1046</v>
      </c>
      <c r="G16" s="39">
        <v>1427</v>
      </c>
      <c r="H16" s="39">
        <v>1403</v>
      </c>
      <c r="I16" s="39">
        <v>1676</v>
      </c>
      <c r="J16" s="39">
        <v>1608</v>
      </c>
      <c r="K16" s="39">
        <v>1559</v>
      </c>
      <c r="L16" s="39">
        <v>1729</v>
      </c>
      <c r="M16" s="39">
        <v>2149</v>
      </c>
      <c r="N16" s="39">
        <v>1875</v>
      </c>
      <c r="O16" s="39">
        <v>2392</v>
      </c>
      <c r="P16" s="39">
        <v>1592</v>
      </c>
      <c r="Q16" s="39">
        <v>2136</v>
      </c>
      <c r="R16" s="39">
        <v>2493</v>
      </c>
      <c r="S16" s="39">
        <v>2098</v>
      </c>
      <c r="T16" s="39">
        <v>3630</v>
      </c>
      <c r="U16" s="39">
        <v>3323</v>
      </c>
      <c r="V16" s="39">
        <v>3247</v>
      </c>
      <c r="W16" s="39">
        <v>3411</v>
      </c>
      <c r="X16" s="39">
        <v>4732</v>
      </c>
      <c r="Y16" s="39">
        <v>4437</v>
      </c>
      <c r="Z16" s="39">
        <v>3810</v>
      </c>
      <c r="AA16" s="39">
        <v>4412</v>
      </c>
      <c r="AB16" s="39">
        <v>5123</v>
      </c>
      <c r="AC16" s="39">
        <v>4436</v>
      </c>
      <c r="AD16" s="39">
        <v>3964</v>
      </c>
      <c r="AE16" s="39">
        <v>3881</v>
      </c>
      <c r="AF16" s="39">
        <v>4320</v>
      </c>
      <c r="AG16" s="39">
        <v>4454</v>
      </c>
      <c r="AH16" s="39">
        <v>4261</v>
      </c>
      <c r="AI16" s="39">
        <v>4683</v>
      </c>
      <c r="AJ16" s="39">
        <v>5382</v>
      </c>
      <c r="AK16" s="39">
        <v>3953</v>
      </c>
      <c r="AL16" s="39">
        <v>2064</v>
      </c>
      <c r="AM16" s="39">
        <v>4533</v>
      </c>
      <c r="AN16" s="39">
        <v>4709</v>
      </c>
      <c r="AO16" s="39">
        <v>4849</v>
      </c>
      <c r="AP16" s="39">
        <v>4197</v>
      </c>
      <c r="AQ16" s="39">
        <v>4616</v>
      </c>
      <c r="AR16" s="39">
        <v>5739</v>
      </c>
      <c r="AS16" s="39">
        <v>5348</v>
      </c>
      <c r="AT16" s="39">
        <v>4849</v>
      </c>
      <c r="AU16" s="39">
        <v>6204</v>
      </c>
      <c r="AV16" s="39">
        <v>4058</v>
      </c>
      <c r="AW16" s="39">
        <v>5293</v>
      </c>
      <c r="AX16" s="39">
        <v>5363</v>
      </c>
      <c r="AY16" s="39">
        <v>5466</v>
      </c>
      <c r="AZ16" s="39">
        <v>5964</v>
      </c>
      <c r="BA16" s="39">
        <v>4468</v>
      </c>
      <c r="BB16" s="39">
        <v>1988</v>
      </c>
      <c r="BC16" s="39">
        <v>2103</v>
      </c>
      <c r="BD16" s="39">
        <v>3632</v>
      </c>
      <c r="BE16" s="39">
        <v>4201</v>
      </c>
      <c r="BF16" s="39">
        <v>393</v>
      </c>
      <c r="BG16" s="39">
        <v>546</v>
      </c>
      <c r="BH16" s="39">
        <v>1067</v>
      </c>
      <c r="BI16" s="39">
        <v>4864</v>
      </c>
      <c r="BJ16" s="39">
        <v>3880</v>
      </c>
      <c r="BK16" s="39">
        <v>1027</v>
      </c>
      <c r="BL16" s="48">
        <v>12199</v>
      </c>
      <c r="BM16" s="48">
        <v>3129</v>
      </c>
      <c r="BN16" s="48">
        <v>1471</v>
      </c>
      <c r="BO16" s="48">
        <v>1599</v>
      </c>
      <c r="BP16" s="48">
        <v>21803</v>
      </c>
      <c r="BQ16" s="48">
        <v>2763</v>
      </c>
      <c r="BR16" s="40">
        <v>1143</v>
      </c>
      <c r="BS16" s="40">
        <v>1443</v>
      </c>
      <c r="BT16" s="40">
        <v>10893</v>
      </c>
      <c r="BU16" s="40">
        <v>1811</v>
      </c>
      <c r="BV16" s="40">
        <v>673</v>
      </c>
      <c r="BW16" s="40">
        <v>1178</v>
      </c>
      <c r="BX16" s="40">
        <v>22729</v>
      </c>
      <c r="BY16" s="39">
        <v>5624</v>
      </c>
      <c r="BZ16" s="39">
        <v>2568</v>
      </c>
      <c r="CA16" s="39">
        <v>2016</v>
      </c>
      <c r="CB16" s="39">
        <v>33167</v>
      </c>
      <c r="CC16" s="39">
        <v>1093</v>
      </c>
      <c r="CD16" s="39">
        <v>23862</v>
      </c>
      <c r="CE16" s="39">
        <v>656</v>
      </c>
      <c r="CF16" s="39">
        <v>48984</v>
      </c>
      <c r="CG16" s="39">
        <v>3114</v>
      </c>
      <c r="CH16" s="39">
        <v>23247</v>
      </c>
      <c r="CI16" s="39">
        <v>2841</v>
      </c>
      <c r="CJ16" s="39">
        <v>37721</v>
      </c>
      <c r="CK16" s="39">
        <v>3699</v>
      </c>
      <c r="CL16" s="39">
        <v>3681</v>
      </c>
      <c r="CM16" s="39">
        <v>9936</v>
      </c>
      <c r="CN16" s="39">
        <v>70684</v>
      </c>
      <c r="CO16" s="39">
        <v>2543</v>
      </c>
      <c r="CP16" s="39">
        <v>6895</v>
      </c>
      <c r="CQ16" s="39">
        <v>1845</v>
      </c>
      <c r="CR16" s="39">
        <v>60514</v>
      </c>
      <c r="CS16" s="39">
        <v>25151</v>
      </c>
      <c r="CT16" s="39">
        <v>1946</v>
      </c>
      <c r="CU16" s="39">
        <v>1000</v>
      </c>
      <c r="CV16" s="39">
        <v>101256</v>
      </c>
      <c r="CW16" s="39">
        <v>27186</v>
      </c>
      <c r="CX16" s="39">
        <v>47016</v>
      </c>
      <c r="CY16" s="39">
        <v>73008</v>
      </c>
      <c r="CZ16" s="39">
        <v>22263</v>
      </c>
      <c r="DA16" s="39">
        <v>12792</v>
      </c>
      <c r="DB16" s="39">
        <v>15459</v>
      </c>
      <c r="DC16" s="39">
        <v>3789</v>
      </c>
      <c r="DD16" s="39">
        <v>91674</v>
      </c>
      <c r="DE16" s="39">
        <v>43638</v>
      </c>
      <c r="DF16" s="39">
        <v>80332</v>
      </c>
      <c r="DG16" s="39">
        <v>38924</v>
      </c>
      <c r="DH16" s="39">
        <v>146857</v>
      </c>
      <c r="DI16" s="39">
        <v>2834</v>
      </c>
      <c r="DJ16" s="39">
        <v>75912</v>
      </c>
      <c r="DK16" s="39">
        <v>140016</v>
      </c>
      <c r="DL16" s="39">
        <v>254969</v>
      </c>
      <c r="DM16" s="39">
        <v>256810</v>
      </c>
      <c r="DN16" s="39">
        <v>439206</v>
      </c>
      <c r="DO16" s="39">
        <v>396297</v>
      </c>
      <c r="DP16" s="39">
        <v>356089</v>
      </c>
      <c r="DQ16" s="39">
        <v>221762</v>
      </c>
      <c r="DR16" s="39">
        <v>537217</v>
      </c>
      <c r="DS16" s="39">
        <v>756191</v>
      </c>
      <c r="DT16" s="39">
        <v>848567</v>
      </c>
      <c r="DU16" s="39">
        <v>830159</v>
      </c>
      <c r="DV16" s="39">
        <v>1006721</v>
      </c>
      <c r="DW16" s="39">
        <v>811259</v>
      </c>
      <c r="DX16" s="39">
        <v>573964</v>
      </c>
      <c r="DY16" s="39">
        <v>443595</v>
      </c>
      <c r="DZ16" s="39">
        <v>386950</v>
      </c>
      <c r="EA16" s="39">
        <v>352497</v>
      </c>
      <c r="EB16" s="39">
        <v>539821</v>
      </c>
      <c r="EC16" s="39">
        <v>372414</v>
      </c>
      <c r="ED16" s="39">
        <v>259307</v>
      </c>
      <c r="EE16" s="39">
        <v>242536</v>
      </c>
      <c r="EF16" s="39">
        <v>510634</v>
      </c>
      <c r="EG16" s="39">
        <v>386002</v>
      </c>
      <c r="EH16" s="39">
        <v>473966</v>
      </c>
      <c r="EI16" s="39">
        <v>202505</v>
      </c>
      <c r="EJ16" s="42">
        <v>692977</v>
      </c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</row>
    <row r="17" spans="1:214">
      <c r="A17" s="47" t="s">
        <v>201</v>
      </c>
      <c r="B17" s="38">
        <v>247.59</v>
      </c>
      <c r="C17" s="39">
        <v>545.51</v>
      </c>
      <c r="D17" s="39">
        <v>752.38</v>
      </c>
      <c r="E17" s="39">
        <v>290</v>
      </c>
      <c r="F17" s="39">
        <v>945.02</v>
      </c>
      <c r="G17" s="39">
        <v>1094.82</v>
      </c>
      <c r="H17" s="39">
        <v>1047.02</v>
      </c>
      <c r="I17" s="39">
        <v>974.39</v>
      </c>
      <c r="J17" s="39">
        <v>786.15</v>
      </c>
      <c r="K17" s="39">
        <v>453.72</v>
      </c>
      <c r="L17" s="39">
        <v>-397.42</v>
      </c>
      <c r="M17" s="39">
        <v>-628.07000000000005</v>
      </c>
      <c r="N17" s="39">
        <v>-770</v>
      </c>
      <c r="O17" s="39">
        <v>-251.18</v>
      </c>
      <c r="P17" s="39">
        <v>1214.49</v>
      </c>
      <c r="Q17" s="39">
        <v>848.96</v>
      </c>
      <c r="R17" s="39">
        <v>1474.13</v>
      </c>
      <c r="S17" s="39">
        <v>2261.66</v>
      </c>
      <c r="T17" s="39">
        <v>2637</v>
      </c>
      <c r="U17" s="39">
        <v>1466</v>
      </c>
      <c r="V17" s="39">
        <v>1916</v>
      </c>
      <c r="W17" s="39">
        <v>2203.5</v>
      </c>
      <c r="X17" s="39">
        <v>2475</v>
      </c>
      <c r="Y17" s="39">
        <v>2249</v>
      </c>
      <c r="Z17" s="39">
        <v>2051</v>
      </c>
      <c r="AA17" s="39">
        <v>2401</v>
      </c>
      <c r="AB17" s="39">
        <v>3143</v>
      </c>
      <c r="AC17" s="39">
        <v>2148</v>
      </c>
      <c r="AD17" s="39">
        <v>2159</v>
      </c>
      <c r="AE17" s="39">
        <v>1538</v>
      </c>
      <c r="AF17" s="39">
        <v>2065</v>
      </c>
      <c r="AG17" s="39">
        <v>1473</v>
      </c>
      <c r="AH17" s="39">
        <v>1423</v>
      </c>
      <c r="AI17" s="39">
        <v>1755</v>
      </c>
      <c r="AJ17" s="39">
        <v>1823</v>
      </c>
      <c r="AK17" s="39">
        <v>-50</v>
      </c>
      <c r="AL17" s="39">
        <v>-983</v>
      </c>
      <c r="AM17" s="39">
        <v>-1387</v>
      </c>
      <c r="AN17" s="39">
        <v>-903</v>
      </c>
      <c r="AO17" s="39">
        <v>-580</v>
      </c>
      <c r="AP17" s="39">
        <v>-1458</v>
      </c>
      <c r="AQ17" s="39">
        <v>-2557</v>
      </c>
      <c r="AR17" s="39">
        <v>-1870</v>
      </c>
      <c r="AS17" s="39">
        <v>-805</v>
      </c>
      <c r="AT17" s="39">
        <v>-1510</v>
      </c>
      <c r="AU17" s="39">
        <v>-1096</v>
      </c>
      <c r="AV17" s="39">
        <v>1933</v>
      </c>
      <c r="AW17" s="39">
        <v>-1898</v>
      </c>
      <c r="AX17" s="39">
        <v>-1944</v>
      </c>
      <c r="AY17" s="39">
        <v>-1312</v>
      </c>
      <c r="AZ17" s="39">
        <v>-635</v>
      </c>
      <c r="BA17" s="39">
        <v>-28</v>
      </c>
      <c r="BB17" s="39">
        <v>-427</v>
      </c>
      <c r="BC17" s="39">
        <v>38</v>
      </c>
      <c r="BD17" s="39">
        <v>-102</v>
      </c>
      <c r="BE17" s="39">
        <v>-1260</v>
      </c>
      <c r="BF17" s="39">
        <v>-1620</v>
      </c>
      <c r="BG17" s="39">
        <v>-752</v>
      </c>
      <c r="BH17" s="39">
        <v>179</v>
      </c>
      <c r="BI17" s="39">
        <v>2103</v>
      </c>
      <c r="BJ17" s="39">
        <v>2229</v>
      </c>
      <c r="BK17" s="39">
        <v>5410</v>
      </c>
      <c r="BL17" s="39">
        <v>13174</v>
      </c>
      <c r="BM17" s="39">
        <v>11782</v>
      </c>
      <c r="BN17" s="39">
        <v>15915</v>
      </c>
      <c r="BO17" s="39">
        <v>12530</v>
      </c>
      <c r="BP17" s="39">
        <v>5373</v>
      </c>
      <c r="BQ17" s="39">
        <v>2614</v>
      </c>
      <c r="BR17" s="39">
        <v>7708</v>
      </c>
      <c r="BS17" s="39">
        <v>2290</v>
      </c>
      <c r="BT17" s="39">
        <v>6420</v>
      </c>
      <c r="BU17" s="39">
        <v>5176</v>
      </c>
      <c r="BV17" s="39">
        <v>5109</v>
      </c>
      <c r="BW17" s="39">
        <v>2985</v>
      </c>
      <c r="BX17" s="39">
        <v>4946</v>
      </c>
      <c r="BY17" s="39">
        <v>6965</v>
      </c>
      <c r="BZ17" s="39">
        <v>4948</v>
      </c>
      <c r="CA17" s="39">
        <v>1060</v>
      </c>
      <c r="CB17" s="39">
        <v>8599</v>
      </c>
      <c r="CC17" s="39">
        <v>11591</v>
      </c>
      <c r="CD17" s="39">
        <v>24480</v>
      </c>
      <c r="CE17" s="39">
        <v>44317</v>
      </c>
      <c r="CF17" s="39">
        <v>67158</v>
      </c>
      <c r="CG17" s="39">
        <v>76168</v>
      </c>
      <c r="CH17" s="39">
        <v>100590</v>
      </c>
      <c r="CI17" s="39">
        <v>125864</v>
      </c>
      <c r="CJ17" s="39">
        <v>99394</v>
      </c>
      <c r="CK17" s="39">
        <v>140840</v>
      </c>
      <c r="CL17" s="39">
        <v>142307</v>
      </c>
      <c r="CM17" s="39">
        <v>212010</v>
      </c>
      <c r="CN17" s="39">
        <v>149725</v>
      </c>
      <c r="CO17" s="39">
        <v>159041</v>
      </c>
      <c r="CP17" s="39">
        <v>146496</v>
      </c>
      <c r="CQ17" s="39">
        <v>148066</v>
      </c>
      <c r="CR17" s="39">
        <v>160075</v>
      </c>
      <c r="CS17" s="39">
        <v>151737</v>
      </c>
      <c r="CT17" s="39">
        <v>137868</v>
      </c>
      <c r="CU17" s="39">
        <v>203002</v>
      </c>
      <c r="CV17" s="39">
        <v>272295</v>
      </c>
      <c r="CW17" s="39">
        <v>278654</v>
      </c>
      <c r="CX17" s="39">
        <v>265994</v>
      </c>
      <c r="CY17" s="39">
        <v>278711</v>
      </c>
      <c r="CZ17" s="39">
        <v>329221</v>
      </c>
      <c r="DA17" s="39">
        <v>252448</v>
      </c>
      <c r="DB17" s="39">
        <v>302559</v>
      </c>
      <c r="DC17" s="39">
        <v>391498</v>
      </c>
      <c r="DD17" s="39">
        <v>721300</v>
      </c>
      <c r="DE17" s="39">
        <v>693466</v>
      </c>
      <c r="DF17" s="39">
        <v>768866</v>
      </c>
      <c r="DG17" s="39">
        <v>853748</v>
      </c>
      <c r="DH17" s="39">
        <v>1059195</v>
      </c>
      <c r="DI17" s="39">
        <v>944967</v>
      </c>
      <c r="DJ17" s="39">
        <v>1139880</v>
      </c>
      <c r="DK17" s="39">
        <v>1076731</v>
      </c>
      <c r="DL17" s="39">
        <v>1074763</v>
      </c>
      <c r="DM17" s="39">
        <v>1045916</v>
      </c>
      <c r="DN17" s="39">
        <v>1236751</v>
      </c>
      <c r="DO17" s="39">
        <v>1239522</v>
      </c>
      <c r="DP17" s="39">
        <v>1384086</v>
      </c>
      <c r="DQ17" s="39">
        <v>1995193</v>
      </c>
      <c r="DR17" s="39">
        <v>2318882</v>
      </c>
      <c r="DS17" s="39">
        <v>2690442</v>
      </c>
      <c r="DT17" s="39">
        <v>2867656.5</v>
      </c>
      <c r="DU17" s="39">
        <v>2943026.3</v>
      </c>
      <c r="DV17" s="39">
        <v>2954316.5</v>
      </c>
      <c r="DW17" s="39">
        <v>3081423.3</v>
      </c>
      <c r="DX17" s="39">
        <v>2868834.9</v>
      </c>
      <c r="DY17" s="39">
        <v>2829675.5</v>
      </c>
      <c r="DZ17" s="39">
        <v>2876869.4</v>
      </c>
      <c r="EA17" s="39">
        <v>2710518.4</v>
      </c>
      <c r="EB17" s="39">
        <v>3034490.3</v>
      </c>
      <c r="EC17" s="39">
        <v>2842736</v>
      </c>
      <c r="ED17" s="39">
        <v>2947001.1</v>
      </c>
      <c r="EE17" s="39">
        <v>3244871.4</v>
      </c>
      <c r="EF17" s="39">
        <v>3503162.5</v>
      </c>
      <c r="EG17" s="39">
        <v>3390874.6</v>
      </c>
      <c r="EH17" s="39">
        <v>3399984.7</v>
      </c>
      <c r="EI17" s="39">
        <v>2948022.3</v>
      </c>
      <c r="EJ17" s="42">
        <v>3395066.8</v>
      </c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</row>
    <row r="18" spans="1:214">
      <c r="A18" s="47" t="s">
        <v>204</v>
      </c>
      <c r="B18" s="38">
        <v>3267</v>
      </c>
      <c r="C18" s="39">
        <v>3531</v>
      </c>
      <c r="D18" s="39">
        <v>3464</v>
      </c>
      <c r="E18" s="39">
        <v>3036</v>
      </c>
      <c r="F18" s="39">
        <v>4040</v>
      </c>
      <c r="G18" s="39">
        <v>4474</v>
      </c>
      <c r="H18" s="39">
        <v>4656</v>
      </c>
      <c r="I18" s="39">
        <v>4764</v>
      </c>
      <c r="J18" s="39">
        <v>4816</v>
      </c>
      <c r="K18" s="39">
        <v>4704</v>
      </c>
      <c r="L18" s="39">
        <v>4606</v>
      </c>
      <c r="M18" s="39">
        <v>4732</v>
      </c>
      <c r="N18" s="39">
        <v>4392</v>
      </c>
      <c r="O18" s="39">
        <v>5226</v>
      </c>
      <c r="P18" s="39">
        <v>6622</v>
      </c>
      <c r="Q18" s="39">
        <v>6781.68</v>
      </c>
      <c r="R18" s="39">
        <v>7936.68</v>
      </c>
      <c r="S18" s="39">
        <v>9689.9599999999991</v>
      </c>
      <c r="T18" s="39">
        <v>10863</v>
      </c>
      <c r="U18" s="39">
        <v>9740</v>
      </c>
      <c r="V18" s="39">
        <v>10189</v>
      </c>
      <c r="W18" s="39">
        <v>10365.5</v>
      </c>
      <c r="X18" s="39">
        <v>10526</v>
      </c>
      <c r="Y18" s="39">
        <v>10462</v>
      </c>
      <c r="Z18" s="39">
        <v>10519</v>
      </c>
      <c r="AA18" s="39">
        <v>10742</v>
      </c>
      <c r="AB18" s="39">
        <v>11254</v>
      </c>
      <c r="AC18" s="39">
        <v>10997</v>
      </c>
      <c r="AD18" s="39">
        <v>11742</v>
      </c>
      <c r="AE18" s="39">
        <v>11398</v>
      </c>
      <c r="AF18" s="39">
        <v>11482</v>
      </c>
      <c r="AG18" s="39">
        <v>11339</v>
      </c>
      <c r="AH18" s="39">
        <v>11947</v>
      </c>
      <c r="AI18" s="39">
        <v>12318</v>
      </c>
      <c r="AJ18" s="39">
        <v>12223</v>
      </c>
      <c r="AK18" s="39">
        <v>12682</v>
      </c>
      <c r="AL18" s="39">
        <v>12733</v>
      </c>
      <c r="AM18" s="39">
        <v>13002</v>
      </c>
      <c r="AN18" s="39">
        <v>13548</v>
      </c>
      <c r="AO18" s="39">
        <v>14173</v>
      </c>
      <c r="AP18" s="39">
        <v>14507</v>
      </c>
      <c r="AQ18" s="39">
        <v>14352</v>
      </c>
      <c r="AR18" s="39">
        <v>14486</v>
      </c>
      <c r="AS18" s="39">
        <v>15975</v>
      </c>
      <c r="AT18" s="39">
        <v>16394</v>
      </c>
      <c r="AU18" s="39">
        <v>17281</v>
      </c>
      <c r="AV18" s="39">
        <v>19998</v>
      </c>
      <c r="AW18" s="39">
        <v>17088</v>
      </c>
      <c r="AX18" s="39">
        <v>17554</v>
      </c>
      <c r="AY18" s="39">
        <v>18123</v>
      </c>
      <c r="AZ18" s="39">
        <v>19763</v>
      </c>
      <c r="BA18" s="39">
        <v>22099</v>
      </c>
      <c r="BB18" s="39">
        <v>21289</v>
      </c>
      <c r="BC18" s="39">
        <v>24190</v>
      </c>
      <c r="BD18" s="39">
        <v>24423</v>
      </c>
      <c r="BE18" s="39">
        <v>26689</v>
      </c>
      <c r="BF18" s="39">
        <v>26152</v>
      </c>
      <c r="BG18" s="39">
        <v>28498</v>
      </c>
      <c r="BH18" s="39">
        <v>30894</v>
      </c>
      <c r="BI18" s="39">
        <v>34108</v>
      </c>
      <c r="BJ18" s="39">
        <v>33885</v>
      </c>
      <c r="BK18" s="39">
        <v>38732</v>
      </c>
      <c r="BL18" s="48">
        <v>48179</v>
      </c>
      <c r="BM18" s="48">
        <v>49490</v>
      </c>
      <c r="BN18" s="48">
        <v>53000</v>
      </c>
      <c r="BO18" s="48">
        <v>49600</v>
      </c>
      <c r="BP18" s="48">
        <v>45903</v>
      </c>
      <c r="BQ18" s="48">
        <v>49442</v>
      </c>
      <c r="BR18" s="40">
        <v>46486</v>
      </c>
      <c r="BS18" s="40">
        <v>48181</v>
      </c>
      <c r="BT18" s="40">
        <v>52014</v>
      </c>
      <c r="BU18" s="40">
        <v>52614</v>
      </c>
      <c r="BV18" s="40">
        <v>54486</v>
      </c>
      <c r="BW18" s="40">
        <v>58877</v>
      </c>
      <c r="BX18" s="40">
        <v>69503</v>
      </c>
      <c r="BY18" s="39">
        <v>70226</v>
      </c>
      <c r="BZ18" s="39">
        <v>68680</v>
      </c>
      <c r="CA18" s="39">
        <v>75757</v>
      </c>
      <c r="CB18" s="39">
        <v>86172</v>
      </c>
      <c r="CC18" s="39">
        <v>88623</v>
      </c>
      <c r="CD18" s="39">
        <v>112048</v>
      </c>
      <c r="CE18" s="39">
        <v>130478</v>
      </c>
      <c r="CF18" s="39">
        <v>155139</v>
      </c>
      <c r="CG18" s="39">
        <v>159617</v>
      </c>
      <c r="CH18" s="39">
        <v>201626</v>
      </c>
      <c r="CI18" s="39">
        <v>223622</v>
      </c>
      <c r="CJ18" s="39">
        <v>210205</v>
      </c>
      <c r="CK18" s="39">
        <v>239130</v>
      </c>
      <c r="CL18" s="39">
        <v>261144</v>
      </c>
      <c r="CM18" s="39">
        <v>335183</v>
      </c>
      <c r="CN18" s="39">
        <v>270056</v>
      </c>
      <c r="CO18" s="39">
        <v>280410</v>
      </c>
      <c r="CP18" s="39">
        <v>288819</v>
      </c>
      <c r="CQ18" s="39">
        <v>295205</v>
      </c>
      <c r="CR18" s="39">
        <v>313082</v>
      </c>
      <c r="CS18" s="39">
        <v>313329</v>
      </c>
      <c r="CT18" s="39">
        <v>325455</v>
      </c>
      <c r="CU18" s="39">
        <v>432452</v>
      </c>
      <c r="CV18" s="39">
        <v>509418</v>
      </c>
      <c r="CW18" s="39">
        <v>479796</v>
      </c>
      <c r="CX18" s="39">
        <v>538485</v>
      </c>
      <c r="CY18" s="39">
        <v>567446</v>
      </c>
      <c r="CZ18" s="39">
        <v>633947</v>
      </c>
      <c r="DA18" s="39">
        <v>555974</v>
      </c>
      <c r="DB18" s="39">
        <v>656292</v>
      </c>
      <c r="DC18" s="39">
        <v>748694</v>
      </c>
      <c r="DD18" s="39">
        <v>982636</v>
      </c>
      <c r="DE18" s="39">
        <v>988609</v>
      </c>
      <c r="DF18" s="39">
        <v>1134241</v>
      </c>
      <c r="DG18" s="39">
        <v>1148344</v>
      </c>
      <c r="DH18" s="39">
        <v>1394098</v>
      </c>
      <c r="DI18" s="39">
        <v>1278379</v>
      </c>
      <c r="DJ18" s="39">
        <v>1552047</v>
      </c>
      <c r="DK18" s="39">
        <v>1466052</v>
      </c>
      <c r="DL18" s="39">
        <v>1474152</v>
      </c>
      <c r="DM18" s="39">
        <v>1433558</v>
      </c>
      <c r="DN18" s="39">
        <v>1693475</v>
      </c>
      <c r="DO18" s="39">
        <v>1701186</v>
      </c>
      <c r="DP18" s="39">
        <v>1860419</v>
      </c>
      <c r="DQ18" s="39">
        <v>2531994</v>
      </c>
      <c r="DR18" s="39">
        <v>2910143</v>
      </c>
      <c r="DS18" s="39">
        <v>3283208</v>
      </c>
      <c r="DT18" s="39">
        <v>3440095</v>
      </c>
      <c r="DU18" s="39">
        <v>3471722</v>
      </c>
      <c r="DV18" s="39">
        <v>3589915</v>
      </c>
      <c r="DW18" s="39">
        <v>3648813</v>
      </c>
      <c r="DX18" s="39">
        <v>3387732</v>
      </c>
      <c r="DY18" s="39">
        <v>3317490</v>
      </c>
      <c r="DZ18" s="39">
        <v>3431824</v>
      </c>
      <c r="EA18" s="39">
        <v>3235456</v>
      </c>
      <c r="EB18" s="39">
        <v>3548433</v>
      </c>
      <c r="EC18" s="39">
        <v>3371088</v>
      </c>
      <c r="ED18" s="39">
        <v>3578386</v>
      </c>
      <c r="EE18" s="39">
        <v>3866369</v>
      </c>
      <c r="EF18" s="39">
        <v>4126931</v>
      </c>
      <c r="EG18" s="39">
        <v>4067825</v>
      </c>
      <c r="EH18" s="39">
        <v>4238872</v>
      </c>
      <c r="EI18" s="39">
        <v>3729368</v>
      </c>
      <c r="EJ18" s="42">
        <v>4194328</v>
      </c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</row>
    <row r="19" spans="1:214">
      <c r="A19" s="47" t="s">
        <v>205</v>
      </c>
      <c r="B19" s="38">
        <v>3019.41</v>
      </c>
      <c r="C19" s="39">
        <v>2985.49</v>
      </c>
      <c r="D19" s="39">
        <v>2711.62</v>
      </c>
      <c r="E19" s="39">
        <v>2746</v>
      </c>
      <c r="F19" s="39">
        <v>3094.98</v>
      </c>
      <c r="G19" s="39">
        <v>3379.18</v>
      </c>
      <c r="H19" s="39">
        <v>3608.98</v>
      </c>
      <c r="I19" s="39">
        <v>3789.61</v>
      </c>
      <c r="J19" s="39">
        <v>4029.85</v>
      </c>
      <c r="K19" s="39">
        <v>4250.28</v>
      </c>
      <c r="L19" s="39">
        <v>5003.42</v>
      </c>
      <c r="M19" s="39">
        <v>5360.07</v>
      </c>
      <c r="N19" s="39">
        <v>5162</v>
      </c>
      <c r="O19" s="39">
        <v>5477.18</v>
      </c>
      <c r="P19" s="39">
        <v>5407.51</v>
      </c>
      <c r="Q19" s="39">
        <v>5932.72</v>
      </c>
      <c r="R19" s="39">
        <v>6462.55</v>
      </c>
      <c r="S19" s="39">
        <v>7428.3</v>
      </c>
      <c r="T19" s="39">
        <v>8226</v>
      </c>
      <c r="U19" s="39">
        <v>8274</v>
      </c>
      <c r="V19" s="39">
        <v>8273</v>
      </c>
      <c r="W19" s="39">
        <v>8162</v>
      </c>
      <c r="X19" s="39">
        <v>8051</v>
      </c>
      <c r="Y19" s="39">
        <v>8213</v>
      </c>
      <c r="Z19" s="39">
        <v>8468</v>
      </c>
      <c r="AA19" s="39">
        <v>8341</v>
      </c>
      <c r="AB19" s="39">
        <v>8111</v>
      </c>
      <c r="AC19" s="39">
        <v>8849</v>
      </c>
      <c r="AD19" s="39">
        <v>9583</v>
      </c>
      <c r="AE19" s="39">
        <v>9860</v>
      </c>
      <c r="AF19" s="39">
        <v>9417</v>
      </c>
      <c r="AG19" s="39">
        <v>9866</v>
      </c>
      <c r="AH19" s="39">
        <v>10524</v>
      </c>
      <c r="AI19" s="39">
        <v>10563</v>
      </c>
      <c r="AJ19" s="39">
        <v>10400</v>
      </c>
      <c r="AK19" s="39">
        <v>12732</v>
      </c>
      <c r="AL19" s="39">
        <v>13716</v>
      </c>
      <c r="AM19" s="39">
        <v>14389</v>
      </c>
      <c r="AN19" s="39">
        <v>14451</v>
      </c>
      <c r="AO19" s="39">
        <v>14753</v>
      </c>
      <c r="AP19" s="39">
        <v>15965</v>
      </c>
      <c r="AQ19" s="39">
        <v>16909</v>
      </c>
      <c r="AR19" s="39">
        <v>16356</v>
      </c>
      <c r="AS19" s="39">
        <v>16780</v>
      </c>
      <c r="AT19" s="39">
        <v>17904</v>
      </c>
      <c r="AU19" s="39">
        <v>18377</v>
      </c>
      <c r="AV19" s="39">
        <v>18065</v>
      </c>
      <c r="AW19" s="39">
        <v>18986</v>
      </c>
      <c r="AX19" s="39">
        <v>19498</v>
      </c>
      <c r="AY19" s="39">
        <v>19435</v>
      </c>
      <c r="AZ19" s="39">
        <v>20398</v>
      </c>
      <c r="BA19" s="39">
        <v>22127</v>
      </c>
      <c r="BB19" s="39">
        <v>21716</v>
      </c>
      <c r="BC19" s="39">
        <v>24152</v>
      </c>
      <c r="BD19" s="39">
        <v>24525</v>
      </c>
      <c r="BE19" s="39">
        <v>27949</v>
      </c>
      <c r="BF19" s="39">
        <v>27772</v>
      </c>
      <c r="BG19" s="39">
        <v>29250</v>
      </c>
      <c r="BH19" s="39">
        <v>30715</v>
      </c>
      <c r="BI19" s="39">
        <v>32005</v>
      </c>
      <c r="BJ19" s="39">
        <v>31656</v>
      </c>
      <c r="BK19" s="39">
        <v>33322</v>
      </c>
      <c r="BL19" s="48">
        <v>35005</v>
      </c>
      <c r="BM19" s="48">
        <v>37708</v>
      </c>
      <c r="BN19" s="48">
        <v>37085</v>
      </c>
      <c r="BO19" s="48">
        <v>37070</v>
      </c>
      <c r="BP19" s="48">
        <v>40530</v>
      </c>
      <c r="BQ19" s="48">
        <v>46828</v>
      </c>
      <c r="BR19" s="40">
        <v>38778</v>
      </c>
      <c r="BS19" s="40">
        <v>45891</v>
      </c>
      <c r="BT19" s="40">
        <v>45594</v>
      </c>
      <c r="BU19" s="40">
        <v>47438</v>
      </c>
      <c r="BV19" s="40">
        <v>49377</v>
      </c>
      <c r="BW19" s="40">
        <v>55892</v>
      </c>
      <c r="BX19" s="40">
        <v>64557</v>
      </c>
      <c r="BY19" s="39">
        <v>63261</v>
      </c>
      <c r="BZ19" s="39">
        <v>63732</v>
      </c>
      <c r="CA19" s="39">
        <v>74697</v>
      </c>
      <c r="CB19" s="39">
        <v>77573</v>
      </c>
      <c r="CC19" s="39">
        <v>77032</v>
      </c>
      <c r="CD19" s="39">
        <v>87568</v>
      </c>
      <c r="CE19" s="39">
        <v>86161</v>
      </c>
      <c r="CF19" s="39">
        <v>87981</v>
      </c>
      <c r="CG19" s="39">
        <v>83449</v>
      </c>
      <c r="CH19" s="39">
        <v>101036</v>
      </c>
      <c r="CI19" s="39">
        <v>97758</v>
      </c>
      <c r="CJ19" s="39">
        <v>110811</v>
      </c>
      <c r="CK19" s="39">
        <v>98290</v>
      </c>
      <c r="CL19" s="39">
        <v>118837</v>
      </c>
      <c r="CM19" s="39">
        <v>123173</v>
      </c>
      <c r="CN19" s="39">
        <v>120331</v>
      </c>
      <c r="CO19" s="39">
        <v>121369</v>
      </c>
      <c r="CP19" s="39">
        <v>142323</v>
      </c>
      <c r="CQ19" s="39">
        <v>147139</v>
      </c>
      <c r="CR19" s="39">
        <v>153007</v>
      </c>
      <c r="CS19" s="39">
        <v>161592</v>
      </c>
      <c r="CT19" s="39">
        <v>187587</v>
      </c>
      <c r="CU19" s="39">
        <v>229450</v>
      </c>
      <c r="CV19" s="39">
        <v>237123</v>
      </c>
      <c r="CW19" s="39">
        <v>201142</v>
      </c>
      <c r="CX19" s="39">
        <v>272491</v>
      </c>
      <c r="CY19" s="39">
        <v>288735</v>
      </c>
      <c r="CZ19" s="39">
        <v>304726</v>
      </c>
      <c r="DA19" s="39">
        <v>303526</v>
      </c>
      <c r="DB19" s="39">
        <v>353733</v>
      </c>
      <c r="DC19" s="39">
        <v>357196</v>
      </c>
      <c r="DD19" s="39">
        <v>261336</v>
      </c>
      <c r="DE19" s="39">
        <v>295143</v>
      </c>
      <c r="DF19" s="39">
        <v>365375</v>
      </c>
      <c r="DG19" s="39">
        <v>294596</v>
      </c>
      <c r="DH19" s="39">
        <v>334903</v>
      </c>
      <c r="DI19" s="39">
        <v>333412</v>
      </c>
      <c r="DJ19" s="39">
        <v>412167</v>
      </c>
      <c r="DK19" s="39">
        <v>389321</v>
      </c>
      <c r="DL19" s="39">
        <v>399389</v>
      </c>
      <c r="DM19" s="39">
        <v>387642</v>
      </c>
      <c r="DN19" s="39">
        <v>456724</v>
      </c>
      <c r="DO19" s="39">
        <v>461664</v>
      </c>
      <c r="DP19" s="39">
        <v>476333</v>
      </c>
      <c r="DQ19" s="39">
        <v>536801</v>
      </c>
      <c r="DR19" s="39">
        <v>591261</v>
      </c>
      <c r="DS19" s="39">
        <v>592766</v>
      </c>
      <c r="DT19" s="39">
        <v>572438.5</v>
      </c>
      <c r="DU19" s="39">
        <v>528695.69999999995</v>
      </c>
      <c r="DV19" s="39">
        <v>635598.5</v>
      </c>
      <c r="DW19" s="39">
        <v>567389.69999999995</v>
      </c>
      <c r="DX19" s="39">
        <v>518897.1</v>
      </c>
      <c r="DY19" s="39">
        <v>487814.5</v>
      </c>
      <c r="DZ19" s="39">
        <v>554954.6</v>
      </c>
      <c r="EA19" s="39">
        <v>524937.6</v>
      </c>
      <c r="EB19" s="39">
        <v>513942.7</v>
      </c>
      <c r="EC19" s="39">
        <v>528352</v>
      </c>
      <c r="ED19" s="39">
        <v>631384.9</v>
      </c>
      <c r="EE19" s="39">
        <v>621497.59999999998</v>
      </c>
      <c r="EF19" s="39">
        <v>623768.5</v>
      </c>
      <c r="EG19" s="39">
        <v>676950.4</v>
      </c>
      <c r="EH19" s="39">
        <v>838887.3</v>
      </c>
      <c r="EI19" s="39">
        <v>781345.7</v>
      </c>
      <c r="EJ19" s="42">
        <v>799261.2</v>
      </c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</row>
    <row r="20" spans="1:214">
      <c r="A20" s="49" t="s">
        <v>206</v>
      </c>
      <c r="B20" s="44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  <c r="AR20" s="45">
        <v>0</v>
      </c>
      <c r="AS20" s="45">
        <v>0</v>
      </c>
      <c r="AT20" s="45">
        <v>0</v>
      </c>
      <c r="AU20" s="45">
        <v>0</v>
      </c>
      <c r="AV20" s="45">
        <v>0</v>
      </c>
      <c r="AW20" s="45">
        <v>0</v>
      </c>
      <c r="AX20" s="45">
        <v>0</v>
      </c>
      <c r="AY20" s="45">
        <v>0</v>
      </c>
      <c r="AZ20" s="45">
        <v>0</v>
      </c>
      <c r="BA20" s="45">
        <v>0</v>
      </c>
      <c r="BB20" s="45">
        <v>0</v>
      </c>
      <c r="BC20" s="45">
        <v>0</v>
      </c>
      <c r="BD20" s="45">
        <v>0</v>
      </c>
      <c r="BE20" s="45"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0</v>
      </c>
      <c r="BK20" s="45">
        <v>0</v>
      </c>
      <c r="BL20" s="48">
        <v>0</v>
      </c>
      <c r="BM20" s="48">
        <v>0</v>
      </c>
      <c r="BN20" s="48">
        <v>0</v>
      </c>
      <c r="BO20" s="48">
        <v>0</v>
      </c>
      <c r="BP20" s="48">
        <v>0</v>
      </c>
      <c r="BQ20" s="48">
        <v>0</v>
      </c>
      <c r="BR20" s="40">
        <v>0</v>
      </c>
      <c r="BS20" s="39">
        <v>0</v>
      </c>
      <c r="BT20" s="39">
        <v>0</v>
      </c>
      <c r="BU20" s="39">
        <v>0</v>
      </c>
      <c r="BV20" s="39">
        <v>0</v>
      </c>
      <c r="BW20" s="39">
        <v>0</v>
      </c>
      <c r="BX20" s="40">
        <v>0</v>
      </c>
      <c r="BY20" s="39">
        <v>0</v>
      </c>
      <c r="BZ20" s="39">
        <v>0</v>
      </c>
      <c r="CA20" s="39">
        <v>0</v>
      </c>
      <c r="CB20" s="39">
        <v>0</v>
      </c>
      <c r="CC20" s="39">
        <v>0</v>
      </c>
      <c r="CD20" s="39">
        <v>0</v>
      </c>
      <c r="CE20" s="39">
        <v>0</v>
      </c>
      <c r="CF20" s="39">
        <v>0</v>
      </c>
      <c r="CG20" s="39">
        <v>0</v>
      </c>
      <c r="CH20" s="39">
        <v>0</v>
      </c>
      <c r="CI20" s="39">
        <v>0</v>
      </c>
      <c r="CJ20" s="39">
        <v>0</v>
      </c>
      <c r="CK20" s="39">
        <v>0</v>
      </c>
      <c r="CL20" s="39">
        <v>0</v>
      </c>
      <c r="CM20" s="39">
        <v>0</v>
      </c>
      <c r="CN20" s="39">
        <v>0</v>
      </c>
      <c r="CO20" s="39">
        <v>0</v>
      </c>
      <c r="CP20" s="39">
        <v>0</v>
      </c>
      <c r="CQ20" s="39">
        <v>0</v>
      </c>
      <c r="CR20" s="39">
        <v>0</v>
      </c>
      <c r="CS20" s="39">
        <v>0</v>
      </c>
      <c r="CT20" s="39">
        <v>0</v>
      </c>
      <c r="CU20" s="39">
        <v>41698</v>
      </c>
      <c r="CV20" s="39">
        <v>105054</v>
      </c>
      <c r="CW20" s="39">
        <v>153708</v>
      </c>
      <c r="CX20" s="39">
        <v>183359</v>
      </c>
      <c r="CY20" s="39">
        <v>276186</v>
      </c>
      <c r="CZ20" s="39">
        <v>339780</v>
      </c>
      <c r="DA20" s="39">
        <v>424946</v>
      </c>
      <c r="DB20" s="39">
        <v>450559</v>
      </c>
      <c r="DC20" s="39">
        <v>465473</v>
      </c>
      <c r="DD20" s="39">
        <v>499737</v>
      </c>
      <c r="DE20" s="39">
        <v>559637</v>
      </c>
      <c r="DF20" s="39">
        <v>561824</v>
      </c>
      <c r="DG20" s="39">
        <v>637343</v>
      </c>
      <c r="DH20" s="39">
        <v>591465</v>
      </c>
      <c r="DI20" s="39">
        <v>668840</v>
      </c>
      <c r="DJ20" s="39">
        <v>576377</v>
      </c>
      <c r="DK20" s="39">
        <v>532588</v>
      </c>
      <c r="DL20" s="39">
        <v>600544</v>
      </c>
      <c r="DM20" s="39">
        <v>820670</v>
      </c>
      <c r="DN20" s="39">
        <v>834901</v>
      </c>
      <c r="DO20" s="39">
        <v>842111</v>
      </c>
      <c r="DP20" s="39">
        <v>781036</v>
      </c>
      <c r="DQ20" s="39">
        <v>917900</v>
      </c>
      <c r="DR20" s="39">
        <v>696626</v>
      </c>
      <c r="DS20" s="39">
        <v>673657</v>
      </c>
      <c r="DT20" s="39">
        <v>574666</v>
      </c>
      <c r="DU20" s="39">
        <v>613930</v>
      </c>
      <c r="DV20" s="39">
        <v>616376</v>
      </c>
      <c r="DW20" s="39">
        <v>623941</v>
      </c>
      <c r="DX20" s="39">
        <v>489247</v>
      </c>
      <c r="DY20" s="39">
        <v>483075</v>
      </c>
      <c r="DZ20" s="39">
        <v>422852</v>
      </c>
      <c r="EA20" s="39">
        <v>441946</v>
      </c>
      <c r="EB20" s="39">
        <v>385919</v>
      </c>
      <c r="EC20" s="39">
        <v>495522</v>
      </c>
      <c r="ED20" s="39">
        <v>417694</v>
      </c>
      <c r="EE20" s="39">
        <v>376016</v>
      </c>
      <c r="EF20" s="39">
        <v>384326</v>
      </c>
      <c r="EG20" s="39">
        <v>541928</v>
      </c>
      <c r="EH20" s="39">
        <v>549420</v>
      </c>
      <c r="EI20" s="39">
        <v>495630</v>
      </c>
      <c r="EJ20" s="42">
        <v>495003</v>
      </c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</row>
    <row r="21" spans="1:214">
      <c r="A21" s="47" t="s">
        <v>207</v>
      </c>
      <c r="B21" s="38">
        <v>11219</v>
      </c>
      <c r="C21" s="39">
        <v>12770</v>
      </c>
      <c r="D21" s="39">
        <v>12904</v>
      </c>
      <c r="E21" s="39">
        <v>14093</v>
      </c>
      <c r="F21" s="39">
        <v>14945</v>
      </c>
      <c r="G21" s="39">
        <v>15609</v>
      </c>
      <c r="H21" s="39">
        <v>16125</v>
      </c>
      <c r="I21" s="39">
        <v>17822</v>
      </c>
      <c r="J21" s="39">
        <v>20503</v>
      </c>
      <c r="K21" s="39">
        <v>22787</v>
      </c>
      <c r="L21" s="39">
        <v>26436.5</v>
      </c>
      <c r="M21" s="39">
        <v>29491.94</v>
      </c>
      <c r="N21" s="39">
        <v>30679.56</v>
      </c>
      <c r="O21" s="39">
        <v>36456.18</v>
      </c>
      <c r="P21" s="39">
        <v>36585.74</v>
      </c>
      <c r="Q21" s="39">
        <v>41803.019999999997</v>
      </c>
      <c r="R21" s="39">
        <v>47490.5</v>
      </c>
      <c r="S21" s="39">
        <v>55441.87</v>
      </c>
      <c r="T21" s="39">
        <v>63869</v>
      </c>
      <c r="U21" s="39">
        <v>64806</v>
      </c>
      <c r="V21" s="39">
        <v>66720</v>
      </c>
      <c r="W21" s="39">
        <v>70139</v>
      </c>
      <c r="X21" s="39">
        <v>73341</v>
      </c>
      <c r="Y21" s="39">
        <v>73784</v>
      </c>
      <c r="Z21" s="39">
        <v>75637</v>
      </c>
      <c r="AA21" s="39">
        <v>76930</v>
      </c>
      <c r="AB21" s="39">
        <v>77985</v>
      </c>
      <c r="AC21" s="39">
        <v>78121</v>
      </c>
      <c r="AD21" s="39">
        <v>82360</v>
      </c>
      <c r="AE21" s="39">
        <v>84930</v>
      </c>
      <c r="AF21" s="39">
        <v>90252</v>
      </c>
      <c r="AG21" s="39">
        <v>91581</v>
      </c>
      <c r="AH21" s="39">
        <v>96959</v>
      </c>
      <c r="AI21" s="39">
        <v>100788</v>
      </c>
      <c r="AJ21" s="39">
        <v>109842</v>
      </c>
      <c r="AK21" s="39">
        <v>110763</v>
      </c>
      <c r="AL21" s="39">
        <v>116744</v>
      </c>
      <c r="AM21" s="39">
        <v>122290</v>
      </c>
      <c r="AN21" s="39">
        <v>123595</v>
      </c>
      <c r="AO21" s="39">
        <v>125258</v>
      </c>
      <c r="AP21" s="39">
        <v>131816</v>
      </c>
      <c r="AQ21" s="39">
        <v>138643</v>
      </c>
      <c r="AR21" s="39">
        <v>152820</v>
      </c>
      <c r="AS21" s="39">
        <v>162351</v>
      </c>
      <c r="AT21" s="39">
        <v>172157</v>
      </c>
      <c r="AU21" s="39">
        <v>182280</v>
      </c>
      <c r="AV21" s="39">
        <v>196298</v>
      </c>
      <c r="AW21" s="39">
        <v>211033</v>
      </c>
      <c r="AX21" s="39">
        <v>218111</v>
      </c>
      <c r="AY21" s="39">
        <v>232412</v>
      </c>
      <c r="AZ21" s="39">
        <v>260485</v>
      </c>
      <c r="BA21" s="39">
        <v>268870</v>
      </c>
      <c r="BB21" s="39">
        <v>274795</v>
      </c>
      <c r="BC21" s="39">
        <v>285709</v>
      </c>
      <c r="BD21" s="39">
        <v>306383</v>
      </c>
      <c r="BE21" s="39">
        <v>311362</v>
      </c>
      <c r="BF21" s="39">
        <v>322508</v>
      </c>
      <c r="BG21" s="39">
        <v>329743</v>
      </c>
      <c r="BH21" s="39">
        <v>346981</v>
      </c>
      <c r="BI21" s="39">
        <v>351849</v>
      </c>
      <c r="BJ21" s="39">
        <v>365506</v>
      </c>
      <c r="BK21" s="39">
        <v>380466</v>
      </c>
      <c r="BL21" s="39">
        <v>437376</v>
      </c>
      <c r="BM21" s="39">
        <v>453892</v>
      </c>
      <c r="BN21" s="39">
        <v>469494</v>
      </c>
      <c r="BO21" s="39">
        <v>504878</v>
      </c>
      <c r="BP21" s="39">
        <v>565018</v>
      </c>
      <c r="BQ21" s="39">
        <v>586699</v>
      </c>
      <c r="BR21" s="39">
        <v>627566</v>
      </c>
      <c r="BS21" s="39">
        <v>650916</v>
      </c>
      <c r="BT21" s="39">
        <v>687835</v>
      </c>
      <c r="BU21" s="39">
        <v>705489</v>
      </c>
      <c r="BV21" s="39">
        <v>746694</v>
      </c>
      <c r="BW21" s="39">
        <v>771133</v>
      </c>
      <c r="BX21" s="40">
        <v>826543</v>
      </c>
      <c r="BY21" s="39">
        <v>882074</v>
      </c>
      <c r="BZ21" s="39">
        <v>921809</v>
      </c>
      <c r="CA21" s="39">
        <v>962650</v>
      </c>
      <c r="CB21" s="39">
        <v>1054268</v>
      </c>
      <c r="CC21" s="39">
        <v>1127847</v>
      </c>
      <c r="CD21" s="39">
        <v>1203253</v>
      </c>
      <c r="CE21" s="39">
        <v>1259202</v>
      </c>
      <c r="CF21" s="39">
        <v>1336197</v>
      </c>
      <c r="CG21" s="39">
        <v>1400310</v>
      </c>
      <c r="CH21" s="39">
        <v>1476550</v>
      </c>
      <c r="CI21" s="39">
        <v>1558893</v>
      </c>
      <c r="CJ21" s="39">
        <v>1676520</v>
      </c>
      <c r="CK21" s="39">
        <v>1743694</v>
      </c>
      <c r="CL21" s="39">
        <v>1836592</v>
      </c>
      <c r="CM21" s="39">
        <v>1928332</v>
      </c>
      <c r="CN21" s="39">
        <v>2111167</v>
      </c>
      <c r="CO21" s="39">
        <v>2171684</v>
      </c>
      <c r="CP21" s="39">
        <v>2284759</v>
      </c>
      <c r="CQ21" s="39">
        <v>2420914</v>
      </c>
      <c r="CR21" s="39">
        <v>2567933</v>
      </c>
      <c r="CS21" s="39">
        <v>2610411</v>
      </c>
      <c r="CT21" s="39">
        <v>2696795</v>
      </c>
      <c r="CU21" s="39">
        <v>2729702</v>
      </c>
      <c r="CV21" s="39">
        <v>2827166</v>
      </c>
      <c r="CW21" s="39">
        <v>2859762</v>
      </c>
      <c r="CX21" s="39">
        <v>2922131</v>
      </c>
      <c r="CY21" s="39">
        <v>2998267</v>
      </c>
      <c r="CZ21" s="39">
        <v>3148616</v>
      </c>
      <c r="DA21" s="39">
        <v>3221456</v>
      </c>
      <c r="DB21" s="39">
        <v>3254492</v>
      </c>
      <c r="DC21" s="39">
        <v>3293557</v>
      </c>
      <c r="DD21" s="39">
        <v>3362663</v>
      </c>
      <c r="DE21" s="39">
        <v>3470845</v>
      </c>
      <c r="DF21" s="39">
        <v>3552996</v>
      </c>
      <c r="DG21" s="39">
        <v>3653496</v>
      </c>
      <c r="DH21" s="39">
        <v>3801331</v>
      </c>
      <c r="DI21" s="39">
        <v>3745156</v>
      </c>
      <c r="DJ21" s="39">
        <v>3819842</v>
      </c>
      <c r="DK21" s="39">
        <v>3938784</v>
      </c>
      <c r="DL21" s="39">
        <v>4206652</v>
      </c>
      <c r="DM21" s="39">
        <v>4271233</v>
      </c>
      <c r="DN21" s="39">
        <v>4519249</v>
      </c>
      <c r="DO21" s="39">
        <v>4438586</v>
      </c>
      <c r="DP21" s="39">
        <v>4702562</v>
      </c>
      <c r="DQ21" s="39">
        <v>4970414</v>
      </c>
      <c r="DR21" s="39">
        <v>5244892</v>
      </c>
      <c r="DS21" s="39">
        <v>5453398</v>
      </c>
      <c r="DT21" s="39">
        <v>5838953</v>
      </c>
      <c r="DU21" s="39">
        <v>5932179</v>
      </c>
      <c r="DV21" s="39">
        <v>6211496</v>
      </c>
      <c r="DW21" s="39">
        <v>6497540</v>
      </c>
      <c r="DX21" s="39">
        <v>6868325</v>
      </c>
      <c r="DY21" s="39">
        <v>6986791</v>
      </c>
      <c r="DZ21" s="39">
        <v>7306744</v>
      </c>
      <c r="EA21" s="39">
        <v>7347422</v>
      </c>
      <c r="EB21" s="39">
        <v>7636073</v>
      </c>
      <c r="EC21" s="39">
        <v>7729026</v>
      </c>
      <c r="ED21" s="39">
        <v>7888932</v>
      </c>
      <c r="EE21" s="39">
        <v>7944188</v>
      </c>
      <c r="EF21" s="39">
        <v>8363140</v>
      </c>
      <c r="EG21" s="39">
        <v>8607721</v>
      </c>
      <c r="EH21" s="39">
        <v>9019503</v>
      </c>
      <c r="EI21" s="39">
        <v>9202950</v>
      </c>
      <c r="EJ21" s="42">
        <v>9626017</v>
      </c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</row>
    <row r="22" spans="1:214">
      <c r="A22" s="47" t="s">
        <v>208</v>
      </c>
      <c r="B22" s="38">
        <v>11028</v>
      </c>
      <c r="C22" s="39">
        <v>12526</v>
      </c>
      <c r="D22" s="39">
        <v>12649</v>
      </c>
      <c r="E22" s="39">
        <v>13757</v>
      </c>
      <c r="F22" s="39">
        <v>14636</v>
      </c>
      <c r="G22" s="39">
        <v>15275</v>
      </c>
      <c r="H22" s="39">
        <v>15785</v>
      </c>
      <c r="I22" s="39">
        <v>17412</v>
      </c>
      <c r="J22" s="39">
        <v>20019</v>
      </c>
      <c r="K22" s="39">
        <v>22265</v>
      </c>
      <c r="L22" s="39">
        <v>25971.9</v>
      </c>
      <c r="M22" s="39">
        <v>29065.9</v>
      </c>
      <c r="N22" s="39">
        <v>30096.94</v>
      </c>
      <c r="O22" s="39">
        <v>34765.980000000003</v>
      </c>
      <c r="P22" s="39">
        <v>34927.56</v>
      </c>
      <c r="Q22" s="39">
        <v>39797.42</v>
      </c>
      <c r="R22" s="39">
        <v>44896.76</v>
      </c>
      <c r="S22" s="39">
        <v>52074.38</v>
      </c>
      <c r="T22" s="39">
        <v>61253</v>
      </c>
      <c r="U22" s="39">
        <v>62626</v>
      </c>
      <c r="V22" s="39">
        <v>63924</v>
      </c>
      <c r="W22" s="39">
        <v>67213.5</v>
      </c>
      <c r="X22" s="39">
        <v>70383</v>
      </c>
      <c r="Y22" s="39">
        <v>70718</v>
      </c>
      <c r="Z22" s="39">
        <v>72497</v>
      </c>
      <c r="AA22" s="39">
        <v>73795</v>
      </c>
      <c r="AB22" s="39">
        <v>74655</v>
      </c>
      <c r="AC22" s="39">
        <v>75662</v>
      </c>
      <c r="AD22" s="39">
        <v>78908</v>
      </c>
      <c r="AE22" s="39">
        <v>81559</v>
      </c>
      <c r="AF22" s="39">
        <v>86768</v>
      </c>
      <c r="AG22" s="39">
        <v>88015</v>
      </c>
      <c r="AH22" s="39">
        <v>93509</v>
      </c>
      <c r="AI22" s="39">
        <v>97732</v>
      </c>
      <c r="AJ22" s="39">
        <v>106504</v>
      </c>
      <c r="AK22" s="39">
        <v>107485</v>
      </c>
      <c r="AL22" s="39">
        <v>113523</v>
      </c>
      <c r="AM22" s="39">
        <v>118849</v>
      </c>
      <c r="AN22" s="39">
        <v>119706</v>
      </c>
      <c r="AO22" s="39">
        <v>121600</v>
      </c>
      <c r="AP22" s="39">
        <v>128150</v>
      </c>
      <c r="AQ22" s="39">
        <v>134965</v>
      </c>
      <c r="AR22" s="39">
        <v>149057</v>
      </c>
      <c r="AS22" s="39">
        <v>158393</v>
      </c>
      <c r="AT22" s="39">
        <v>168062</v>
      </c>
      <c r="AU22" s="39">
        <v>178103</v>
      </c>
      <c r="AV22" s="39">
        <v>192151</v>
      </c>
      <c r="AW22" s="39">
        <v>205740</v>
      </c>
      <c r="AX22" s="39">
        <v>212729</v>
      </c>
      <c r="AY22" s="39">
        <v>226891</v>
      </c>
      <c r="AZ22" s="39">
        <v>253855</v>
      </c>
      <c r="BA22" s="39">
        <v>262600</v>
      </c>
      <c r="BB22" s="39">
        <v>268045</v>
      </c>
      <c r="BC22" s="39">
        <v>279107</v>
      </c>
      <c r="BD22" s="39">
        <v>299214</v>
      </c>
      <c r="BE22" s="39">
        <v>304403</v>
      </c>
      <c r="BF22" s="39">
        <v>315129</v>
      </c>
      <c r="BG22" s="39">
        <v>322297</v>
      </c>
      <c r="BH22" s="39">
        <v>339974</v>
      </c>
      <c r="BI22" s="39">
        <v>344987</v>
      </c>
      <c r="BJ22" s="39">
        <v>358768</v>
      </c>
      <c r="BK22" s="39">
        <v>373696</v>
      </c>
      <c r="BL22" s="48">
        <v>425579</v>
      </c>
      <c r="BM22" s="48">
        <v>441717</v>
      </c>
      <c r="BN22" s="48">
        <v>455922</v>
      </c>
      <c r="BO22" s="48">
        <v>491220</v>
      </c>
      <c r="BP22" s="48">
        <v>552414</v>
      </c>
      <c r="BQ22" s="48">
        <v>574547</v>
      </c>
      <c r="BR22" s="40">
        <v>615029</v>
      </c>
      <c r="BS22" s="40">
        <v>638892</v>
      </c>
      <c r="BT22" s="40">
        <v>673234</v>
      </c>
      <c r="BU22" s="40">
        <v>690700</v>
      </c>
      <c r="BV22" s="40">
        <v>731751</v>
      </c>
      <c r="BW22" s="40">
        <v>756272</v>
      </c>
      <c r="BX22" s="40">
        <v>816891</v>
      </c>
      <c r="BY22" s="39">
        <v>869378</v>
      </c>
      <c r="BZ22" s="39">
        <v>907526</v>
      </c>
      <c r="CA22" s="39">
        <v>948686</v>
      </c>
      <c r="CB22" s="39">
        <v>1040286</v>
      </c>
      <c r="CC22" s="39">
        <v>1111679</v>
      </c>
      <c r="CD22" s="39">
        <v>1187755</v>
      </c>
      <c r="CE22" s="39">
        <v>1243062</v>
      </c>
      <c r="CF22" s="39">
        <v>1314814</v>
      </c>
      <c r="CG22" s="39">
        <v>1372786</v>
      </c>
      <c r="CH22" s="39">
        <v>1448865</v>
      </c>
      <c r="CI22" s="39">
        <v>1529435</v>
      </c>
      <c r="CJ22" s="39">
        <v>1645658</v>
      </c>
      <c r="CK22" s="39">
        <v>1712632</v>
      </c>
      <c r="CL22" s="39">
        <v>1803112</v>
      </c>
      <c r="CM22" s="39">
        <v>1894494</v>
      </c>
      <c r="CN22" s="39">
        <v>2077174</v>
      </c>
      <c r="CO22" s="39">
        <v>2139952</v>
      </c>
      <c r="CP22" s="39">
        <v>2252316</v>
      </c>
      <c r="CQ22" s="39">
        <v>2386465</v>
      </c>
      <c r="CR22" s="39">
        <v>2533375</v>
      </c>
      <c r="CS22" s="39">
        <v>2576741</v>
      </c>
      <c r="CT22" s="39">
        <v>2661254</v>
      </c>
      <c r="CU22" s="39">
        <v>2693179</v>
      </c>
      <c r="CV22" s="39">
        <v>2775921</v>
      </c>
      <c r="CW22" s="39">
        <v>2809739</v>
      </c>
      <c r="CX22" s="39">
        <v>2869531</v>
      </c>
      <c r="CY22" s="39">
        <v>2945689</v>
      </c>
      <c r="CZ22" s="39">
        <v>3090807</v>
      </c>
      <c r="DA22" s="39">
        <v>3163079</v>
      </c>
      <c r="DB22" s="39">
        <v>3187579</v>
      </c>
      <c r="DC22" s="39">
        <v>3224228</v>
      </c>
      <c r="DD22" s="39">
        <v>3246957</v>
      </c>
      <c r="DE22" s="39">
        <v>3355971</v>
      </c>
      <c r="DF22" s="39">
        <v>3439651</v>
      </c>
      <c r="DG22" s="39">
        <v>3539284</v>
      </c>
      <c r="DH22" s="39">
        <v>3659824</v>
      </c>
      <c r="DI22" s="39">
        <v>3605542</v>
      </c>
      <c r="DJ22" s="39">
        <v>3671790</v>
      </c>
      <c r="DK22" s="39">
        <v>3810192</v>
      </c>
      <c r="DL22" s="39">
        <v>4058347</v>
      </c>
      <c r="DM22" s="39">
        <v>4117783</v>
      </c>
      <c r="DN22" s="39">
        <v>4373481</v>
      </c>
      <c r="DO22" s="39">
        <v>4253345</v>
      </c>
      <c r="DP22" s="39">
        <v>4468146</v>
      </c>
      <c r="DQ22" s="39">
        <v>4758784</v>
      </c>
      <c r="DR22" s="39">
        <v>5021317</v>
      </c>
      <c r="DS22" s="39">
        <v>5217740</v>
      </c>
      <c r="DT22" s="39">
        <v>5588041</v>
      </c>
      <c r="DU22" s="39">
        <v>5675686</v>
      </c>
      <c r="DV22" s="39">
        <v>5914015</v>
      </c>
      <c r="DW22" s="39">
        <v>6177187</v>
      </c>
      <c r="DX22" s="39">
        <v>6575689</v>
      </c>
      <c r="DY22" s="39">
        <v>6677164</v>
      </c>
      <c r="DZ22" s="39">
        <v>6952503</v>
      </c>
      <c r="EA22" s="39">
        <v>6955314</v>
      </c>
      <c r="EB22" s="39">
        <v>7205316</v>
      </c>
      <c r="EC22" s="39">
        <v>7266906</v>
      </c>
      <c r="ED22" s="39">
        <v>7377477</v>
      </c>
      <c r="EE22" s="39">
        <v>7354865</v>
      </c>
      <c r="EF22" s="39">
        <v>7726804</v>
      </c>
      <c r="EG22" s="39">
        <v>7925764</v>
      </c>
      <c r="EH22" s="39">
        <v>8279757</v>
      </c>
      <c r="EI22" s="39">
        <v>8457361</v>
      </c>
      <c r="EJ22" s="42">
        <v>8788306</v>
      </c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</row>
    <row r="23" spans="1:214">
      <c r="A23" s="47" t="s">
        <v>209</v>
      </c>
      <c r="B23" s="38">
        <v>191</v>
      </c>
      <c r="C23" s="39">
        <v>244</v>
      </c>
      <c r="D23" s="39">
        <v>255</v>
      </c>
      <c r="E23" s="39">
        <v>336</v>
      </c>
      <c r="F23" s="39">
        <v>309</v>
      </c>
      <c r="G23" s="39">
        <v>334</v>
      </c>
      <c r="H23" s="39">
        <v>340</v>
      </c>
      <c r="I23" s="39">
        <v>410</v>
      </c>
      <c r="J23" s="39">
        <v>484</v>
      </c>
      <c r="K23" s="39">
        <v>522</v>
      </c>
      <c r="L23" s="39">
        <v>464.6</v>
      </c>
      <c r="M23" s="39">
        <v>426.04</v>
      </c>
      <c r="N23" s="39">
        <v>582.62</v>
      </c>
      <c r="O23" s="39">
        <v>1690.2</v>
      </c>
      <c r="P23" s="39">
        <v>1658.18</v>
      </c>
      <c r="Q23" s="39">
        <v>2005.6</v>
      </c>
      <c r="R23" s="39">
        <v>2593.7399999999998</v>
      </c>
      <c r="S23" s="39">
        <v>3367.49</v>
      </c>
      <c r="T23" s="39">
        <v>2616</v>
      </c>
      <c r="U23" s="39">
        <v>2180</v>
      </c>
      <c r="V23" s="39">
        <v>2796</v>
      </c>
      <c r="W23" s="39">
        <v>2925.5</v>
      </c>
      <c r="X23" s="39">
        <v>2958</v>
      </c>
      <c r="Y23" s="39">
        <v>3066</v>
      </c>
      <c r="Z23" s="39">
        <v>3140</v>
      </c>
      <c r="AA23" s="39">
        <v>3135</v>
      </c>
      <c r="AB23" s="39">
        <v>3330</v>
      </c>
      <c r="AC23" s="39">
        <v>2459</v>
      </c>
      <c r="AD23" s="39">
        <v>3452</v>
      </c>
      <c r="AE23" s="39">
        <v>3371</v>
      </c>
      <c r="AF23" s="39">
        <v>3484</v>
      </c>
      <c r="AG23" s="39">
        <v>3566</v>
      </c>
      <c r="AH23" s="39">
        <v>3450</v>
      </c>
      <c r="AI23" s="39">
        <v>3056</v>
      </c>
      <c r="AJ23" s="39">
        <v>3338</v>
      </c>
      <c r="AK23" s="39">
        <v>3278</v>
      </c>
      <c r="AL23" s="39">
        <v>3221</v>
      </c>
      <c r="AM23" s="39">
        <v>3441</v>
      </c>
      <c r="AN23" s="39">
        <v>3889</v>
      </c>
      <c r="AO23" s="39">
        <v>3658</v>
      </c>
      <c r="AP23" s="39">
        <v>3666</v>
      </c>
      <c r="AQ23" s="39">
        <v>3678</v>
      </c>
      <c r="AR23" s="39">
        <v>3763</v>
      </c>
      <c r="AS23" s="39">
        <v>3958</v>
      </c>
      <c r="AT23" s="39">
        <v>4095</v>
      </c>
      <c r="AU23" s="39">
        <v>4177</v>
      </c>
      <c r="AV23" s="39">
        <v>4147</v>
      </c>
      <c r="AW23" s="39">
        <v>5293</v>
      </c>
      <c r="AX23" s="39">
        <v>5382</v>
      </c>
      <c r="AY23" s="39">
        <v>5521</v>
      </c>
      <c r="AZ23" s="39">
        <v>6630</v>
      </c>
      <c r="BA23" s="39">
        <v>6270</v>
      </c>
      <c r="BB23" s="39">
        <v>6750</v>
      </c>
      <c r="BC23" s="39">
        <v>6602</v>
      </c>
      <c r="BD23" s="39">
        <v>7169</v>
      </c>
      <c r="BE23" s="39">
        <v>6959</v>
      </c>
      <c r="BF23" s="39">
        <v>7379</v>
      </c>
      <c r="BG23" s="39">
        <v>7446</v>
      </c>
      <c r="BH23" s="39">
        <v>7007</v>
      </c>
      <c r="BI23" s="39">
        <v>6862</v>
      </c>
      <c r="BJ23" s="39">
        <v>6738</v>
      </c>
      <c r="BK23" s="39">
        <v>6770</v>
      </c>
      <c r="BL23" s="48">
        <v>11797</v>
      </c>
      <c r="BM23" s="48">
        <v>12175</v>
      </c>
      <c r="BN23" s="48">
        <v>13572</v>
      </c>
      <c r="BO23" s="48">
        <v>13658</v>
      </c>
      <c r="BP23" s="48">
        <v>12604</v>
      </c>
      <c r="BQ23" s="48">
        <v>12152</v>
      </c>
      <c r="BR23" s="40">
        <v>12537</v>
      </c>
      <c r="BS23" s="40">
        <v>12024</v>
      </c>
      <c r="BT23" s="40">
        <v>14601</v>
      </c>
      <c r="BU23" s="40">
        <v>14789</v>
      </c>
      <c r="BV23" s="40">
        <v>14943</v>
      </c>
      <c r="BW23" s="40">
        <v>14861</v>
      </c>
      <c r="BX23" s="40">
        <v>9652</v>
      </c>
      <c r="BY23" s="39">
        <v>12696</v>
      </c>
      <c r="BZ23" s="39">
        <v>14283</v>
      </c>
      <c r="CA23" s="39">
        <v>13964</v>
      </c>
      <c r="CB23" s="39">
        <v>13982</v>
      </c>
      <c r="CC23" s="39">
        <v>16168</v>
      </c>
      <c r="CD23" s="39">
        <v>15498</v>
      </c>
      <c r="CE23" s="39">
        <v>16140</v>
      </c>
      <c r="CF23" s="39">
        <v>21383</v>
      </c>
      <c r="CG23" s="39">
        <v>27524</v>
      </c>
      <c r="CH23" s="39">
        <v>27685</v>
      </c>
      <c r="CI23" s="39">
        <v>29458</v>
      </c>
      <c r="CJ23" s="39">
        <v>30862</v>
      </c>
      <c r="CK23" s="39">
        <v>31062</v>
      </c>
      <c r="CL23" s="39">
        <v>33480</v>
      </c>
      <c r="CM23" s="39">
        <v>33838</v>
      </c>
      <c r="CN23" s="39">
        <v>33993</v>
      </c>
      <c r="CO23" s="39">
        <v>31732</v>
      </c>
      <c r="CP23" s="39">
        <v>32443</v>
      </c>
      <c r="CQ23" s="39">
        <v>34449</v>
      </c>
      <c r="CR23" s="39">
        <v>34558</v>
      </c>
      <c r="CS23" s="39">
        <v>33670</v>
      </c>
      <c r="CT23" s="39">
        <v>35541</v>
      </c>
      <c r="CU23" s="39">
        <v>36523</v>
      </c>
      <c r="CV23" s="39">
        <v>51245</v>
      </c>
      <c r="CW23" s="39">
        <v>50023</v>
      </c>
      <c r="CX23" s="39">
        <v>52600</v>
      </c>
      <c r="CY23" s="39">
        <v>52578</v>
      </c>
      <c r="CZ23" s="39">
        <v>57809</v>
      </c>
      <c r="DA23" s="39">
        <v>58377</v>
      </c>
      <c r="DB23" s="39">
        <v>66913</v>
      </c>
      <c r="DC23" s="39">
        <v>69329</v>
      </c>
      <c r="DD23" s="39">
        <v>115706</v>
      </c>
      <c r="DE23" s="39">
        <v>114874</v>
      </c>
      <c r="DF23" s="39">
        <v>113345</v>
      </c>
      <c r="DG23" s="39">
        <v>114212</v>
      </c>
      <c r="DH23" s="39">
        <v>141507</v>
      </c>
      <c r="DI23" s="39">
        <v>139614</v>
      </c>
      <c r="DJ23" s="39">
        <v>148052</v>
      </c>
      <c r="DK23" s="39">
        <v>128592</v>
      </c>
      <c r="DL23" s="39">
        <v>148305</v>
      </c>
      <c r="DM23" s="39">
        <v>153450</v>
      </c>
      <c r="DN23" s="39">
        <v>145768</v>
      </c>
      <c r="DO23" s="39">
        <v>185241</v>
      </c>
      <c r="DP23" s="39">
        <v>234416</v>
      </c>
      <c r="DQ23" s="39">
        <v>211630</v>
      </c>
      <c r="DR23" s="39">
        <v>223575</v>
      </c>
      <c r="DS23" s="39">
        <v>235658</v>
      </c>
      <c r="DT23" s="39">
        <v>250912</v>
      </c>
      <c r="DU23" s="39">
        <v>256493</v>
      </c>
      <c r="DV23" s="39">
        <v>297481</v>
      </c>
      <c r="DW23" s="39">
        <v>320353</v>
      </c>
      <c r="DX23" s="39">
        <v>292636</v>
      </c>
      <c r="DY23" s="39">
        <v>309627</v>
      </c>
      <c r="DZ23" s="39">
        <v>354241</v>
      </c>
      <c r="EA23" s="39">
        <v>392108</v>
      </c>
      <c r="EB23" s="39">
        <v>430757</v>
      </c>
      <c r="EC23" s="39">
        <v>462120</v>
      </c>
      <c r="ED23" s="39">
        <v>511455</v>
      </c>
      <c r="EE23" s="39">
        <v>589323</v>
      </c>
      <c r="EF23" s="39">
        <v>636336</v>
      </c>
      <c r="EG23" s="39">
        <v>681957</v>
      </c>
      <c r="EH23" s="39">
        <v>739746</v>
      </c>
      <c r="EI23" s="39">
        <v>745589</v>
      </c>
      <c r="EJ23" s="42">
        <v>837711</v>
      </c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</row>
    <row r="24" spans="1:214">
      <c r="A24" s="47" t="s">
        <v>210</v>
      </c>
      <c r="B24" s="38">
        <v>13</v>
      </c>
      <c r="C24" s="39">
        <v>15</v>
      </c>
      <c r="D24" s="39">
        <v>15</v>
      </c>
      <c r="E24" s="39">
        <v>16</v>
      </c>
      <c r="F24" s="39">
        <v>18</v>
      </c>
      <c r="G24" s="39">
        <v>18</v>
      </c>
      <c r="H24" s="39">
        <v>21</v>
      </c>
      <c r="I24" s="39">
        <v>21</v>
      </c>
      <c r="J24" s="39">
        <v>24</v>
      </c>
      <c r="K24" s="39">
        <v>26</v>
      </c>
      <c r="L24" s="39">
        <v>45</v>
      </c>
      <c r="M24" s="39">
        <v>55</v>
      </c>
      <c r="N24" s="39">
        <v>66</v>
      </c>
      <c r="O24" s="39">
        <v>73</v>
      </c>
      <c r="P24" s="39">
        <v>78</v>
      </c>
      <c r="Q24" s="39">
        <v>81</v>
      </c>
      <c r="R24" s="39">
        <v>102</v>
      </c>
      <c r="S24" s="39">
        <v>129.18</v>
      </c>
      <c r="T24" s="39">
        <v>3</v>
      </c>
      <c r="U24" s="39">
        <v>3</v>
      </c>
      <c r="V24" s="39">
        <v>23</v>
      </c>
      <c r="W24" s="39">
        <v>45</v>
      </c>
      <c r="X24" s="39">
        <v>75</v>
      </c>
      <c r="Y24" s="39">
        <v>95</v>
      </c>
      <c r="Z24" s="39">
        <v>123</v>
      </c>
      <c r="AA24" s="39">
        <v>154</v>
      </c>
      <c r="AB24" s="39">
        <v>197</v>
      </c>
      <c r="AC24" s="39">
        <v>212</v>
      </c>
      <c r="AD24" s="39">
        <v>236</v>
      </c>
      <c r="AE24" s="39">
        <v>263</v>
      </c>
      <c r="AF24" s="39">
        <v>277</v>
      </c>
      <c r="AG24" s="39">
        <v>300</v>
      </c>
      <c r="AH24" s="39">
        <v>328</v>
      </c>
      <c r="AI24" s="39">
        <v>485</v>
      </c>
      <c r="AJ24" s="39">
        <v>532</v>
      </c>
      <c r="AK24" s="39">
        <v>625</v>
      </c>
      <c r="AL24" s="39">
        <v>779</v>
      </c>
      <c r="AM24" s="39">
        <v>986</v>
      </c>
      <c r="AN24" s="39">
        <v>1030</v>
      </c>
      <c r="AO24" s="39">
        <v>1218</v>
      </c>
      <c r="AP24" s="39">
        <v>1331</v>
      </c>
      <c r="AQ24" s="39">
        <v>1572</v>
      </c>
      <c r="AR24" s="39">
        <v>1770</v>
      </c>
      <c r="AS24" s="39">
        <v>1878</v>
      </c>
      <c r="AT24" s="39">
        <v>1972</v>
      </c>
      <c r="AU24" s="39">
        <v>1936</v>
      </c>
      <c r="AV24" s="39">
        <v>1997</v>
      </c>
      <c r="AW24" s="39">
        <v>2104</v>
      </c>
      <c r="AX24" s="39">
        <v>2126</v>
      </c>
      <c r="AY24" s="39">
        <v>2218</v>
      </c>
      <c r="AZ24" s="39">
        <v>2671</v>
      </c>
      <c r="BA24" s="39">
        <v>2797</v>
      </c>
      <c r="BB24" s="39">
        <v>3660</v>
      </c>
      <c r="BC24" s="39">
        <v>3495</v>
      </c>
      <c r="BD24" s="39">
        <v>4030</v>
      </c>
      <c r="BE24" s="39">
        <v>3792</v>
      </c>
      <c r="BF24" s="39">
        <v>3717</v>
      </c>
      <c r="BG24" s="39">
        <v>3875</v>
      </c>
      <c r="BH24" s="39">
        <v>4927</v>
      </c>
      <c r="BI24" s="39">
        <v>6655</v>
      </c>
      <c r="BJ24" s="39">
        <v>8195</v>
      </c>
      <c r="BK24" s="39">
        <v>8030</v>
      </c>
      <c r="BL24" s="40">
        <v>12644</v>
      </c>
      <c r="BM24" s="40">
        <v>12080</v>
      </c>
      <c r="BN24" s="40">
        <v>22848</v>
      </c>
      <c r="BO24" s="40">
        <v>22173</v>
      </c>
      <c r="BP24" s="40">
        <v>23882</v>
      </c>
      <c r="BQ24" s="40">
        <v>22243</v>
      </c>
      <c r="BR24" s="40">
        <v>22029</v>
      </c>
      <c r="BS24" s="40">
        <v>22727</v>
      </c>
      <c r="BT24" s="40">
        <v>23729</v>
      </c>
      <c r="BU24" s="40">
        <v>23827</v>
      </c>
      <c r="BV24" s="40">
        <v>23771</v>
      </c>
      <c r="BW24" s="40">
        <v>25622</v>
      </c>
      <c r="BX24" s="40">
        <v>36728</v>
      </c>
      <c r="BY24" s="39">
        <v>37678</v>
      </c>
      <c r="BZ24" s="39">
        <v>37547</v>
      </c>
      <c r="CA24" s="39">
        <v>38486</v>
      </c>
      <c r="CB24" s="39">
        <v>39520</v>
      </c>
      <c r="CC24" s="39">
        <v>40393</v>
      </c>
      <c r="CD24" s="39">
        <v>42852</v>
      </c>
      <c r="CE24" s="39">
        <v>42392</v>
      </c>
      <c r="CF24" s="39">
        <v>40491</v>
      </c>
      <c r="CG24" s="39">
        <v>46495</v>
      </c>
      <c r="CH24" s="39">
        <v>53288</v>
      </c>
      <c r="CI24" s="39">
        <v>56303</v>
      </c>
      <c r="CJ24" s="39">
        <v>56822</v>
      </c>
      <c r="CK24" s="39">
        <v>60451</v>
      </c>
      <c r="CL24" s="39">
        <v>66107</v>
      </c>
      <c r="CM24" s="39">
        <v>74033</v>
      </c>
      <c r="CN24" s="39">
        <v>79727</v>
      </c>
      <c r="CO24" s="39">
        <v>81726</v>
      </c>
      <c r="CP24" s="39">
        <v>86043</v>
      </c>
      <c r="CQ24" s="39">
        <v>92232</v>
      </c>
      <c r="CR24" s="39">
        <v>93086</v>
      </c>
      <c r="CS24" s="39">
        <v>91994</v>
      </c>
      <c r="CT24" s="39">
        <v>93154</v>
      </c>
      <c r="CU24" s="39">
        <v>89888</v>
      </c>
      <c r="CV24" s="39">
        <v>84955</v>
      </c>
      <c r="CW24" s="39">
        <v>81754</v>
      </c>
      <c r="CX24" s="39">
        <v>79501</v>
      </c>
      <c r="CY24" s="39">
        <v>78877</v>
      </c>
      <c r="CZ24" s="39">
        <v>87198</v>
      </c>
      <c r="DA24" s="39">
        <v>85006</v>
      </c>
      <c r="DB24" s="39">
        <v>77544</v>
      </c>
      <c r="DC24" s="39">
        <v>77458</v>
      </c>
      <c r="DD24" s="39">
        <v>97411</v>
      </c>
      <c r="DE24" s="39">
        <v>105583</v>
      </c>
      <c r="DF24" s="39">
        <v>110313</v>
      </c>
      <c r="DG24" s="39">
        <v>116600</v>
      </c>
      <c r="DH24" s="39">
        <v>119407</v>
      </c>
      <c r="DI24" s="39">
        <v>125003</v>
      </c>
      <c r="DJ24" s="39">
        <v>134290</v>
      </c>
      <c r="DK24" s="39">
        <v>139927</v>
      </c>
      <c r="DL24" s="39">
        <v>149823</v>
      </c>
      <c r="DM24" s="39">
        <v>165056</v>
      </c>
      <c r="DN24" s="39">
        <v>189525</v>
      </c>
      <c r="DO24" s="39">
        <v>237800</v>
      </c>
      <c r="DP24" s="39">
        <v>301116</v>
      </c>
      <c r="DQ24" s="39">
        <v>318697</v>
      </c>
      <c r="DR24" s="39">
        <v>370488</v>
      </c>
      <c r="DS24" s="39">
        <v>390673</v>
      </c>
      <c r="DT24" s="39">
        <v>498347</v>
      </c>
      <c r="DU24" s="39">
        <v>503633</v>
      </c>
      <c r="DV24" s="39">
        <v>587113</v>
      </c>
      <c r="DW24" s="39">
        <v>622884</v>
      </c>
      <c r="DX24" s="39">
        <v>762546</v>
      </c>
      <c r="DY24" s="39">
        <v>757003</v>
      </c>
      <c r="DZ24" s="39">
        <v>788456</v>
      </c>
      <c r="EA24" s="39">
        <v>804223</v>
      </c>
      <c r="EB24" s="39">
        <v>864383</v>
      </c>
      <c r="EC24" s="39">
        <v>826226</v>
      </c>
      <c r="ED24" s="39">
        <v>882483</v>
      </c>
      <c r="EE24" s="39">
        <v>860823</v>
      </c>
      <c r="EF24" s="39">
        <v>1042123</v>
      </c>
      <c r="EG24" s="39">
        <v>1424117</v>
      </c>
      <c r="EH24" s="39">
        <v>1489764</v>
      </c>
      <c r="EI24" s="39">
        <v>1491068</v>
      </c>
      <c r="EJ24" s="42">
        <v>1543408</v>
      </c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</row>
    <row r="25" spans="1:214" ht="13.9" customHeight="1">
      <c r="A25" s="47" t="s">
        <v>208</v>
      </c>
      <c r="B25" s="38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3</v>
      </c>
      <c r="M25" s="39">
        <v>3</v>
      </c>
      <c r="N25" s="39">
        <v>0</v>
      </c>
      <c r="O25" s="39">
        <v>4</v>
      </c>
      <c r="P25" s="39">
        <v>5</v>
      </c>
      <c r="Q25" s="39">
        <v>5</v>
      </c>
      <c r="R25" s="39">
        <v>4</v>
      </c>
      <c r="S25" s="39">
        <v>2</v>
      </c>
      <c r="T25" s="39">
        <v>3</v>
      </c>
      <c r="U25" s="39">
        <v>3</v>
      </c>
      <c r="V25" s="39">
        <v>23</v>
      </c>
      <c r="W25" s="39">
        <v>45</v>
      </c>
      <c r="X25" s="39">
        <v>75</v>
      </c>
      <c r="Y25" s="39">
        <v>95</v>
      </c>
      <c r="Z25" s="39">
        <v>123</v>
      </c>
      <c r="AA25" s="39">
        <v>154</v>
      </c>
      <c r="AB25" s="39">
        <v>197</v>
      </c>
      <c r="AC25" s="39">
        <v>212</v>
      </c>
      <c r="AD25" s="39">
        <v>236</v>
      </c>
      <c r="AE25" s="39">
        <v>263</v>
      </c>
      <c r="AF25" s="39">
        <v>277</v>
      </c>
      <c r="AG25" s="39">
        <v>300</v>
      </c>
      <c r="AH25" s="39">
        <v>328</v>
      </c>
      <c r="AI25" s="39">
        <v>485</v>
      </c>
      <c r="AJ25" s="39">
        <v>532</v>
      </c>
      <c r="AK25" s="39">
        <v>625</v>
      </c>
      <c r="AL25" s="39">
        <v>779</v>
      </c>
      <c r="AM25" s="39">
        <v>986</v>
      </c>
      <c r="AN25" s="39">
        <v>1030</v>
      </c>
      <c r="AO25" s="39">
        <v>1218</v>
      </c>
      <c r="AP25" s="39">
        <v>1331</v>
      </c>
      <c r="AQ25" s="39">
        <v>1572</v>
      </c>
      <c r="AR25" s="39">
        <v>1770</v>
      </c>
      <c r="AS25" s="39">
        <v>1878</v>
      </c>
      <c r="AT25" s="39">
        <v>1972</v>
      </c>
      <c r="AU25" s="39">
        <v>1936</v>
      </c>
      <c r="AV25" s="39">
        <v>1997</v>
      </c>
      <c r="AW25" s="39">
        <v>2104</v>
      </c>
      <c r="AX25" s="39">
        <v>2126</v>
      </c>
      <c r="AY25" s="39">
        <v>2218</v>
      </c>
      <c r="AZ25" s="39">
        <v>2671</v>
      </c>
      <c r="BA25" s="39">
        <v>2797</v>
      </c>
      <c r="BB25" s="39">
        <v>3660</v>
      </c>
      <c r="BC25" s="39">
        <v>3495</v>
      </c>
      <c r="BD25" s="39">
        <v>4030</v>
      </c>
      <c r="BE25" s="39">
        <v>3792</v>
      </c>
      <c r="BF25" s="39">
        <v>3717</v>
      </c>
      <c r="BG25" s="39">
        <v>3875</v>
      </c>
      <c r="BH25" s="39">
        <v>4927</v>
      </c>
      <c r="BI25" s="39">
        <v>6655</v>
      </c>
      <c r="BJ25" s="39">
        <v>8195</v>
      </c>
      <c r="BK25" s="39">
        <v>8030</v>
      </c>
      <c r="BL25" s="48">
        <v>10620</v>
      </c>
      <c r="BM25" s="48">
        <v>10160</v>
      </c>
      <c r="BN25" s="48">
        <v>10806</v>
      </c>
      <c r="BO25" s="48">
        <v>10109</v>
      </c>
      <c r="BP25" s="48">
        <v>10270</v>
      </c>
      <c r="BQ25" s="48">
        <v>8173</v>
      </c>
      <c r="BR25" s="40">
        <v>7674</v>
      </c>
      <c r="BS25" s="40">
        <v>7633</v>
      </c>
      <c r="BT25" s="40">
        <v>8276</v>
      </c>
      <c r="BU25" s="40">
        <v>7797</v>
      </c>
      <c r="BV25" s="40">
        <v>7808</v>
      </c>
      <c r="BW25" s="40">
        <v>9364</v>
      </c>
      <c r="BX25" s="50">
        <v>24023</v>
      </c>
      <c r="BY25" s="51">
        <v>24913</v>
      </c>
      <c r="BZ25" s="51">
        <v>24760</v>
      </c>
      <c r="CA25" s="51">
        <v>25799</v>
      </c>
      <c r="CB25" s="51">
        <v>27475</v>
      </c>
      <c r="CC25" s="51">
        <v>28359</v>
      </c>
      <c r="CD25" s="51">
        <v>30809</v>
      </c>
      <c r="CE25" s="51">
        <v>31028</v>
      </c>
      <c r="CF25" s="51">
        <v>30283</v>
      </c>
      <c r="CG25" s="51">
        <v>35750</v>
      </c>
      <c r="CH25" s="51">
        <v>42503</v>
      </c>
      <c r="CI25" s="51">
        <v>45354</v>
      </c>
      <c r="CJ25" s="51">
        <v>46008</v>
      </c>
      <c r="CK25" s="51">
        <v>48702</v>
      </c>
      <c r="CL25" s="51">
        <v>54239</v>
      </c>
      <c r="CM25" s="51">
        <v>61519</v>
      </c>
      <c r="CN25" s="51">
        <v>65804</v>
      </c>
      <c r="CO25" s="51">
        <v>67331</v>
      </c>
      <c r="CP25" s="51">
        <v>72750</v>
      </c>
      <c r="CQ25" s="51">
        <v>79383</v>
      </c>
      <c r="CR25" s="51">
        <v>80156</v>
      </c>
      <c r="CS25" s="51">
        <v>80033</v>
      </c>
      <c r="CT25" s="51">
        <v>80775</v>
      </c>
      <c r="CU25" s="51">
        <v>77592</v>
      </c>
      <c r="CV25" s="51">
        <v>72100</v>
      </c>
      <c r="CW25" s="51">
        <v>69192</v>
      </c>
      <c r="CX25" s="51">
        <v>66856</v>
      </c>
      <c r="CY25" s="51">
        <v>66278</v>
      </c>
      <c r="CZ25" s="51">
        <v>71145</v>
      </c>
      <c r="DA25" s="51">
        <v>68227</v>
      </c>
      <c r="DB25" s="51">
        <v>58770</v>
      </c>
      <c r="DC25" s="51">
        <v>56159</v>
      </c>
      <c r="DD25" s="51">
        <v>71048</v>
      </c>
      <c r="DE25" s="51">
        <v>76297</v>
      </c>
      <c r="DF25" s="51">
        <v>78800</v>
      </c>
      <c r="DG25" s="51">
        <v>84283</v>
      </c>
      <c r="DH25" s="51">
        <v>80240</v>
      </c>
      <c r="DI25" s="51">
        <v>77814</v>
      </c>
      <c r="DJ25" s="51">
        <v>84343</v>
      </c>
      <c r="DK25" s="51">
        <v>82654</v>
      </c>
      <c r="DL25" s="51">
        <v>88552</v>
      </c>
      <c r="DM25" s="51">
        <v>100154</v>
      </c>
      <c r="DN25" s="51">
        <v>113324</v>
      </c>
      <c r="DO25" s="51">
        <v>149623</v>
      </c>
      <c r="DP25" s="51">
        <v>165230</v>
      </c>
      <c r="DQ25" s="51">
        <v>179877</v>
      </c>
      <c r="DR25" s="51">
        <v>220851</v>
      </c>
      <c r="DS25" s="51">
        <v>221058</v>
      </c>
      <c r="DT25" s="51">
        <v>300079</v>
      </c>
      <c r="DU25" s="51">
        <v>287600</v>
      </c>
      <c r="DV25" s="51">
        <v>315786</v>
      </c>
      <c r="DW25" s="51">
        <v>349954</v>
      </c>
      <c r="DX25" s="51">
        <v>428346</v>
      </c>
      <c r="DY25" s="51">
        <v>448638</v>
      </c>
      <c r="DZ25" s="51">
        <v>462908</v>
      </c>
      <c r="EA25" s="51">
        <v>471045</v>
      </c>
      <c r="EB25" s="51">
        <v>501106</v>
      </c>
      <c r="EC25" s="51">
        <v>431225</v>
      </c>
      <c r="ED25" s="51">
        <v>429585</v>
      </c>
      <c r="EE25" s="51">
        <v>406978</v>
      </c>
      <c r="EF25" s="51">
        <v>521900</v>
      </c>
      <c r="EG25" s="51">
        <v>586273</v>
      </c>
      <c r="EH25" s="51">
        <v>636134</v>
      </c>
      <c r="EI25" s="51">
        <v>642565</v>
      </c>
      <c r="EJ25" s="52">
        <v>702084</v>
      </c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</row>
    <row r="26" spans="1:214">
      <c r="A26" s="47" t="s">
        <v>209</v>
      </c>
      <c r="B26" s="38">
        <v>13</v>
      </c>
      <c r="C26" s="39">
        <v>15</v>
      </c>
      <c r="D26" s="39">
        <v>15</v>
      </c>
      <c r="E26" s="39">
        <v>16</v>
      </c>
      <c r="F26" s="39">
        <v>18</v>
      </c>
      <c r="G26" s="39">
        <v>18</v>
      </c>
      <c r="H26" s="39">
        <v>21</v>
      </c>
      <c r="I26" s="39">
        <v>21</v>
      </c>
      <c r="J26" s="39">
        <v>24</v>
      </c>
      <c r="K26" s="39">
        <v>26</v>
      </c>
      <c r="L26" s="39">
        <v>42</v>
      </c>
      <c r="M26" s="39">
        <v>52</v>
      </c>
      <c r="N26" s="39">
        <v>66</v>
      </c>
      <c r="O26" s="39">
        <v>69</v>
      </c>
      <c r="P26" s="39">
        <v>73</v>
      </c>
      <c r="Q26" s="39">
        <v>76</v>
      </c>
      <c r="R26" s="39">
        <v>98</v>
      </c>
      <c r="S26" s="39">
        <v>127.18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0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0</v>
      </c>
      <c r="AY26" s="39">
        <v>0</v>
      </c>
      <c r="AZ26" s="39">
        <v>0</v>
      </c>
      <c r="BA26" s="39">
        <v>0</v>
      </c>
      <c r="BB26" s="39">
        <v>0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0</v>
      </c>
      <c r="BI26" s="39">
        <v>0</v>
      </c>
      <c r="BJ26" s="39">
        <v>0</v>
      </c>
      <c r="BK26" s="39">
        <v>0</v>
      </c>
      <c r="BL26" s="48">
        <v>2024</v>
      </c>
      <c r="BM26" s="48">
        <v>1920</v>
      </c>
      <c r="BN26" s="48">
        <v>12042</v>
      </c>
      <c r="BO26" s="48">
        <v>12064</v>
      </c>
      <c r="BP26" s="48">
        <v>13612</v>
      </c>
      <c r="BQ26" s="48">
        <v>14070</v>
      </c>
      <c r="BR26" s="40">
        <v>14355</v>
      </c>
      <c r="BS26" s="40">
        <v>15094</v>
      </c>
      <c r="BT26" s="40">
        <v>15453</v>
      </c>
      <c r="BU26" s="40">
        <v>16030</v>
      </c>
      <c r="BV26" s="40">
        <v>15963</v>
      </c>
      <c r="BW26" s="40">
        <v>16258</v>
      </c>
      <c r="BX26" s="50">
        <v>12705</v>
      </c>
      <c r="BY26" s="51">
        <v>12765</v>
      </c>
      <c r="BZ26" s="51">
        <v>12787</v>
      </c>
      <c r="CA26" s="51">
        <v>12687</v>
      </c>
      <c r="CB26" s="51">
        <v>12045</v>
      </c>
      <c r="CC26" s="51">
        <v>12034</v>
      </c>
      <c r="CD26" s="51">
        <v>12043</v>
      </c>
      <c r="CE26" s="51">
        <v>11364</v>
      </c>
      <c r="CF26" s="51">
        <v>10208</v>
      </c>
      <c r="CG26" s="51">
        <v>10745</v>
      </c>
      <c r="CH26" s="51">
        <v>10785</v>
      </c>
      <c r="CI26" s="51">
        <v>10949</v>
      </c>
      <c r="CJ26" s="51">
        <v>10814</v>
      </c>
      <c r="CK26" s="51">
        <v>11749</v>
      </c>
      <c r="CL26" s="51">
        <v>11868</v>
      </c>
      <c r="CM26" s="51">
        <v>12514</v>
      </c>
      <c r="CN26" s="51">
        <v>13923</v>
      </c>
      <c r="CO26" s="51">
        <v>14395</v>
      </c>
      <c r="CP26" s="51">
        <v>13293</v>
      </c>
      <c r="CQ26" s="51">
        <v>12849</v>
      </c>
      <c r="CR26" s="51">
        <v>12930</v>
      </c>
      <c r="CS26" s="51">
        <v>11961</v>
      </c>
      <c r="CT26" s="51">
        <v>12379</v>
      </c>
      <c r="CU26" s="51">
        <v>12296</v>
      </c>
      <c r="CV26" s="51">
        <v>12855</v>
      </c>
      <c r="CW26" s="51">
        <v>12562</v>
      </c>
      <c r="CX26" s="51">
        <v>12645</v>
      </c>
      <c r="CY26" s="51">
        <v>12599</v>
      </c>
      <c r="CZ26" s="51">
        <v>16053</v>
      </c>
      <c r="DA26" s="51">
        <v>16779</v>
      </c>
      <c r="DB26" s="51">
        <v>18774</v>
      </c>
      <c r="DC26" s="51">
        <v>21299</v>
      </c>
      <c r="DD26" s="51">
        <v>26363</v>
      </c>
      <c r="DE26" s="51">
        <v>29286</v>
      </c>
      <c r="DF26" s="51">
        <v>31513</v>
      </c>
      <c r="DG26" s="51">
        <v>32317</v>
      </c>
      <c r="DH26" s="51">
        <v>39167</v>
      </c>
      <c r="DI26" s="51">
        <v>47189</v>
      </c>
      <c r="DJ26" s="51">
        <v>49947</v>
      </c>
      <c r="DK26" s="51">
        <v>57273</v>
      </c>
      <c r="DL26" s="51">
        <v>61271</v>
      </c>
      <c r="DM26" s="51">
        <v>64902</v>
      </c>
      <c r="DN26" s="51">
        <v>76201</v>
      </c>
      <c r="DO26" s="51">
        <v>88177</v>
      </c>
      <c r="DP26" s="51">
        <v>135886</v>
      </c>
      <c r="DQ26" s="51">
        <v>138820</v>
      </c>
      <c r="DR26" s="51">
        <v>149637</v>
      </c>
      <c r="DS26" s="51">
        <v>169615</v>
      </c>
      <c r="DT26" s="51">
        <v>198268</v>
      </c>
      <c r="DU26" s="51">
        <v>216033</v>
      </c>
      <c r="DV26" s="51">
        <v>271327</v>
      </c>
      <c r="DW26" s="51">
        <v>272930</v>
      </c>
      <c r="DX26" s="51">
        <v>334200</v>
      </c>
      <c r="DY26" s="51">
        <v>308365</v>
      </c>
      <c r="DZ26" s="51">
        <v>325548</v>
      </c>
      <c r="EA26" s="51">
        <v>333178</v>
      </c>
      <c r="EB26" s="51">
        <v>363277</v>
      </c>
      <c r="EC26" s="51">
        <v>395001</v>
      </c>
      <c r="ED26" s="51">
        <v>452898</v>
      </c>
      <c r="EE26" s="39">
        <v>453845</v>
      </c>
      <c r="EF26" s="39">
        <v>520223</v>
      </c>
      <c r="EG26" s="39">
        <v>837844</v>
      </c>
      <c r="EH26" s="39">
        <v>853630</v>
      </c>
      <c r="EI26" s="39">
        <v>848503</v>
      </c>
      <c r="EJ26" s="42">
        <v>841324</v>
      </c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</row>
    <row r="27" spans="1:214" ht="15.75" customHeight="1" thickBot="1">
      <c r="A27" s="54" t="s">
        <v>32</v>
      </c>
      <c r="B27" s="55">
        <v>28457.59</v>
      </c>
      <c r="C27" s="56">
        <v>28189.51</v>
      </c>
      <c r="D27" s="56">
        <v>28649.38</v>
      </c>
      <c r="E27" s="56">
        <v>30300</v>
      </c>
      <c r="F27" s="56">
        <v>33865.019999999997</v>
      </c>
      <c r="G27" s="56">
        <v>34952.82</v>
      </c>
      <c r="H27" s="56">
        <v>37393.019999999997</v>
      </c>
      <c r="I27" s="56">
        <v>40157.39</v>
      </c>
      <c r="J27" s="56">
        <v>43129.15</v>
      </c>
      <c r="K27" s="56">
        <v>46162.720000000001</v>
      </c>
      <c r="L27" s="56">
        <v>48909.08</v>
      </c>
      <c r="M27" s="56">
        <v>51920.87</v>
      </c>
      <c r="N27" s="56">
        <v>53590.559999999998</v>
      </c>
      <c r="O27" s="56">
        <v>60140</v>
      </c>
      <c r="P27" s="56">
        <v>60559.23</v>
      </c>
      <c r="Q27" s="56">
        <v>69852.98</v>
      </c>
      <c r="R27" s="56">
        <v>78423.63</v>
      </c>
      <c r="S27" s="56">
        <v>91015.71</v>
      </c>
      <c r="T27" s="56">
        <v>100345</v>
      </c>
      <c r="U27" s="56">
        <v>99829</v>
      </c>
      <c r="V27" s="56">
        <v>102086</v>
      </c>
      <c r="W27" s="56">
        <v>107457.5</v>
      </c>
      <c r="X27" s="56">
        <v>112088</v>
      </c>
      <c r="Y27" s="56">
        <v>111907</v>
      </c>
      <c r="Z27" s="56">
        <v>115521</v>
      </c>
      <c r="AA27" s="56">
        <v>119186</v>
      </c>
      <c r="AB27" s="56">
        <v>122494</v>
      </c>
      <c r="AC27" s="56">
        <v>121961</v>
      </c>
      <c r="AD27" s="56">
        <v>127524</v>
      </c>
      <c r="AE27" s="56">
        <v>131822</v>
      </c>
      <c r="AF27" s="56">
        <v>139328</v>
      </c>
      <c r="AG27" s="56">
        <v>139952</v>
      </c>
      <c r="AH27" s="56">
        <v>146868</v>
      </c>
      <c r="AI27" s="56">
        <v>152184</v>
      </c>
      <c r="AJ27" s="56">
        <v>160755</v>
      </c>
      <c r="AK27" s="56">
        <v>159806</v>
      </c>
      <c r="AL27" s="56">
        <v>166689</v>
      </c>
      <c r="AM27" s="56">
        <v>171691</v>
      </c>
      <c r="AN27" s="56">
        <v>175782</v>
      </c>
      <c r="AO27" s="56">
        <v>178281</v>
      </c>
      <c r="AP27" s="56">
        <v>186144</v>
      </c>
      <c r="AQ27" s="56">
        <v>195774</v>
      </c>
      <c r="AR27" s="56">
        <v>212754</v>
      </c>
      <c r="AS27" s="56">
        <v>223604</v>
      </c>
      <c r="AT27" s="56">
        <v>234721</v>
      </c>
      <c r="AU27" s="56">
        <v>250025</v>
      </c>
      <c r="AV27" s="56">
        <v>273645</v>
      </c>
      <c r="AW27" s="56">
        <v>287320</v>
      </c>
      <c r="AX27" s="56">
        <v>295909</v>
      </c>
      <c r="AY27" s="56">
        <v>314175</v>
      </c>
      <c r="AZ27" s="56">
        <v>345592</v>
      </c>
      <c r="BA27" s="56">
        <v>351202</v>
      </c>
      <c r="BB27" s="56">
        <v>357218</v>
      </c>
      <c r="BC27" s="56">
        <v>369046</v>
      </c>
      <c r="BD27" s="56">
        <v>390205</v>
      </c>
      <c r="BE27" s="56">
        <v>385865</v>
      </c>
      <c r="BF27" s="56">
        <v>400913</v>
      </c>
      <c r="BG27" s="56">
        <v>409033</v>
      </c>
      <c r="BH27" s="56">
        <v>431308</v>
      </c>
      <c r="BI27" s="56">
        <v>438862</v>
      </c>
      <c r="BJ27" s="56">
        <v>444042</v>
      </c>
      <c r="BK27" s="56">
        <v>469272</v>
      </c>
      <c r="BL27" s="56">
        <v>533911</v>
      </c>
      <c r="BM27" s="56">
        <v>549332</v>
      </c>
      <c r="BN27" s="56">
        <v>570172</v>
      </c>
      <c r="BO27" s="56">
        <v>606479</v>
      </c>
      <c r="BP27" s="56">
        <v>669943</v>
      </c>
      <c r="BQ27" s="56">
        <v>690271</v>
      </c>
      <c r="BR27" s="56">
        <v>731132</v>
      </c>
      <c r="BS27" s="56">
        <v>783492</v>
      </c>
      <c r="BT27" s="56">
        <v>852112</v>
      </c>
      <c r="BU27" s="56">
        <v>882501</v>
      </c>
      <c r="BV27" s="56">
        <v>938199</v>
      </c>
      <c r="BW27" s="56">
        <v>1004837</v>
      </c>
      <c r="BX27" s="56">
        <v>1125214</v>
      </c>
      <c r="BY27" s="56">
        <v>1249204</v>
      </c>
      <c r="BZ27" s="56">
        <v>1304293</v>
      </c>
      <c r="CA27" s="56">
        <v>1403819</v>
      </c>
      <c r="CB27" s="56">
        <v>1554036</v>
      </c>
      <c r="CC27" s="56">
        <v>1659579</v>
      </c>
      <c r="CD27" s="56">
        <v>1798068</v>
      </c>
      <c r="CE27" s="56">
        <v>1908561</v>
      </c>
      <c r="CF27" s="56">
        <v>2024591</v>
      </c>
      <c r="CG27" s="56">
        <v>2171030</v>
      </c>
      <c r="CH27" s="56">
        <v>2319179</v>
      </c>
      <c r="CI27" s="56">
        <v>2478928</v>
      </c>
      <c r="CJ27" s="56">
        <v>2635748</v>
      </c>
      <c r="CK27" s="56">
        <v>2776293</v>
      </c>
      <c r="CL27" s="56">
        <v>2952925</v>
      </c>
      <c r="CM27" s="56">
        <v>3138615</v>
      </c>
      <c r="CN27" s="56">
        <v>3315501</v>
      </c>
      <c r="CO27" s="56">
        <v>3424629</v>
      </c>
      <c r="CP27" s="56">
        <v>3642402</v>
      </c>
      <c r="CQ27" s="56">
        <v>3956579</v>
      </c>
      <c r="CR27" s="56">
        <v>4212407</v>
      </c>
      <c r="CS27" s="56">
        <v>4380820</v>
      </c>
      <c r="CT27" s="56">
        <v>4621852</v>
      </c>
      <c r="CU27" s="56">
        <v>4889704</v>
      </c>
      <c r="CV27" s="56">
        <v>5099979</v>
      </c>
      <c r="CW27" s="56">
        <v>5166200</v>
      </c>
      <c r="CX27" s="56">
        <v>5301398</v>
      </c>
      <c r="CY27" s="56">
        <v>5657182</v>
      </c>
      <c r="CZ27" s="56">
        <v>5902379</v>
      </c>
      <c r="DA27" s="56">
        <v>6082031</v>
      </c>
      <c r="DB27" s="56">
        <v>6240918</v>
      </c>
      <c r="DC27" s="56">
        <v>6659894</v>
      </c>
      <c r="DD27" s="56">
        <v>6823392</v>
      </c>
      <c r="DE27" s="56">
        <v>7221016</v>
      </c>
      <c r="DF27" s="56">
        <v>7440063</v>
      </c>
      <c r="DG27" s="56">
        <v>7932862</v>
      </c>
      <c r="DH27" s="56">
        <v>8188461</v>
      </c>
      <c r="DI27" s="56">
        <v>8405769</v>
      </c>
      <c r="DJ27" s="56">
        <v>8682422</v>
      </c>
      <c r="DK27" s="56">
        <v>8965883</v>
      </c>
      <c r="DL27" s="56">
        <v>9158595</v>
      </c>
      <c r="DM27" s="56">
        <v>9642085</v>
      </c>
      <c r="DN27" s="56">
        <v>9972272</v>
      </c>
      <c r="DO27" s="56">
        <v>10160497</v>
      </c>
      <c r="DP27" s="56">
        <v>10475365</v>
      </c>
      <c r="DQ27" s="56">
        <v>11104870</v>
      </c>
      <c r="DR27" s="56">
        <v>11679006</v>
      </c>
      <c r="DS27" s="56">
        <v>12053643</v>
      </c>
      <c r="DT27" s="56">
        <v>12559694.5</v>
      </c>
      <c r="DU27" s="56">
        <v>13087043.300000001</v>
      </c>
      <c r="DV27" s="56">
        <v>13397013.5</v>
      </c>
      <c r="DW27" s="56">
        <v>13948445.300000001</v>
      </c>
      <c r="DX27" s="56">
        <v>14556092.9</v>
      </c>
      <c r="DY27" s="56">
        <v>14943303.5</v>
      </c>
      <c r="DZ27" s="56">
        <v>15378691.4</v>
      </c>
      <c r="EA27" s="56">
        <v>15998206.4</v>
      </c>
      <c r="EB27" s="56">
        <v>16487939.300000001</v>
      </c>
      <c r="EC27" s="56">
        <v>16441013</v>
      </c>
      <c r="ED27" s="56">
        <v>16514589.1</v>
      </c>
      <c r="EE27" s="56">
        <v>16842978.399999999</v>
      </c>
      <c r="EF27" s="56">
        <v>17680682.5</v>
      </c>
      <c r="EG27" s="56">
        <v>17886518.600000001</v>
      </c>
      <c r="EH27" s="56">
        <v>18291920.699999999</v>
      </c>
      <c r="EI27" s="56">
        <v>18221443.300000001</v>
      </c>
      <c r="EJ27" s="57">
        <v>18722125.800000001</v>
      </c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</row>
    <row r="28" spans="1:214" ht="15.75" customHeight="1" thickBot="1"/>
    <row r="29" spans="1:214" ht="25" customHeight="1" thickBot="1">
      <c r="A29" s="32" t="s">
        <v>180</v>
      </c>
      <c r="B29" s="33" t="s">
        <v>179</v>
      </c>
      <c r="C29" s="34" t="s">
        <v>178</v>
      </c>
      <c r="D29" s="34" t="s">
        <v>177</v>
      </c>
      <c r="E29" s="34" t="s">
        <v>176</v>
      </c>
      <c r="F29" s="34" t="s">
        <v>175</v>
      </c>
      <c r="G29" s="34" t="s">
        <v>174</v>
      </c>
      <c r="H29" s="34" t="s">
        <v>173</v>
      </c>
      <c r="I29" s="34" t="s">
        <v>172</v>
      </c>
      <c r="J29" s="34" t="s">
        <v>171</v>
      </c>
      <c r="K29" s="34" t="s">
        <v>170</v>
      </c>
      <c r="L29" s="34" t="s">
        <v>169</v>
      </c>
      <c r="M29" s="34" t="s">
        <v>168</v>
      </c>
      <c r="N29" s="34" t="s">
        <v>167</v>
      </c>
      <c r="O29" s="34" t="s">
        <v>166</v>
      </c>
      <c r="P29" s="34" t="s">
        <v>165</v>
      </c>
      <c r="Q29" s="34" t="s">
        <v>164</v>
      </c>
      <c r="R29" s="34" t="s">
        <v>163</v>
      </c>
      <c r="S29" s="34" t="s">
        <v>162</v>
      </c>
      <c r="T29" s="34" t="s">
        <v>161</v>
      </c>
      <c r="U29" s="34" t="s">
        <v>160</v>
      </c>
      <c r="V29" s="34" t="s">
        <v>159</v>
      </c>
      <c r="W29" s="34" t="s">
        <v>158</v>
      </c>
      <c r="X29" s="34" t="s">
        <v>157</v>
      </c>
      <c r="Y29" s="34" t="s">
        <v>156</v>
      </c>
      <c r="Z29" s="34" t="s">
        <v>155</v>
      </c>
      <c r="AA29" s="34" t="s">
        <v>154</v>
      </c>
      <c r="AB29" s="34" t="s">
        <v>153</v>
      </c>
      <c r="AC29" s="34" t="s">
        <v>152</v>
      </c>
      <c r="AD29" s="34" t="s">
        <v>151</v>
      </c>
      <c r="AE29" s="34" t="s">
        <v>150</v>
      </c>
      <c r="AF29" s="34" t="s">
        <v>149</v>
      </c>
      <c r="AG29" s="34" t="s">
        <v>148</v>
      </c>
      <c r="AH29" s="34" t="s">
        <v>147</v>
      </c>
      <c r="AI29" s="34" t="s">
        <v>146</v>
      </c>
      <c r="AJ29" s="34" t="s">
        <v>145</v>
      </c>
      <c r="AK29" s="34" t="s">
        <v>144</v>
      </c>
      <c r="AL29" s="34" t="s">
        <v>143</v>
      </c>
      <c r="AM29" s="34" t="s">
        <v>142</v>
      </c>
      <c r="AN29" s="34" t="s">
        <v>141</v>
      </c>
      <c r="AO29" s="34" t="s">
        <v>140</v>
      </c>
      <c r="AP29" s="34" t="s">
        <v>139</v>
      </c>
      <c r="AQ29" s="34" t="s">
        <v>138</v>
      </c>
      <c r="AR29" s="34" t="s">
        <v>137</v>
      </c>
      <c r="AS29" s="34" t="s">
        <v>136</v>
      </c>
      <c r="AT29" s="34" t="s">
        <v>135</v>
      </c>
      <c r="AU29" s="34" t="s">
        <v>134</v>
      </c>
      <c r="AV29" s="34" t="s">
        <v>133</v>
      </c>
      <c r="AW29" s="34" t="s">
        <v>132</v>
      </c>
      <c r="AX29" s="34" t="s">
        <v>131</v>
      </c>
      <c r="AY29" s="34" t="s">
        <v>130</v>
      </c>
      <c r="AZ29" s="34" t="s">
        <v>129</v>
      </c>
      <c r="BA29" s="34" t="s">
        <v>128</v>
      </c>
      <c r="BB29" s="34" t="s">
        <v>127</v>
      </c>
      <c r="BC29" s="34" t="s">
        <v>126</v>
      </c>
      <c r="BD29" s="34" t="s">
        <v>125</v>
      </c>
      <c r="BE29" s="34" t="s">
        <v>124</v>
      </c>
      <c r="BF29" s="34" t="s">
        <v>123</v>
      </c>
      <c r="BG29" s="34" t="s">
        <v>122</v>
      </c>
      <c r="BH29" s="34" t="s">
        <v>121</v>
      </c>
      <c r="BI29" s="34" t="s">
        <v>120</v>
      </c>
      <c r="BJ29" s="34" t="s">
        <v>119</v>
      </c>
      <c r="BK29" s="34" t="s">
        <v>118</v>
      </c>
      <c r="BL29" s="34" t="s">
        <v>195</v>
      </c>
      <c r="BM29" s="34" t="s">
        <v>116</v>
      </c>
      <c r="BN29" s="34" t="s">
        <v>115</v>
      </c>
      <c r="BO29" s="34" t="s">
        <v>114</v>
      </c>
      <c r="BP29" s="34" t="s">
        <v>113</v>
      </c>
      <c r="BQ29" s="34" t="s">
        <v>112</v>
      </c>
      <c r="BR29" s="34" t="s">
        <v>111</v>
      </c>
      <c r="BS29" s="34" t="s">
        <v>110</v>
      </c>
      <c r="BT29" s="34" t="s">
        <v>109</v>
      </c>
      <c r="BU29" s="34" t="s">
        <v>108</v>
      </c>
      <c r="BV29" s="35" t="s">
        <v>107</v>
      </c>
      <c r="BW29" s="35" t="s">
        <v>106</v>
      </c>
      <c r="BX29" s="34" t="s">
        <v>105</v>
      </c>
      <c r="BY29" s="35" t="s">
        <v>104</v>
      </c>
      <c r="BZ29" s="35" t="s">
        <v>103</v>
      </c>
      <c r="CA29" s="35" t="s">
        <v>102</v>
      </c>
      <c r="CB29" s="35" t="s">
        <v>101</v>
      </c>
      <c r="CC29" s="35" t="s">
        <v>100</v>
      </c>
      <c r="CD29" s="35" t="s">
        <v>99</v>
      </c>
      <c r="CE29" s="35" t="s">
        <v>98</v>
      </c>
      <c r="CF29" s="35" t="s">
        <v>97</v>
      </c>
      <c r="CG29" s="35" t="s">
        <v>96</v>
      </c>
      <c r="CH29" s="35" t="s">
        <v>95</v>
      </c>
      <c r="CI29" s="35" t="s">
        <v>94</v>
      </c>
      <c r="CJ29" s="35" t="s">
        <v>93</v>
      </c>
      <c r="CK29" s="35" t="s">
        <v>92</v>
      </c>
      <c r="CL29" s="35" t="s">
        <v>91</v>
      </c>
      <c r="CM29" s="35" t="s">
        <v>90</v>
      </c>
      <c r="CN29" s="35" t="s">
        <v>89</v>
      </c>
      <c r="CO29" s="35" t="s">
        <v>88</v>
      </c>
      <c r="CP29" s="35" t="s">
        <v>87</v>
      </c>
      <c r="CQ29" s="35" t="s">
        <v>86</v>
      </c>
      <c r="CR29" s="35" t="s">
        <v>85</v>
      </c>
      <c r="CS29" s="35" t="s">
        <v>84</v>
      </c>
      <c r="CT29" s="35" t="s">
        <v>83</v>
      </c>
      <c r="CU29" s="35" t="s">
        <v>82</v>
      </c>
      <c r="CV29" s="35" t="s">
        <v>81</v>
      </c>
      <c r="CW29" s="35" t="s">
        <v>80</v>
      </c>
      <c r="CX29" s="35" t="s">
        <v>79</v>
      </c>
      <c r="CY29" s="35" t="s">
        <v>78</v>
      </c>
      <c r="CZ29" s="35" t="s">
        <v>77</v>
      </c>
      <c r="DA29" s="35" t="s">
        <v>76</v>
      </c>
      <c r="DB29" s="35" t="s">
        <v>75</v>
      </c>
      <c r="DC29" s="35" t="s">
        <v>74</v>
      </c>
      <c r="DD29" s="35" t="s">
        <v>73</v>
      </c>
      <c r="DE29" s="35" t="s">
        <v>72</v>
      </c>
      <c r="DF29" s="35" t="s">
        <v>71</v>
      </c>
      <c r="DG29" s="35" t="s">
        <v>70</v>
      </c>
      <c r="DH29" s="35" t="s">
        <v>69</v>
      </c>
      <c r="DI29" s="35" t="s">
        <v>68</v>
      </c>
      <c r="DJ29" s="35" t="s">
        <v>67</v>
      </c>
      <c r="DK29" s="35" t="s">
        <v>66</v>
      </c>
      <c r="DL29" s="35" t="s">
        <v>65</v>
      </c>
      <c r="DM29" s="35" t="s">
        <v>64</v>
      </c>
      <c r="DN29" s="35" t="s">
        <v>63</v>
      </c>
      <c r="DO29" s="35" t="s">
        <v>62</v>
      </c>
      <c r="DP29" s="35" t="s">
        <v>61</v>
      </c>
      <c r="DQ29" s="35" t="s">
        <v>60</v>
      </c>
      <c r="DR29" s="35" t="s">
        <v>59</v>
      </c>
      <c r="DS29" s="35" t="s">
        <v>58</v>
      </c>
      <c r="DT29" s="35" t="s">
        <v>57</v>
      </c>
      <c r="DU29" s="35" t="s">
        <v>56</v>
      </c>
      <c r="DV29" s="35" t="s">
        <v>55</v>
      </c>
      <c r="DW29" s="35" t="s">
        <v>54</v>
      </c>
      <c r="DX29" s="35" t="s">
        <v>53</v>
      </c>
      <c r="DY29" s="35" t="s">
        <v>52</v>
      </c>
      <c r="DZ29" s="35" t="s">
        <v>51</v>
      </c>
      <c r="EA29" s="35" t="s">
        <v>50</v>
      </c>
      <c r="EB29" s="35" t="s">
        <v>49</v>
      </c>
      <c r="EC29" s="35" t="s">
        <v>48</v>
      </c>
      <c r="ED29" s="35" t="s">
        <v>47</v>
      </c>
      <c r="EE29" s="35" t="s">
        <v>46</v>
      </c>
      <c r="EF29" s="35" t="s">
        <v>45</v>
      </c>
      <c r="EG29" s="35" t="s">
        <v>44</v>
      </c>
      <c r="EH29" s="35" t="s">
        <v>43</v>
      </c>
      <c r="EI29" s="35" t="s">
        <v>42</v>
      </c>
      <c r="EJ29" s="36" t="s">
        <v>41</v>
      </c>
    </row>
    <row r="30" spans="1:214">
      <c r="A30" s="47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41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58"/>
    </row>
    <row r="31" spans="1:214">
      <c r="A31" s="47" t="s">
        <v>211</v>
      </c>
      <c r="B31" s="39">
        <v>24654.12</v>
      </c>
      <c r="C31" s="39">
        <v>24028.799999999999</v>
      </c>
      <c r="D31" s="39">
        <v>22953.8</v>
      </c>
      <c r="E31" s="39">
        <v>24029.439999999999</v>
      </c>
      <c r="F31" s="39">
        <v>26775.15</v>
      </c>
      <c r="G31" s="39">
        <v>27277.95</v>
      </c>
      <c r="H31" s="39">
        <v>29182.53</v>
      </c>
      <c r="I31" s="39">
        <v>31766.54</v>
      </c>
      <c r="J31" s="39">
        <v>33558.26</v>
      </c>
      <c r="K31" s="39">
        <v>35820.42</v>
      </c>
      <c r="L31" s="39">
        <v>38787.39</v>
      </c>
      <c r="M31" s="39">
        <v>41764.47</v>
      </c>
      <c r="N31" s="39">
        <v>44627.87</v>
      </c>
      <c r="O31" s="39">
        <v>47377.75</v>
      </c>
      <c r="P31" s="39">
        <v>48418.080000000002</v>
      </c>
      <c r="Q31" s="39">
        <v>54479.8</v>
      </c>
      <c r="R31" s="39">
        <v>61888.49</v>
      </c>
      <c r="S31" s="39">
        <v>72286.7</v>
      </c>
      <c r="T31" s="39">
        <v>79681</v>
      </c>
      <c r="U31" s="39">
        <v>79538</v>
      </c>
      <c r="V31" s="39">
        <v>81253</v>
      </c>
      <c r="W31" s="39">
        <v>85703</v>
      </c>
      <c r="X31" s="39">
        <v>90650</v>
      </c>
      <c r="Y31" s="39">
        <v>91305</v>
      </c>
      <c r="Z31" s="39">
        <v>93823</v>
      </c>
      <c r="AA31" s="39">
        <v>97238</v>
      </c>
      <c r="AB31" s="39">
        <v>104644</v>
      </c>
      <c r="AC31" s="39">
        <v>103775</v>
      </c>
      <c r="AD31" s="39">
        <v>105883</v>
      </c>
      <c r="AE31" s="39">
        <v>110398</v>
      </c>
      <c r="AF31" s="39">
        <v>121077</v>
      </c>
      <c r="AG31" s="39">
        <v>119543</v>
      </c>
      <c r="AH31" s="39">
        <v>124632</v>
      </c>
      <c r="AI31" s="39">
        <v>128971</v>
      </c>
      <c r="AJ31" s="39">
        <v>139957</v>
      </c>
      <c r="AK31" s="39">
        <v>140795</v>
      </c>
      <c r="AL31" s="39">
        <v>146583</v>
      </c>
      <c r="AM31" s="39">
        <v>148970</v>
      </c>
      <c r="AN31" s="39">
        <v>163152</v>
      </c>
      <c r="AO31" s="39">
        <v>161142</v>
      </c>
      <c r="AP31" s="39">
        <v>167036</v>
      </c>
      <c r="AQ31" s="39">
        <v>177425</v>
      </c>
      <c r="AR31" s="39">
        <v>196060</v>
      </c>
      <c r="AS31" s="39">
        <v>195487</v>
      </c>
      <c r="AT31" s="39">
        <v>205673</v>
      </c>
      <c r="AU31" s="39">
        <v>219244</v>
      </c>
      <c r="AV31" s="39">
        <v>239988</v>
      </c>
      <c r="AW31" s="39">
        <v>250161</v>
      </c>
      <c r="AX31" s="39">
        <v>262629</v>
      </c>
      <c r="AY31" s="39">
        <v>279505</v>
      </c>
      <c r="AZ31" s="39">
        <v>309174</v>
      </c>
      <c r="BA31" s="39">
        <v>309129</v>
      </c>
      <c r="BB31" s="39">
        <v>316137</v>
      </c>
      <c r="BC31" s="39">
        <v>328722</v>
      </c>
      <c r="BD31" s="39">
        <v>351544</v>
      </c>
      <c r="BE31" s="39">
        <v>351609</v>
      </c>
      <c r="BF31" s="39">
        <v>361433</v>
      </c>
      <c r="BG31" s="39">
        <v>374463</v>
      </c>
      <c r="BH31" s="39">
        <v>391522</v>
      </c>
      <c r="BI31" s="39">
        <v>399924</v>
      </c>
      <c r="BJ31" s="39">
        <v>409712</v>
      </c>
      <c r="BK31" s="39">
        <v>432330</v>
      </c>
      <c r="BL31" s="39">
        <v>466614</v>
      </c>
      <c r="BM31" s="39">
        <v>479918</v>
      </c>
      <c r="BN31" s="39">
        <v>506857</v>
      </c>
      <c r="BO31" s="39">
        <v>531514</v>
      </c>
      <c r="BP31" s="39">
        <v>573076</v>
      </c>
      <c r="BQ31" s="39">
        <v>600209</v>
      </c>
      <c r="BR31" s="39">
        <v>625895</v>
      </c>
      <c r="BS31" s="39">
        <v>669988</v>
      </c>
      <c r="BT31" s="39">
        <v>731508</v>
      </c>
      <c r="BU31" s="39">
        <v>756799</v>
      </c>
      <c r="BV31" s="39">
        <v>819955</v>
      </c>
      <c r="BW31" s="39">
        <v>888743</v>
      </c>
      <c r="BX31" s="39">
        <v>1000435</v>
      </c>
      <c r="BY31" s="39">
        <v>1035699.4</v>
      </c>
      <c r="BZ31" s="39">
        <v>1111075.5</v>
      </c>
      <c r="CA31" s="39">
        <v>1209275.8999999999</v>
      </c>
      <c r="CB31" s="39">
        <v>1342282.3</v>
      </c>
      <c r="CC31" s="39">
        <v>1409595.9</v>
      </c>
      <c r="CD31" s="39">
        <v>1524855.6</v>
      </c>
      <c r="CE31" s="39">
        <v>1632070.1</v>
      </c>
      <c r="CF31" s="39">
        <v>1727932.6</v>
      </c>
      <c r="CG31" s="39">
        <v>1819907.5</v>
      </c>
      <c r="CH31" s="39">
        <v>1927981.4</v>
      </c>
      <c r="CI31" s="39">
        <v>2061217.9</v>
      </c>
      <c r="CJ31" s="39">
        <v>2191339.7999999998</v>
      </c>
      <c r="CK31" s="39">
        <v>2284102.4</v>
      </c>
      <c r="CL31" s="39">
        <v>2386642.2000000002</v>
      </c>
      <c r="CM31" s="39">
        <v>2497539.1</v>
      </c>
      <c r="CN31" s="39">
        <v>2640033.2000000002</v>
      </c>
      <c r="CO31" s="39">
        <v>2761282.9</v>
      </c>
      <c r="CP31" s="39">
        <v>2931127.9</v>
      </c>
      <c r="CQ31" s="39">
        <v>3141051.3</v>
      </c>
      <c r="CR31" s="39">
        <v>3371360.4</v>
      </c>
      <c r="CS31" s="39">
        <v>3555322.4</v>
      </c>
      <c r="CT31" s="39">
        <v>3762619.2</v>
      </c>
      <c r="CU31" s="39">
        <v>4072957.6</v>
      </c>
      <c r="CV31" s="39">
        <v>4304869.5</v>
      </c>
      <c r="CW31" s="39">
        <v>4510395.5999999996</v>
      </c>
      <c r="CX31" s="39">
        <v>4689619.8</v>
      </c>
      <c r="CY31" s="39">
        <v>5010750.3</v>
      </c>
      <c r="CZ31" s="39">
        <v>5264948.4000000004</v>
      </c>
      <c r="DA31" s="39">
        <v>5468819</v>
      </c>
      <c r="DB31" s="39">
        <v>5577044.4000000004</v>
      </c>
      <c r="DC31" s="39">
        <v>5883208.5</v>
      </c>
      <c r="DD31" s="39">
        <v>6096581.2000000002</v>
      </c>
      <c r="DE31" s="39">
        <v>6299143.5999999996</v>
      </c>
      <c r="DF31" s="39">
        <v>6476496.4000000004</v>
      </c>
      <c r="DG31" s="39">
        <v>6771317.7999999998</v>
      </c>
      <c r="DH31" s="39">
        <v>7097040.5</v>
      </c>
      <c r="DI31" s="39">
        <v>7292869.2000000002</v>
      </c>
      <c r="DJ31" s="39">
        <v>7439764.5999999996</v>
      </c>
      <c r="DK31" s="39">
        <v>7622347.8999999994</v>
      </c>
      <c r="DL31" s="39">
        <v>7883076.0999999996</v>
      </c>
      <c r="DM31" s="39">
        <v>8057410.9000000004</v>
      </c>
      <c r="DN31" s="39">
        <v>8305513.5</v>
      </c>
      <c r="DO31" s="39">
        <v>8434566.1000000015</v>
      </c>
      <c r="DP31" s="39">
        <v>8734375.0999999996</v>
      </c>
      <c r="DQ31" s="39">
        <v>8967709.5</v>
      </c>
      <c r="DR31" s="39">
        <v>9417504.6999999993</v>
      </c>
      <c r="DS31" s="39">
        <v>9756706.8000000007</v>
      </c>
      <c r="DT31" s="39">
        <v>10342337.499999998</v>
      </c>
      <c r="DU31" s="39">
        <v>10639442.4</v>
      </c>
      <c r="DV31" s="39">
        <v>10966655.1</v>
      </c>
      <c r="DW31" s="39">
        <v>11428173.1</v>
      </c>
      <c r="DX31" s="39">
        <v>11908751.6</v>
      </c>
      <c r="DY31" s="39">
        <v>12085607.700000001</v>
      </c>
      <c r="DZ31" s="39">
        <v>12319895.800000001</v>
      </c>
      <c r="EA31" s="39">
        <v>12588209.300000001</v>
      </c>
      <c r="EB31" s="39">
        <v>13064599.700000001</v>
      </c>
      <c r="EC31" s="39">
        <v>12864128.5</v>
      </c>
      <c r="ED31" s="39">
        <v>13155719.699999999</v>
      </c>
      <c r="EE31" s="39">
        <v>13571352.9</v>
      </c>
      <c r="EF31" s="39">
        <v>14282464</v>
      </c>
      <c r="EG31" s="39">
        <v>14539224.199999999</v>
      </c>
      <c r="EH31" s="39">
        <v>14883702.1</v>
      </c>
      <c r="EI31" s="39">
        <v>15158296.299999999</v>
      </c>
      <c r="EJ31" s="42">
        <v>15467848.699999999</v>
      </c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</row>
    <row r="32" spans="1:214">
      <c r="A32" s="47" t="s">
        <v>212</v>
      </c>
      <c r="B32" s="39">
        <v>24654.12</v>
      </c>
      <c r="C32" s="39">
        <v>24028.799999999999</v>
      </c>
      <c r="D32" s="39">
        <v>22953.8</v>
      </c>
      <c r="E32" s="39">
        <v>24029.439999999999</v>
      </c>
      <c r="F32" s="39">
        <v>26775.15</v>
      </c>
      <c r="G32" s="39">
        <v>27277.95</v>
      </c>
      <c r="H32" s="39">
        <v>29182.53</v>
      </c>
      <c r="I32" s="39">
        <v>31766.54</v>
      </c>
      <c r="J32" s="39">
        <v>33558.26</v>
      </c>
      <c r="K32" s="39">
        <v>35820.42</v>
      </c>
      <c r="L32" s="39">
        <v>38787.39</v>
      </c>
      <c r="M32" s="39">
        <v>41764.47</v>
      </c>
      <c r="N32" s="39">
        <v>44627.87</v>
      </c>
      <c r="O32" s="39">
        <v>47377.75</v>
      </c>
      <c r="P32" s="39">
        <v>48418.080000000002</v>
      </c>
      <c r="Q32" s="39">
        <v>54479.8</v>
      </c>
      <c r="R32" s="39">
        <v>61888.49</v>
      </c>
      <c r="S32" s="39">
        <v>72286.7</v>
      </c>
      <c r="T32" s="39">
        <v>79681</v>
      </c>
      <c r="U32" s="39">
        <v>79538</v>
      </c>
      <c r="V32" s="39">
        <v>81253</v>
      </c>
      <c r="W32" s="39">
        <v>85703</v>
      </c>
      <c r="X32" s="39">
        <v>90649</v>
      </c>
      <c r="Y32" s="39">
        <v>91304</v>
      </c>
      <c r="Z32" s="39">
        <v>93822</v>
      </c>
      <c r="AA32" s="39">
        <v>97237</v>
      </c>
      <c r="AB32" s="39">
        <v>104643</v>
      </c>
      <c r="AC32" s="39">
        <v>103774</v>
      </c>
      <c r="AD32" s="39">
        <v>105882</v>
      </c>
      <c r="AE32" s="39">
        <v>110397</v>
      </c>
      <c r="AF32" s="39">
        <v>121076</v>
      </c>
      <c r="AG32" s="39">
        <v>119531</v>
      </c>
      <c r="AH32" s="39">
        <v>124605</v>
      </c>
      <c r="AI32" s="39">
        <v>128919</v>
      </c>
      <c r="AJ32" s="39">
        <v>139887</v>
      </c>
      <c r="AK32" s="39">
        <v>140737</v>
      </c>
      <c r="AL32" s="39">
        <v>146502</v>
      </c>
      <c r="AM32" s="39">
        <v>148890</v>
      </c>
      <c r="AN32" s="39">
        <v>163017</v>
      </c>
      <c r="AO32" s="39">
        <v>160906</v>
      </c>
      <c r="AP32" s="39">
        <v>166607</v>
      </c>
      <c r="AQ32" s="39">
        <v>177049</v>
      </c>
      <c r="AR32" s="39">
        <v>195601</v>
      </c>
      <c r="AS32" s="39">
        <v>195042</v>
      </c>
      <c r="AT32" s="39">
        <v>205179</v>
      </c>
      <c r="AU32" s="39">
        <v>218801</v>
      </c>
      <c r="AV32" s="39">
        <v>239568</v>
      </c>
      <c r="AW32" s="39">
        <v>249862</v>
      </c>
      <c r="AX32" s="39">
        <v>262158</v>
      </c>
      <c r="AY32" s="39">
        <v>279043</v>
      </c>
      <c r="AZ32" s="39">
        <v>308520</v>
      </c>
      <c r="BA32" s="39">
        <v>308412</v>
      </c>
      <c r="BB32" s="39">
        <v>315477</v>
      </c>
      <c r="BC32" s="39">
        <v>327792</v>
      </c>
      <c r="BD32" s="39">
        <v>350495</v>
      </c>
      <c r="BE32" s="39">
        <v>350521</v>
      </c>
      <c r="BF32" s="39">
        <v>360296</v>
      </c>
      <c r="BG32" s="39">
        <v>373545</v>
      </c>
      <c r="BH32" s="39">
        <v>390217</v>
      </c>
      <c r="BI32" s="39">
        <v>398596</v>
      </c>
      <c r="BJ32" s="39">
        <v>407979</v>
      </c>
      <c r="BK32" s="39">
        <v>430553</v>
      </c>
      <c r="BL32" s="39">
        <v>459163</v>
      </c>
      <c r="BM32" s="39">
        <v>466083</v>
      </c>
      <c r="BN32" s="39">
        <v>486499</v>
      </c>
      <c r="BO32" s="39">
        <v>502827</v>
      </c>
      <c r="BP32" s="39">
        <v>534817</v>
      </c>
      <c r="BQ32" s="39">
        <v>552869</v>
      </c>
      <c r="BR32" s="39">
        <v>571901</v>
      </c>
      <c r="BS32" s="39">
        <v>596816</v>
      </c>
      <c r="BT32" s="39">
        <v>645888</v>
      </c>
      <c r="BU32" s="39">
        <v>656689</v>
      </c>
      <c r="BV32" s="39">
        <v>706939</v>
      </c>
      <c r="BW32" s="39">
        <v>761984</v>
      </c>
      <c r="BX32" s="39">
        <v>847622</v>
      </c>
      <c r="BY32" s="39">
        <v>862900.5</v>
      </c>
      <c r="BZ32" s="39">
        <v>919490.9</v>
      </c>
      <c r="CA32" s="39">
        <v>981991.9</v>
      </c>
      <c r="CB32" s="39">
        <v>1088104.6000000001</v>
      </c>
      <c r="CC32" s="39">
        <v>1125436.8</v>
      </c>
      <c r="CD32" s="39">
        <v>1204189.7</v>
      </c>
      <c r="CE32" s="39">
        <v>1281767.6000000001</v>
      </c>
      <c r="CF32" s="39">
        <v>1349136.4</v>
      </c>
      <c r="CG32" s="39">
        <v>1412631.6</v>
      </c>
      <c r="CH32" s="39">
        <v>1490397.4</v>
      </c>
      <c r="CI32" s="39">
        <v>1581400.6</v>
      </c>
      <c r="CJ32" s="39">
        <v>1674168.7</v>
      </c>
      <c r="CK32" s="39">
        <v>1733786.2</v>
      </c>
      <c r="CL32" s="39">
        <v>1799811.4</v>
      </c>
      <c r="CM32" s="39">
        <v>1859197.3</v>
      </c>
      <c r="CN32" s="39">
        <v>1956155.3</v>
      </c>
      <c r="CO32" s="39">
        <v>2030333.4</v>
      </c>
      <c r="CP32" s="39">
        <v>2149114.2000000002</v>
      </c>
      <c r="CQ32" s="39">
        <v>2283718.5</v>
      </c>
      <c r="CR32" s="39">
        <v>2442137.2000000002</v>
      </c>
      <c r="CS32" s="39">
        <v>2561943.6</v>
      </c>
      <c r="CT32" s="39">
        <v>2717374.4</v>
      </c>
      <c r="CU32" s="39">
        <v>2963481.5</v>
      </c>
      <c r="CV32" s="39">
        <v>3139703.5</v>
      </c>
      <c r="CW32" s="39">
        <v>3299515.1</v>
      </c>
      <c r="CX32" s="39">
        <v>3440863.3</v>
      </c>
      <c r="CY32" s="39">
        <v>3729529</v>
      </c>
      <c r="CZ32" s="39">
        <v>3969022.5</v>
      </c>
      <c r="DA32" s="39">
        <v>4149488.9</v>
      </c>
      <c r="DB32" s="39">
        <v>4267309</v>
      </c>
      <c r="DC32" s="39">
        <v>4541841</v>
      </c>
      <c r="DD32" s="39">
        <v>4748168.3</v>
      </c>
      <c r="DE32" s="39">
        <v>4929245.5999999996</v>
      </c>
      <c r="DF32" s="39">
        <v>5076631</v>
      </c>
      <c r="DG32" s="39">
        <v>5330005.8</v>
      </c>
      <c r="DH32" s="39">
        <v>5600738</v>
      </c>
      <c r="DI32" s="39">
        <v>5754075</v>
      </c>
      <c r="DJ32" s="39">
        <v>5837690.0999999996</v>
      </c>
      <c r="DK32" s="39">
        <v>5951016.7999999998</v>
      </c>
      <c r="DL32" s="39">
        <v>6201001</v>
      </c>
      <c r="DM32" s="39">
        <v>6321665.4000000004</v>
      </c>
      <c r="DN32" s="39">
        <v>6535960.7000000002</v>
      </c>
      <c r="DO32" s="39">
        <v>6643179.6000000006</v>
      </c>
      <c r="DP32" s="39">
        <v>6877544.0999999996</v>
      </c>
      <c r="DQ32" s="39">
        <v>7035854.2000000002</v>
      </c>
      <c r="DR32" s="39">
        <v>7333792.9000000004</v>
      </c>
      <c r="DS32" s="39">
        <v>7657102.5999999996</v>
      </c>
      <c r="DT32" s="39">
        <v>8121326.8999999994</v>
      </c>
      <c r="DU32" s="39">
        <v>8292933.2999999998</v>
      </c>
      <c r="DV32" s="39">
        <v>8492525.6999999993</v>
      </c>
      <c r="DW32" s="39">
        <v>8818165.4000000004</v>
      </c>
      <c r="DX32" s="39">
        <v>9227215</v>
      </c>
      <c r="DY32" s="39">
        <v>9203355.9000000004</v>
      </c>
      <c r="DZ32" s="39">
        <v>9305162.7000000011</v>
      </c>
      <c r="EA32" s="39">
        <v>9379039</v>
      </c>
      <c r="EB32" s="39">
        <v>9795440.4000000004</v>
      </c>
      <c r="EC32" s="39">
        <v>9639407.1999999993</v>
      </c>
      <c r="ED32" s="39">
        <v>9869488.5999999996</v>
      </c>
      <c r="EE32" s="39">
        <v>10302837.5</v>
      </c>
      <c r="EF32" s="39">
        <v>10715383.1</v>
      </c>
      <c r="EG32" s="39">
        <v>10969731.1</v>
      </c>
      <c r="EH32" s="39">
        <v>10979859.5</v>
      </c>
      <c r="EI32" s="39">
        <v>11210311.199999999</v>
      </c>
      <c r="EJ32" s="42">
        <v>11576912.1</v>
      </c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</row>
    <row r="33" spans="1:214">
      <c r="A33" s="49" t="s">
        <v>213</v>
      </c>
      <c r="B33" s="45">
        <v>24654.12</v>
      </c>
      <c r="C33" s="45">
        <v>24028.799999999999</v>
      </c>
      <c r="D33" s="45">
        <v>22953.8</v>
      </c>
      <c r="E33" s="45">
        <v>24029.439999999999</v>
      </c>
      <c r="F33" s="45">
        <v>26775.15</v>
      </c>
      <c r="G33" s="45">
        <v>27277.95</v>
      </c>
      <c r="H33" s="45">
        <v>29182.53</v>
      </c>
      <c r="I33" s="45">
        <v>31766.54</v>
      </c>
      <c r="J33" s="45">
        <v>33558.26</v>
      </c>
      <c r="K33" s="45">
        <v>35820.42</v>
      </c>
      <c r="L33" s="45">
        <v>38787.39</v>
      </c>
      <c r="M33" s="45">
        <v>41764.47</v>
      </c>
      <c r="N33" s="45">
        <v>44627.87</v>
      </c>
      <c r="O33" s="45">
        <v>47377.75</v>
      </c>
      <c r="P33" s="45">
        <v>48418.080000000002</v>
      </c>
      <c r="Q33" s="45">
        <v>54479.8</v>
      </c>
      <c r="R33" s="45">
        <v>61888.49</v>
      </c>
      <c r="S33" s="45">
        <v>72286.7</v>
      </c>
      <c r="T33" s="45">
        <v>79681</v>
      </c>
      <c r="U33" s="45">
        <v>79538</v>
      </c>
      <c r="V33" s="45">
        <v>81253</v>
      </c>
      <c r="W33" s="45">
        <v>85703</v>
      </c>
      <c r="X33" s="45">
        <v>90649</v>
      </c>
      <c r="Y33" s="45">
        <v>91304</v>
      </c>
      <c r="Z33" s="45">
        <v>93822</v>
      </c>
      <c r="AA33" s="45">
        <v>97237</v>
      </c>
      <c r="AB33" s="45">
        <v>104643</v>
      </c>
      <c r="AC33" s="45">
        <v>103774</v>
      </c>
      <c r="AD33" s="45">
        <v>105882</v>
      </c>
      <c r="AE33" s="45">
        <v>110397</v>
      </c>
      <c r="AF33" s="45">
        <v>121076</v>
      </c>
      <c r="AG33" s="45">
        <v>119531</v>
      </c>
      <c r="AH33" s="45">
        <v>124605</v>
      </c>
      <c r="AI33" s="45">
        <v>128919</v>
      </c>
      <c r="AJ33" s="45">
        <v>139887</v>
      </c>
      <c r="AK33" s="45">
        <v>140737</v>
      </c>
      <c r="AL33" s="45">
        <v>146502</v>
      </c>
      <c r="AM33" s="45">
        <v>148890</v>
      </c>
      <c r="AN33" s="45">
        <v>163017</v>
      </c>
      <c r="AO33" s="45">
        <v>160906</v>
      </c>
      <c r="AP33" s="45">
        <v>166607</v>
      </c>
      <c r="AQ33" s="45">
        <v>177049</v>
      </c>
      <c r="AR33" s="45">
        <v>195601</v>
      </c>
      <c r="AS33" s="45">
        <v>195042</v>
      </c>
      <c r="AT33" s="45">
        <v>205179</v>
      </c>
      <c r="AU33" s="45">
        <v>218801</v>
      </c>
      <c r="AV33" s="45">
        <v>239568</v>
      </c>
      <c r="AW33" s="45">
        <v>249862</v>
      </c>
      <c r="AX33" s="45">
        <v>262158</v>
      </c>
      <c r="AY33" s="45">
        <v>279043</v>
      </c>
      <c r="AZ33" s="45">
        <v>308520</v>
      </c>
      <c r="BA33" s="45">
        <v>308412</v>
      </c>
      <c r="BB33" s="45">
        <v>315477</v>
      </c>
      <c r="BC33" s="45">
        <v>327792</v>
      </c>
      <c r="BD33" s="45">
        <v>350495</v>
      </c>
      <c r="BE33" s="45">
        <v>350521</v>
      </c>
      <c r="BF33" s="45">
        <v>360296</v>
      </c>
      <c r="BG33" s="45">
        <v>373545</v>
      </c>
      <c r="BH33" s="45">
        <v>390217</v>
      </c>
      <c r="BI33" s="45">
        <v>398596</v>
      </c>
      <c r="BJ33" s="45">
        <v>407979</v>
      </c>
      <c r="BK33" s="45">
        <v>430553</v>
      </c>
      <c r="BL33" s="45">
        <v>459163</v>
      </c>
      <c r="BM33" s="45">
        <v>466083</v>
      </c>
      <c r="BN33" s="45">
        <v>486499</v>
      </c>
      <c r="BO33" s="45">
        <v>502827</v>
      </c>
      <c r="BP33" s="45">
        <v>534817</v>
      </c>
      <c r="BQ33" s="45">
        <v>552869</v>
      </c>
      <c r="BR33" s="45">
        <v>571901</v>
      </c>
      <c r="BS33" s="45">
        <v>596816</v>
      </c>
      <c r="BT33" s="45">
        <v>645888</v>
      </c>
      <c r="BU33" s="45">
        <v>656689</v>
      </c>
      <c r="BV33" s="45">
        <v>706939</v>
      </c>
      <c r="BW33" s="45">
        <v>761984</v>
      </c>
      <c r="BX33" s="45">
        <v>847622</v>
      </c>
      <c r="BY33" s="45">
        <v>862900.5</v>
      </c>
      <c r="BZ33" s="39">
        <v>919490.9</v>
      </c>
      <c r="CA33" s="39">
        <v>981991.9</v>
      </c>
      <c r="CB33" s="39">
        <v>1088104.6000000001</v>
      </c>
      <c r="CC33" s="39">
        <v>1125436.8</v>
      </c>
      <c r="CD33" s="39">
        <v>1204189.7</v>
      </c>
      <c r="CE33" s="39">
        <v>1281767.6000000001</v>
      </c>
      <c r="CF33" s="39">
        <v>1349136.4</v>
      </c>
      <c r="CG33" s="39">
        <v>1412631.6</v>
      </c>
      <c r="CH33" s="39">
        <v>1490397.4</v>
      </c>
      <c r="CI33" s="39">
        <v>1581400.6</v>
      </c>
      <c r="CJ33" s="39">
        <v>1674168.7</v>
      </c>
      <c r="CK33" s="39">
        <v>1733786.2</v>
      </c>
      <c r="CL33" s="39">
        <v>1799811.4</v>
      </c>
      <c r="CM33" s="39">
        <v>1859197.3</v>
      </c>
      <c r="CN33" s="39">
        <v>1956155.3</v>
      </c>
      <c r="CO33" s="39">
        <v>2030333.4</v>
      </c>
      <c r="CP33" s="39">
        <v>2149114.2000000002</v>
      </c>
      <c r="CQ33" s="39">
        <v>2283718.5</v>
      </c>
      <c r="CR33" s="39">
        <v>2442137.2000000002</v>
      </c>
      <c r="CS33" s="39">
        <v>2561943.6</v>
      </c>
      <c r="CT33" s="39">
        <v>2717374.4</v>
      </c>
      <c r="CU33" s="39">
        <v>2923292.5</v>
      </c>
      <c r="CV33" s="39">
        <v>3036171.5</v>
      </c>
      <c r="CW33" s="39">
        <v>3151703.1</v>
      </c>
      <c r="CX33" s="39">
        <v>3261388.3</v>
      </c>
      <c r="CY33" s="39">
        <v>3461691</v>
      </c>
      <c r="CZ33" s="39">
        <v>3636333.4</v>
      </c>
      <c r="DA33" s="39">
        <v>3730372.9</v>
      </c>
      <c r="DB33" s="39">
        <v>3823315</v>
      </c>
      <c r="DC33" s="39">
        <v>4082816.1</v>
      </c>
      <c r="DD33" s="39">
        <v>4255747.3</v>
      </c>
      <c r="DE33" s="39">
        <v>4380595.5999999996</v>
      </c>
      <c r="DF33" s="39">
        <v>4525526</v>
      </c>
      <c r="DG33" s="39">
        <v>4707463.8</v>
      </c>
      <c r="DH33" s="39">
        <v>5034019.0999999996</v>
      </c>
      <c r="DI33" s="39">
        <v>5094420.2</v>
      </c>
      <c r="DJ33" s="39">
        <v>5277720.3</v>
      </c>
      <c r="DK33" s="39">
        <v>5474878.7999999998</v>
      </c>
      <c r="DL33" s="39">
        <v>5692017</v>
      </c>
      <c r="DM33" s="39">
        <v>5617232.4000000004</v>
      </c>
      <c r="DN33" s="39">
        <v>5824069.7999999998</v>
      </c>
      <c r="DO33" s="39">
        <v>5921376.7000000002</v>
      </c>
      <c r="DP33" s="39">
        <v>6201581</v>
      </c>
      <c r="DQ33" s="39">
        <v>6329655.2000000002</v>
      </c>
      <c r="DR33" s="39">
        <v>6810096.9000000004</v>
      </c>
      <c r="DS33" s="39">
        <v>7175941.7999999998</v>
      </c>
      <c r="DT33" s="39">
        <v>7738573.7999999998</v>
      </c>
      <c r="DU33" s="39">
        <v>7937991.2999999998</v>
      </c>
      <c r="DV33" s="39">
        <v>8196544.7000000002</v>
      </c>
      <c r="DW33" s="39">
        <v>8579115.4000000004</v>
      </c>
      <c r="DX33" s="39">
        <v>9054277</v>
      </c>
      <c r="DY33" s="39">
        <v>9040944.0999999996</v>
      </c>
      <c r="DZ33" s="39">
        <v>9168307.8000000007</v>
      </c>
      <c r="EA33" s="39">
        <v>9278706</v>
      </c>
      <c r="EB33" s="39">
        <v>9701892.4000000004</v>
      </c>
      <c r="EC33" s="39">
        <v>9545220.1999999993</v>
      </c>
      <c r="ED33" s="39">
        <v>9778667.5999999996</v>
      </c>
      <c r="EE33" s="39">
        <v>10196321.5</v>
      </c>
      <c r="EF33" s="39">
        <v>10586184.1</v>
      </c>
      <c r="EG33" s="39">
        <v>10816090.1</v>
      </c>
      <c r="EH33" s="39">
        <v>10847794.5</v>
      </c>
      <c r="EI33" s="39">
        <v>11078814.199999999</v>
      </c>
      <c r="EJ33" s="42">
        <v>11434535.1</v>
      </c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</row>
    <row r="34" spans="1:214">
      <c r="A34" s="49" t="s">
        <v>214</v>
      </c>
      <c r="B34" s="45">
        <v>20871</v>
      </c>
      <c r="C34" s="45">
        <v>20523</v>
      </c>
      <c r="D34" s="45">
        <v>19404</v>
      </c>
      <c r="E34" s="45">
        <v>20196</v>
      </c>
      <c r="F34" s="45">
        <v>22549</v>
      </c>
      <c r="G34" s="45">
        <v>23094</v>
      </c>
      <c r="H34" s="45">
        <v>24536</v>
      </c>
      <c r="I34" s="45">
        <v>26747</v>
      </c>
      <c r="J34" s="45">
        <v>27774</v>
      </c>
      <c r="K34" s="45">
        <v>29377</v>
      </c>
      <c r="L34" s="45">
        <v>31566.62</v>
      </c>
      <c r="M34" s="45">
        <v>33941.760000000002</v>
      </c>
      <c r="N34" s="45">
        <v>35606.78</v>
      </c>
      <c r="O34" s="45">
        <v>38051.42</v>
      </c>
      <c r="P34" s="45">
        <v>38546.1</v>
      </c>
      <c r="Q34" s="45">
        <v>41918.9</v>
      </c>
      <c r="R34" s="45">
        <v>47805.16</v>
      </c>
      <c r="S34" s="45">
        <v>54793.66</v>
      </c>
      <c r="T34" s="45">
        <v>59226</v>
      </c>
      <c r="U34" s="45">
        <v>58889</v>
      </c>
      <c r="V34" s="45">
        <v>60205</v>
      </c>
      <c r="W34" s="45">
        <v>63995.5</v>
      </c>
      <c r="X34" s="45">
        <v>67877</v>
      </c>
      <c r="Y34" s="45">
        <v>67900</v>
      </c>
      <c r="Z34" s="45">
        <v>69909</v>
      </c>
      <c r="AA34" s="45">
        <v>72394</v>
      </c>
      <c r="AB34" s="45">
        <v>76663</v>
      </c>
      <c r="AC34" s="45">
        <v>70283</v>
      </c>
      <c r="AD34" s="45">
        <v>70875</v>
      </c>
      <c r="AE34" s="45">
        <v>73451</v>
      </c>
      <c r="AF34" s="45">
        <v>81602</v>
      </c>
      <c r="AG34" s="45">
        <v>76765</v>
      </c>
      <c r="AH34" s="45">
        <v>80741</v>
      </c>
      <c r="AI34" s="45">
        <v>81164</v>
      </c>
      <c r="AJ34" s="45">
        <v>90972</v>
      </c>
      <c r="AK34" s="45">
        <v>91036</v>
      </c>
      <c r="AL34" s="45">
        <v>86715</v>
      </c>
      <c r="AM34" s="45">
        <v>83061</v>
      </c>
      <c r="AN34" s="45">
        <v>93848</v>
      </c>
      <c r="AO34" s="45">
        <v>85187</v>
      </c>
      <c r="AP34" s="45">
        <v>87735</v>
      </c>
      <c r="AQ34" s="45">
        <v>90405</v>
      </c>
      <c r="AR34" s="45">
        <v>105961</v>
      </c>
      <c r="AS34" s="45">
        <v>97361</v>
      </c>
      <c r="AT34" s="45">
        <v>101527</v>
      </c>
      <c r="AU34" s="45">
        <v>108284</v>
      </c>
      <c r="AV34" s="45">
        <v>119969</v>
      </c>
      <c r="AW34" s="45">
        <v>124659</v>
      </c>
      <c r="AX34" s="45">
        <v>128629</v>
      </c>
      <c r="AY34" s="45">
        <v>137274</v>
      </c>
      <c r="AZ34" s="45">
        <v>164018</v>
      </c>
      <c r="BA34" s="45">
        <v>153747</v>
      </c>
      <c r="BB34" s="45">
        <v>156473</v>
      </c>
      <c r="BC34" s="45">
        <v>159496</v>
      </c>
      <c r="BD34" s="45">
        <v>179881</v>
      </c>
      <c r="BE34" s="45">
        <v>174798</v>
      </c>
      <c r="BF34" s="45">
        <v>184266</v>
      </c>
      <c r="BG34" s="45">
        <v>202405</v>
      </c>
      <c r="BH34" s="45">
        <v>220344</v>
      </c>
      <c r="BI34" s="45">
        <v>212139</v>
      </c>
      <c r="BJ34" s="45">
        <v>217234</v>
      </c>
      <c r="BK34" s="45">
        <v>223876</v>
      </c>
      <c r="BL34" s="40">
        <v>240607</v>
      </c>
      <c r="BM34" s="40">
        <v>232922</v>
      </c>
      <c r="BN34" s="40">
        <v>242885</v>
      </c>
      <c r="BO34" s="40">
        <v>247425</v>
      </c>
      <c r="BP34" s="40">
        <v>268108</v>
      </c>
      <c r="BQ34" s="40">
        <v>257156</v>
      </c>
      <c r="BR34" s="40">
        <v>256005</v>
      </c>
      <c r="BS34" s="40">
        <v>272346</v>
      </c>
      <c r="BT34" s="40">
        <v>305580</v>
      </c>
      <c r="BU34" s="40">
        <v>282180</v>
      </c>
      <c r="BV34" s="40">
        <v>304926</v>
      </c>
      <c r="BW34" s="40">
        <v>331356</v>
      </c>
      <c r="BX34" s="40">
        <v>392633</v>
      </c>
      <c r="BY34" s="39">
        <v>368265.5</v>
      </c>
      <c r="BZ34" s="39">
        <v>384087.9</v>
      </c>
      <c r="CA34" s="39">
        <v>412638.9</v>
      </c>
      <c r="CB34" s="39">
        <v>473645.6</v>
      </c>
      <c r="CC34" s="39">
        <v>444338.8</v>
      </c>
      <c r="CD34" s="39">
        <v>473153.7</v>
      </c>
      <c r="CE34" s="39">
        <v>490451.6</v>
      </c>
      <c r="CF34" s="39">
        <v>518092.4</v>
      </c>
      <c r="CG34" s="39">
        <v>504867.6</v>
      </c>
      <c r="CH34" s="39">
        <v>524246.4</v>
      </c>
      <c r="CI34" s="39">
        <v>554632.6</v>
      </c>
      <c r="CJ34" s="39">
        <v>602465.69999999995</v>
      </c>
      <c r="CK34" s="39">
        <v>588349.19999999995</v>
      </c>
      <c r="CL34" s="39">
        <v>594417.4</v>
      </c>
      <c r="CM34" s="39">
        <v>616066.30000000005</v>
      </c>
      <c r="CN34" s="39">
        <v>654653.30000000005</v>
      </c>
      <c r="CO34" s="39">
        <v>631778.4</v>
      </c>
      <c r="CP34" s="39">
        <v>673275.2</v>
      </c>
      <c r="CQ34" s="39">
        <v>701435.5</v>
      </c>
      <c r="CR34" s="39">
        <v>757318.2</v>
      </c>
      <c r="CS34" s="39">
        <v>740006.6</v>
      </c>
      <c r="CT34" s="39">
        <v>803620.4</v>
      </c>
      <c r="CU34" s="39">
        <v>892337.5</v>
      </c>
      <c r="CV34" s="39">
        <v>964069.5</v>
      </c>
      <c r="CW34" s="39">
        <v>962683.1</v>
      </c>
      <c r="CX34" s="39">
        <v>1033000.3</v>
      </c>
      <c r="CY34" s="39">
        <v>1188854</v>
      </c>
      <c r="CZ34" s="39">
        <v>1315539.3999999999</v>
      </c>
      <c r="DA34" s="39">
        <v>1311393.8999999999</v>
      </c>
      <c r="DB34" s="39">
        <v>1330569</v>
      </c>
      <c r="DC34" s="39">
        <v>1469580.1</v>
      </c>
      <c r="DD34" s="39">
        <v>1585285.3</v>
      </c>
      <c r="DE34" s="39">
        <v>1565007.6</v>
      </c>
      <c r="DF34" s="39">
        <v>1642176</v>
      </c>
      <c r="DG34" s="39">
        <v>1734498.8</v>
      </c>
      <c r="DH34" s="39">
        <v>1916438.1</v>
      </c>
      <c r="DI34" s="39">
        <v>1829007.5</v>
      </c>
      <c r="DJ34" s="39">
        <v>1878987.3</v>
      </c>
      <c r="DK34" s="39">
        <v>2004015.8</v>
      </c>
      <c r="DL34" s="39">
        <v>2192611</v>
      </c>
      <c r="DM34" s="39">
        <v>2075232.4</v>
      </c>
      <c r="DN34" s="39">
        <v>2171528.7999999998</v>
      </c>
      <c r="DO34" s="39">
        <v>2136911.7000000002</v>
      </c>
      <c r="DP34" s="39">
        <v>2312586</v>
      </c>
      <c r="DQ34" s="39">
        <v>2221916.2000000002</v>
      </c>
      <c r="DR34" s="39">
        <v>2343699</v>
      </c>
      <c r="DS34" s="39">
        <v>2402147.5</v>
      </c>
      <c r="DT34" s="39">
        <v>2652973.7999999998</v>
      </c>
      <c r="DU34" s="39">
        <v>2445498.2999999998</v>
      </c>
      <c r="DV34" s="39">
        <v>2612924.7000000002</v>
      </c>
      <c r="DW34" s="39">
        <v>2785366.4</v>
      </c>
      <c r="DX34" s="39">
        <v>3116387</v>
      </c>
      <c r="DY34" s="39">
        <v>2839985.1</v>
      </c>
      <c r="DZ34" s="39">
        <v>2995643.8</v>
      </c>
      <c r="EA34" s="39">
        <v>3091923</v>
      </c>
      <c r="EB34" s="39">
        <v>3354526.4</v>
      </c>
      <c r="EC34" s="39">
        <v>3180754.2</v>
      </c>
      <c r="ED34" s="39">
        <v>3170403.6</v>
      </c>
      <c r="EE34" s="39">
        <v>3281424.5</v>
      </c>
      <c r="EF34" s="39">
        <v>3589402.1</v>
      </c>
      <c r="EG34" s="39">
        <v>3390040.1</v>
      </c>
      <c r="EH34" s="39">
        <v>3549122.5</v>
      </c>
      <c r="EI34" s="39">
        <v>3745098.2</v>
      </c>
      <c r="EJ34" s="42">
        <v>3901172.1</v>
      </c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</row>
    <row r="35" spans="1:214">
      <c r="A35" s="49" t="s">
        <v>215</v>
      </c>
      <c r="B35" s="45">
        <v>8371</v>
      </c>
      <c r="C35" s="45">
        <v>8323</v>
      </c>
      <c r="D35" s="45">
        <v>8104</v>
      </c>
      <c r="E35" s="45">
        <v>8096</v>
      </c>
      <c r="F35" s="45">
        <v>8849</v>
      </c>
      <c r="G35" s="45">
        <v>8994</v>
      </c>
      <c r="H35" s="45">
        <v>9236</v>
      </c>
      <c r="I35" s="45">
        <v>9747</v>
      </c>
      <c r="J35" s="45">
        <v>10274</v>
      </c>
      <c r="K35" s="45">
        <v>10677</v>
      </c>
      <c r="L35" s="45">
        <v>11266.62</v>
      </c>
      <c r="M35" s="45">
        <v>11841.76</v>
      </c>
      <c r="N35" s="45">
        <v>12506.78</v>
      </c>
      <c r="O35" s="45">
        <v>13151.42</v>
      </c>
      <c r="P35" s="45">
        <v>15246.1</v>
      </c>
      <c r="Q35" s="45">
        <v>16118.9</v>
      </c>
      <c r="R35" s="45">
        <v>17505.16</v>
      </c>
      <c r="S35" s="45">
        <v>17993.66</v>
      </c>
      <c r="T35" s="45">
        <v>22126</v>
      </c>
      <c r="U35" s="45">
        <v>21289</v>
      </c>
      <c r="V35" s="45">
        <v>21605</v>
      </c>
      <c r="W35" s="45">
        <v>22495.5</v>
      </c>
      <c r="X35" s="45">
        <v>23577</v>
      </c>
      <c r="Y35" s="45">
        <v>22800</v>
      </c>
      <c r="Z35" s="45">
        <v>22909</v>
      </c>
      <c r="AA35" s="45">
        <v>22994</v>
      </c>
      <c r="AB35" s="45">
        <v>24363</v>
      </c>
      <c r="AC35" s="45">
        <v>23583</v>
      </c>
      <c r="AD35" s="45">
        <v>23575</v>
      </c>
      <c r="AE35" s="45">
        <v>25151</v>
      </c>
      <c r="AF35" s="45">
        <v>25402</v>
      </c>
      <c r="AG35" s="45">
        <v>25165</v>
      </c>
      <c r="AH35" s="45">
        <v>25341</v>
      </c>
      <c r="AI35" s="45">
        <v>26164</v>
      </c>
      <c r="AJ35" s="45">
        <v>26772</v>
      </c>
      <c r="AK35" s="45">
        <v>26236</v>
      </c>
      <c r="AL35" s="45">
        <v>27515</v>
      </c>
      <c r="AM35" s="45">
        <v>28061</v>
      </c>
      <c r="AN35" s="45">
        <v>29848</v>
      </c>
      <c r="AO35" s="45">
        <v>28787</v>
      </c>
      <c r="AP35" s="45">
        <v>29235</v>
      </c>
      <c r="AQ35" s="45">
        <v>30905</v>
      </c>
      <c r="AR35" s="45">
        <v>32061</v>
      </c>
      <c r="AS35" s="45">
        <v>31861</v>
      </c>
      <c r="AT35" s="45">
        <v>32527</v>
      </c>
      <c r="AU35" s="45">
        <v>34084</v>
      </c>
      <c r="AV35" s="45">
        <v>36269</v>
      </c>
      <c r="AW35" s="45">
        <v>34859</v>
      </c>
      <c r="AX35" s="45">
        <v>36429</v>
      </c>
      <c r="AY35" s="45">
        <v>38774</v>
      </c>
      <c r="AZ35" s="45">
        <v>38418</v>
      </c>
      <c r="BA35" s="45">
        <v>39347</v>
      </c>
      <c r="BB35" s="45">
        <v>51373</v>
      </c>
      <c r="BC35" s="45">
        <v>58996</v>
      </c>
      <c r="BD35" s="45">
        <v>69881</v>
      </c>
      <c r="BE35" s="45">
        <v>76198</v>
      </c>
      <c r="BF35" s="45">
        <v>84766</v>
      </c>
      <c r="BG35" s="45">
        <v>97505</v>
      </c>
      <c r="BH35" s="45">
        <v>109944</v>
      </c>
      <c r="BI35" s="45">
        <v>101639</v>
      </c>
      <c r="BJ35" s="45">
        <v>105234</v>
      </c>
      <c r="BK35" s="45">
        <v>102976</v>
      </c>
      <c r="BL35" s="40">
        <v>109107</v>
      </c>
      <c r="BM35" s="40">
        <v>102322</v>
      </c>
      <c r="BN35" s="40">
        <v>104185</v>
      </c>
      <c r="BO35" s="40">
        <v>104925</v>
      </c>
      <c r="BP35" s="40">
        <v>113208</v>
      </c>
      <c r="BQ35" s="40">
        <v>106956</v>
      </c>
      <c r="BR35" s="40">
        <v>107805</v>
      </c>
      <c r="BS35" s="40">
        <v>112146</v>
      </c>
      <c r="BT35" s="40">
        <v>121280</v>
      </c>
      <c r="BU35" s="40">
        <v>112980</v>
      </c>
      <c r="BV35" s="40">
        <v>118426</v>
      </c>
      <c r="BW35" s="40">
        <v>124756</v>
      </c>
      <c r="BX35" s="40">
        <v>142119</v>
      </c>
      <c r="BY35" s="39">
        <v>135418</v>
      </c>
      <c r="BZ35" s="39">
        <v>142140</v>
      </c>
      <c r="CA35" s="39">
        <v>150902</v>
      </c>
      <c r="CB35" s="39">
        <v>165162</v>
      </c>
      <c r="CC35" s="39">
        <v>155226</v>
      </c>
      <c r="CD35" s="39">
        <v>164222</v>
      </c>
      <c r="CE35" s="39">
        <v>169886</v>
      </c>
      <c r="CF35" s="39">
        <v>188372</v>
      </c>
      <c r="CG35" s="39">
        <v>179876</v>
      </c>
      <c r="CH35" s="39">
        <v>189175</v>
      </c>
      <c r="CI35" s="39">
        <v>197822</v>
      </c>
      <c r="CJ35" s="39">
        <v>219457</v>
      </c>
      <c r="CK35" s="39">
        <v>216115</v>
      </c>
      <c r="CL35" s="39">
        <v>217573</v>
      </c>
      <c r="CM35" s="39">
        <v>225739</v>
      </c>
      <c r="CN35" s="39">
        <v>240051</v>
      </c>
      <c r="CO35" s="39">
        <v>225285</v>
      </c>
      <c r="CP35" s="39">
        <v>235997</v>
      </c>
      <c r="CQ35" s="39">
        <v>247210</v>
      </c>
      <c r="CR35" s="39">
        <v>267349</v>
      </c>
      <c r="CS35" s="39">
        <v>261599</v>
      </c>
      <c r="CT35" s="39">
        <v>274302</v>
      </c>
      <c r="CU35" s="39">
        <v>288888</v>
      </c>
      <c r="CV35" s="39">
        <v>318982</v>
      </c>
      <c r="CW35" s="39">
        <v>310113</v>
      </c>
      <c r="CX35" s="39">
        <v>326689</v>
      </c>
      <c r="CY35" s="39">
        <v>355312</v>
      </c>
      <c r="CZ35" s="39">
        <v>399256</v>
      </c>
      <c r="DA35" s="39">
        <v>374204</v>
      </c>
      <c r="DB35" s="39">
        <v>392997</v>
      </c>
      <c r="DC35" s="39">
        <v>414272</v>
      </c>
      <c r="DD35" s="39">
        <v>457686</v>
      </c>
      <c r="DE35" s="39">
        <v>445801</v>
      </c>
      <c r="DF35" s="39">
        <v>446179</v>
      </c>
      <c r="DG35" s="39">
        <v>472151</v>
      </c>
      <c r="DH35" s="39">
        <v>509544</v>
      </c>
      <c r="DI35" s="39">
        <v>485979</v>
      </c>
      <c r="DJ35" s="39">
        <v>503986</v>
      </c>
      <c r="DK35" s="39">
        <v>524253</v>
      </c>
      <c r="DL35" s="39">
        <v>577349</v>
      </c>
      <c r="DM35" s="39">
        <v>546304</v>
      </c>
      <c r="DN35" s="39">
        <v>557620</v>
      </c>
      <c r="DO35" s="39">
        <v>588995</v>
      </c>
      <c r="DP35" s="39">
        <v>623876</v>
      </c>
      <c r="DQ35" s="39">
        <v>617875</v>
      </c>
      <c r="DR35" s="39">
        <v>621797</v>
      </c>
      <c r="DS35" s="39">
        <v>645028</v>
      </c>
      <c r="DT35" s="39">
        <v>683079</v>
      </c>
      <c r="DU35" s="39">
        <v>631038</v>
      </c>
      <c r="DV35" s="39">
        <v>641826</v>
      </c>
      <c r="DW35" s="39">
        <v>670816</v>
      </c>
      <c r="DX35" s="39">
        <v>708190</v>
      </c>
      <c r="DY35" s="39">
        <v>656252</v>
      </c>
      <c r="DZ35" s="39">
        <v>668609</v>
      </c>
      <c r="EA35" s="39">
        <v>692063</v>
      </c>
      <c r="EB35" s="39">
        <v>752931</v>
      </c>
      <c r="EC35" s="39">
        <v>728518</v>
      </c>
      <c r="ED35" s="39">
        <v>712875</v>
      </c>
      <c r="EE35" s="39">
        <v>743885</v>
      </c>
      <c r="EF35" s="39">
        <v>795773</v>
      </c>
      <c r="EG35" s="39">
        <v>744662</v>
      </c>
      <c r="EH35" s="39">
        <v>760316</v>
      </c>
      <c r="EI35" s="39">
        <v>783662</v>
      </c>
      <c r="EJ35" s="42">
        <v>840970</v>
      </c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</row>
    <row r="36" spans="1:214">
      <c r="A36" s="49" t="s">
        <v>216</v>
      </c>
      <c r="B36" s="45">
        <v>12500</v>
      </c>
      <c r="C36" s="45">
        <v>12200</v>
      </c>
      <c r="D36" s="45">
        <v>11300</v>
      </c>
      <c r="E36" s="45">
        <v>12100</v>
      </c>
      <c r="F36" s="45">
        <v>13700</v>
      </c>
      <c r="G36" s="45">
        <v>14100</v>
      </c>
      <c r="H36" s="45">
        <v>15300</v>
      </c>
      <c r="I36" s="45">
        <v>17000</v>
      </c>
      <c r="J36" s="45">
        <v>17500</v>
      </c>
      <c r="K36" s="45">
        <v>18700</v>
      </c>
      <c r="L36" s="45">
        <v>20300</v>
      </c>
      <c r="M36" s="45">
        <v>22100</v>
      </c>
      <c r="N36" s="45">
        <v>23100</v>
      </c>
      <c r="O36" s="45">
        <v>24900</v>
      </c>
      <c r="P36" s="45">
        <v>23300</v>
      </c>
      <c r="Q36" s="45">
        <v>25800</v>
      </c>
      <c r="R36" s="45">
        <v>30300</v>
      </c>
      <c r="S36" s="45">
        <v>36800</v>
      </c>
      <c r="T36" s="45">
        <v>37100</v>
      </c>
      <c r="U36" s="45">
        <v>37600</v>
      </c>
      <c r="V36" s="45">
        <v>38600</v>
      </c>
      <c r="W36" s="45">
        <v>41500</v>
      </c>
      <c r="X36" s="45">
        <v>44300</v>
      </c>
      <c r="Y36" s="45">
        <v>45100</v>
      </c>
      <c r="Z36" s="45">
        <v>47000</v>
      </c>
      <c r="AA36" s="45">
        <v>49400</v>
      </c>
      <c r="AB36" s="45">
        <v>52300</v>
      </c>
      <c r="AC36" s="45">
        <v>46700</v>
      </c>
      <c r="AD36" s="45">
        <v>47300</v>
      </c>
      <c r="AE36" s="45">
        <v>48300</v>
      </c>
      <c r="AF36" s="45">
        <v>56200</v>
      </c>
      <c r="AG36" s="45">
        <v>51600</v>
      </c>
      <c r="AH36" s="45">
        <v>55400</v>
      </c>
      <c r="AI36" s="45">
        <v>55000</v>
      </c>
      <c r="AJ36" s="45">
        <v>64200</v>
      </c>
      <c r="AK36" s="45">
        <v>64800</v>
      </c>
      <c r="AL36" s="45">
        <v>59200</v>
      </c>
      <c r="AM36" s="45">
        <v>55000</v>
      </c>
      <c r="AN36" s="45">
        <v>64000</v>
      </c>
      <c r="AO36" s="45">
        <v>56400</v>
      </c>
      <c r="AP36" s="45">
        <v>58500</v>
      </c>
      <c r="AQ36" s="45">
        <v>59500</v>
      </c>
      <c r="AR36" s="45">
        <v>73900</v>
      </c>
      <c r="AS36" s="45">
        <v>65500</v>
      </c>
      <c r="AT36" s="45">
        <v>69000</v>
      </c>
      <c r="AU36" s="45">
        <v>74200</v>
      </c>
      <c r="AV36" s="45">
        <v>83700</v>
      </c>
      <c r="AW36" s="45">
        <v>89800</v>
      </c>
      <c r="AX36" s="45">
        <v>92200</v>
      </c>
      <c r="AY36" s="45">
        <v>98500</v>
      </c>
      <c r="AZ36" s="45">
        <v>125600</v>
      </c>
      <c r="BA36" s="45">
        <v>114400</v>
      </c>
      <c r="BB36" s="45">
        <v>105100</v>
      </c>
      <c r="BC36" s="45">
        <v>100500</v>
      </c>
      <c r="BD36" s="45">
        <v>110000</v>
      </c>
      <c r="BE36" s="45">
        <v>98600</v>
      </c>
      <c r="BF36" s="45">
        <v>99500</v>
      </c>
      <c r="BG36" s="45">
        <v>104900</v>
      </c>
      <c r="BH36" s="45">
        <v>110400</v>
      </c>
      <c r="BI36" s="45">
        <v>110500</v>
      </c>
      <c r="BJ36" s="45">
        <v>112000</v>
      </c>
      <c r="BK36" s="45">
        <v>120900</v>
      </c>
      <c r="BL36" s="40">
        <v>131500</v>
      </c>
      <c r="BM36" s="40">
        <v>130600</v>
      </c>
      <c r="BN36" s="40">
        <v>138700</v>
      </c>
      <c r="BO36" s="40">
        <v>142500</v>
      </c>
      <c r="BP36" s="40">
        <v>154900</v>
      </c>
      <c r="BQ36" s="40">
        <v>150200</v>
      </c>
      <c r="BR36" s="40">
        <v>148200</v>
      </c>
      <c r="BS36" s="40">
        <v>160200</v>
      </c>
      <c r="BT36" s="40">
        <v>184300</v>
      </c>
      <c r="BU36" s="40">
        <v>169200</v>
      </c>
      <c r="BV36" s="40">
        <v>186500</v>
      </c>
      <c r="BW36" s="40">
        <v>206600</v>
      </c>
      <c r="BX36" s="40">
        <v>250514</v>
      </c>
      <c r="BY36" s="39">
        <v>232847.5</v>
      </c>
      <c r="BZ36" s="39">
        <v>241947.9</v>
      </c>
      <c r="CA36" s="39">
        <v>261736.9</v>
      </c>
      <c r="CB36" s="39">
        <v>308483.59999999998</v>
      </c>
      <c r="CC36" s="39">
        <v>289112.8</v>
      </c>
      <c r="CD36" s="39">
        <v>308931.7</v>
      </c>
      <c r="CE36" s="39">
        <v>320565.59999999998</v>
      </c>
      <c r="CF36" s="39">
        <v>329720.40000000002</v>
      </c>
      <c r="CG36" s="39">
        <v>324991.59999999998</v>
      </c>
      <c r="CH36" s="39">
        <v>335071.40000000002</v>
      </c>
      <c r="CI36" s="39">
        <v>356810.6</v>
      </c>
      <c r="CJ36" s="39">
        <v>383008.7</v>
      </c>
      <c r="CK36" s="39">
        <v>372234.2</v>
      </c>
      <c r="CL36" s="39">
        <v>376844.4</v>
      </c>
      <c r="CM36" s="39">
        <v>390327.3</v>
      </c>
      <c r="CN36" s="39">
        <v>414602.3</v>
      </c>
      <c r="CO36" s="39">
        <v>406493.4</v>
      </c>
      <c r="CP36" s="39">
        <v>437278.2</v>
      </c>
      <c r="CQ36" s="39">
        <v>454225.5</v>
      </c>
      <c r="CR36" s="39">
        <v>489969.2</v>
      </c>
      <c r="CS36" s="39">
        <v>478407.6</v>
      </c>
      <c r="CT36" s="39">
        <v>529318.40000000002</v>
      </c>
      <c r="CU36" s="39">
        <v>603449.5</v>
      </c>
      <c r="CV36" s="39">
        <v>645087.5</v>
      </c>
      <c r="CW36" s="39">
        <v>652570.1</v>
      </c>
      <c r="CX36" s="39">
        <v>706311.3</v>
      </c>
      <c r="CY36" s="39">
        <v>833542</v>
      </c>
      <c r="CZ36" s="39">
        <v>916283.4</v>
      </c>
      <c r="DA36" s="39">
        <v>937189.9</v>
      </c>
      <c r="DB36" s="39">
        <v>937572</v>
      </c>
      <c r="DC36" s="39">
        <v>1055308.1000000001</v>
      </c>
      <c r="DD36" s="39">
        <v>1127599.3</v>
      </c>
      <c r="DE36" s="39">
        <v>1119206.6000000001</v>
      </c>
      <c r="DF36" s="39">
        <v>1195997</v>
      </c>
      <c r="DG36" s="39">
        <v>1262347.8</v>
      </c>
      <c r="DH36" s="39">
        <v>1406894.1</v>
      </c>
      <c r="DI36" s="39">
        <v>1343028.5</v>
      </c>
      <c r="DJ36" s="39">
        <v>1375001.3</v>
      </c>
      <c r="DK36" s="39">
        <v>1479762.8</v>
      </c>
      <c r="DL36" s="39">
        <v>1615262</v>
      </c>
      <c r="DM36" s="39">
        <v>1528928.4</v>
      </c>
      <c r="DN36" s="39">
        <v>1613908.8</v>
      </c>
      <c r="DO36" s="39">
        <v>1547916.7</v>
      </c>
      <c r="DP36" s="39">
        <v>1688710</v>
      </c>
      <c r="DQ36" s="39">
        <v>1604041.2</v>
      </c>
      <c r="DR36" s="39">
        <v>1721902</v>
      </c>
      <c r="DS36" s="39">
        <v>1757119.5</v>
      </c>
      <c r="DT36" s="39">
        <v>1969894.8</v>
      </c>
      <c r="DU36" s="39">
        <v>1814460.3</v>
      </c>
      <c r="DV36" s="39">
        <v>1971098.7</v>
      </c>
      <c r="DW36" s="39">
        <v>2114550.4</v>
      </c>
      <c r="DX36" s="39">
        <v>2408197</v>
      </c>
      <c r="DY36" s="39">
        <v>2183733.1</v>
      </c>
      <c r="DZ36" s="39">
        <v>2327034.7999999998</v>
      </c>
      <c r="EA36" s="39">
        <v>2399860</v>
      </c>
      <c r="EB36" s="39">
        <v>2601595.4</v>
      </c>
      <c r="EC36" s="39">
        <v>2452236.2000000002</v>
      </c>
      <c r="ED36" s="39">
        <v>2457528.6</v>
      </c>
      <c r="EE36" s="39">
        <v>2537539.5</v>
      </c>
      <c r="EF36" s="39">
        <v>2793629.1</v>
      </c>
      <c r="EG36" s="39">
        <v>2645378.1</v>
      </c>
      <c r="EH36" s="39">
        <v>2788806.5</v>
      </c>
      <c r="EI36" s="39">
        <v>2961436.2</v>
      </c>
      <c r="EJ36" s="42">
        <v>3060202.1</v>
      </c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</row>
    <row r="37" spans="1:214">
      <c r="A37" s="49" t="s">
        <v>217</v>
      </c>
      <c r="B37" s="45">
        <v>3783.12</v>
      </c>
      <c r="C37" s="45">
        <v>3505.8</v>
      </c>
      <c r="D37" s="45">
        <v>3549.8</v>
      </c>
      <c r="E37" s="45">
        <v>3833.44</v>
      </c>
      <c r="F37" s="45">
        <v>4226.1499999999996</v>
      </c>
      <c r="G37" s="45">
        <v>4183.95</v>
      </c>
      <c r="H37" s="45">
        <v>4646.53</v>
      </c>
      <c r="I37" s="45">
        <v>5019.54</v>
      </c>
      <c r="J37" s="45">
        <v>5784.26</v>
      </c>
      <c r="K37" s="45">
        <v>6443.42</v>
      </c>
      <c r="L37" s="45">
        <v>7220.77</v>
      </c>
      <c r="M37" s="45">
        <v>7822.71</v>
      </c>
      <c r="N37" s="45">
        <v>9021.09</v>
      </c>
      <c r="O37" s="45">
        <v>9326.33</v>
      </c>
      <c r="P37" s="45">
        <v>9871.98</v>
      </c>
      <c r="Q37" s="45">
        <v>12560.9</v>
      </c>
      <c r="R37" s="45">
        <v>14083.33</v>
      </c>
      <c r="S37" s="45">
        <v>17493.04</v>
      </c>
      <c r="T37" s="45">
        <v>20455</v>
      </c>
      <c r="U37" s="45">
        <v>20649</v>
      </c>
      <c r="V37" s="45">
        <v>21048</v>
      </c>
      <c r="W37" s="45">
        <v>21707.5</v>
      </c>
      <c r="X37" s="45">
        <v>22772</v>
      </c>
      <c r="Y37" s="45">
        <v>23404</v>
      </c>
      <c r="Z37" s="45">
        <v>23913</v>
      </c>
      <c r="AA37" s="45">
        <v>24843</v>
      </c>
      <c r="AB37" s="45">
        <v>27980</v>
      </c>
      <c r="AC37" s="45">
        <v>33491</v>
      </c>
      <c r="AD37" s="45">
        <v>35007</v>
      </c>
      <c r="AE37" s="45">
        <v>36946</v>
      </c>
      <c r="AF37" s="45">
        <v>39474</v>
      </c>
      <c r="AG37" s="45">
        <v>42766</v>
      </c>
      <c r="AH37" s="45">
        <v>43864</v>
      </c>
      <c r="AI37" s="45">
        <v>47755</v>
      </c>
      <c r="AJ37" s="45">
        <v>48915</v>
      </c>
      <c r="AK37" s="45">
        <v>49701</v>
      </c>
      <c r="AL37" s="45">
        <v>59787</v>
      </c>
      <c r="AM37" s="45">
        <v>65829</v>
      </c>
      <c r="AN37" s="45">
        <v>69169</v>
      </c>
      <c r="AO37" s="45">
        <v>75719</v>
      </c>
      <c r="AP37" s="45">
        <v>78872</v>
      </c>
      <c r="AQ37" s="45">
        <v>86644</v>
      </c>
      <c r="AR37" s="45">
        <v>89640</v>
      </c>
      <c r="AS37" s="45">
        <v>97681</v>
      </c>
      <c r="AT37" s="45">
        <v>103652</v>
      </c>
      <c r="AU37" s="45">
        <v>110517</v>
      </c>
      <c r="AV37" s="45">
        <v>119599</v>
      </c>
      <c r="AW37" s="45">
        <v>125203</v>
      </c>
      <c r="AX37" s="45">
        <v>133529</v>
      </c>
      <c r="AY37" s="45">
        <v>141769</v>
      </c>
      <c r="AZ37" s="45">
        <v>144502</v>
      </c>
      <c r="BA37" s="45">
        <v>154665</v>
      </c>
      <c r="BB37" s="45">
        <v>159004</v>
      </c>
      <c r="BC37" s="45">
        <v>168296</v>
      </c>
      <c r="BD37" s="45">
        <v>170614</v>
      </c>
      <c r="BE37" s="45">
        <v>175723</v>
      </c>
      <c r="BF37" s="45">
        <v>176030</v>
      </c>
      <c r="BG37" s="45">
        <v>171140</v>
      </c>
      <c r="BH37" s="45">
        <v>169873</v>
      </c>
      <c r="BI37" s="45">
        <v>186457</v>
      </c>
      <c r="BJ37" s="45">
        <v>190745</v>
      </c>
      <c r="BK37" s="45">
        <v>206677</v>
      </c>
      <c r="BL37" s="45">
        <v>218556</v>
      </c>
      <c r="BM37" s="45">
        <v>233161</v>
      </c>
      <c r="BN37" s="45">
        <v>243614</v>
      </c>
      <c r="BO37" s="45">
        <v>255402</v>
      </c>
      <c r="BP37" s="45">
        <v>266709</v>
      </c>
      <c r="BQ37" s="45">
        <v>295713</v>
      </c>
      <c r="BR37" s="45">
        <v>315896</v>
      </c>
      <c r="BS37" s="45">
        <v>324470</v>
      </c>
      <c r="BT37" s="45">
        <v>340308</v>
      </c>
      <c r="BU37" s="45">
        <v>374509</v>
      </c>
      <c r="BV37" s="45">
        <v>402013</v>
      </c>
      <c r="BW37" s="45">
        <v>430628</v>
      </c>
      <c r="BX37" s="45">
        <v>454989</v>
      </c>
      <c r="BY37" s="45">
        <v>494635</v>
      </c>
      <c r="BZ37" s="45">
        <v>535403</v>
      </c>
      <c r="CA37" s="45">
        <v>569353</v>
      </c>
      <c r="CB37" s="39">
        <v>614459</v>
      </c>
      <c r="CC37" s="39">
        <v>681098</v>
      </c>
      <c r="CD37" s="39">
        <v>731036</v>
      </c>
      <c r="CE37" s="39">
        <v>791316</v>
      </c>
      <c r="CF37" s="39">
        <v>831044</v>
      </c>
      <c r="CG37" s="39">
        <v>907764</v>
      </c>
      <c r="CH37" s="39">
        <v>966151</v>
      </c>
      <c r="CI37" s="39">
        <v>1026768</v>
      </c>
      <c r="CJ37" s="39">
        <v>1071703</v>
      </c>
      <c r="CK37" s="39">
        <v>1145437</v>
      </c>
      <c r="CL37" s="39">
        <v>1205394</v>
      </c>
      <c r="CM37" s="39">
        <v>1243131</v>
      </c>
      <c r="CN37" s="39">
        <v>1301502</v>
      </c>
      <c r="CO37" s="39">
        <v>1398555</v>
      </c>
      <c r="CP37" s="39">
        <v>1475839</v>
      </c>
      <c r="CQ37" s="39">
        <v>1582283</v>
      </c>
      <c r="CR37" s="39">
        <v>1684819</v>
      </c>
      <c r="CS37" s="39">
        <v>1821937</v>
      </c>
      <c r="CT37" s="39">
        <v>1913754</v>
      </c>
      <c r="CU37" s="39">
        <v>2030955</v>
      </c>
      <c r="CV37" s="39">
        <v>2072102</v>
      </c>
      <c r="CW37" s="39">
        <v>2189020</v>
      </c>
      <c r="CX37" s="39">
        <v>2228388</v>
      </c>
      <c r="CY37" s="39">
        <v>2272837</v>
      </c>
      <c r="CZ37" s="39">
        <v>2320794</v>
      </c>
      <c r="DA37" s="39">
        <v>2418979</v>
      </c>
      <c r="DB37" s="39">
        <v>2492746</v>
      </c>
      <c r="DC37" s="39">
        <v>2613236</v>
      </c>
      <c r="DD37" s="39">
        <v>2670462</v>
      </c>
      <c r="DE37" s="39">
        <v>2815588</v>
      </c>
      <c r="DF37" s="39">
        <v>2883350</v>
      </c>
      <c r="DG37" s="39">
        <v>2972965</v>
      </c>
      <c r="DH37" s="39">
        <v>3117581</v>
      </c>
      <c r="DI37" s="39">
        <v>3265412.7</v>
      </c>
      <c r="DJ37" s="39">
        <v>3398733</v>
      </c>
      <c r="DK37" s="39">
        <v>3470863</v>
      </c>
      <c r="DL37" s="39">
        <v>3499406</v>
      </c>
      <c r="DM37" s="39">
        <v>3542000</v>
      </c>
      <c r="DN37" s="39">
        <v>3652541</v>
      </c>
      <c r="DO37" s="39">
        <v>3784465</v>
      </c>
      <c r="DP37" s="39">
        <v>3888995</v>
      </c>
      <c r="DQ37" s="39">
        <v>4107739</v>
      </c>
      <c r="DR37" s="39">
        <v>4466397.9000000004</v>
      </c>
      <c r="DS37" s="39">
        <v>4773794.3</v>
      </c>
      <c r="DT37" s="39">
        <v>5085600</v>
      </c>
      <c r="DU37" s="39">
        <v>5492493</v>
      </c>
      <c r="DV37" s="39">
        <v>5583620</v>
      </c>
      <c r="DW37" s="39">
        <v>5793749</v>
      </c>
      <c r="DX37" s="39">
        <v>5937890</v>
      </c>
      <c r="DY37" s="39">
        <v>6200959</v>
      </c>
      <c r="DZ37" s="39">
        <v>6172664</v>
      </c>
      <c r="EA37" s="39">
        <v>6186783</v>
      </c>
      <c r="EB37" s="39">
        <v>6347366</v>
      </c>
      <c r="EC37" s="39">
        <v>6364466</v>
      </c>
      <c r="ED37" s="39">
        <v>6608264</v>
      </c>
      <c r="EE37" s="39">
        <v>6914897</v>
      </c>
      <c r="EF37" s="39">
        <v>6996782</v>
      </c>
      <c r="EG37" s="39">
        <v>7426050</v>
      </c>
      <c r="EH37" s="39">
        <v>7298672</v>
      </c>
      <c r="EI37" s="39">
        <v>7333716</v>
      </c>
      <c r="EJ37" s="42">
        <v>7533363</v>
      </c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</row>
    <row r="38" spans="1:214">
      <c r="A38" s="49" t="s">
        <v>218</v>
      </c>
      <c r="B38" s="45">
        <v>1589.54</v>
      </c>
      <c r="C38" s="45">
        <v>1563.34</v>
      </c>
      <c r="D38" s="45">
        <v>1398.52</v>
      </c>
      <c r="E38" s="45">
        <v>1459.36</v>
      </c>
      <c r="F38" s="45">
        <v>1640.88</v>
      </c>
      <c r="G38" s="45">
        <v>1916.28</v>
      </c>
      <c r="H38" s="45">
        <v>2226.6</v>
      </c>
      <c r="I38" s="45">
        <v>2535.2199999999998</v>
      </c>
      <c r="J38" s="45">
        <v>2981.54</v>
      </c>
      <c r="K38" s="45">
        <v>3373.56</v>
      </c>
      <c r="L38" s="45">
        <v>3921</v>
      </c>
      <c r="M38" s="45">
        <v>4625.74</v>
      </c>
      <c r="N38" s="45">
        <v>5225.96</v>
      </c>
      <c r="O38" s="45">
        <v>6782</v>
      </c>
      <c r="P38" s="45">
        <v>7166.98</v>
      </c>
      <c r="Q38" s="45">
        <v>9156.52</v>
      </c>
      <c r="R38" s="45">
        <v>10813.82</v>
      </c>
      <c r="S38" s="45">
        <v>13608.56</v>
      </c>
      <c r="T38" s="45">
        <v>19094</v>
      </c>
      <c r="U38" s="45">
        <v>19485</v>
      </c>
      <c r="V38" s="45">
        <v>19699</v>
      </c>
      <c r="W38" s="45">
        <v>20443.5</v>
      </c>
      <c r="X38" s="45">
        <v>21188</v>
      </c>
      <c r="Y38" s="45">
        <v>21893</v>
      </c>
      <c r="Z38" s="45">
        <v>22263</v>
      </c>
      <c r="AA38" s="45">
        <v>23131</v>
      </c>
      <c r="AB38" s="45">
        <v>27608</v>
      </c>
      <c r="AC38" s="45">
        <v>31951</v>
      </c>
      <c r="AD38" s="45">
        <v>33229</v>
      </c>
      <c r="AE38" s="45">
        <v>35268</v>
      </c>
      <c r="AF38" s="45">
        <v>37442</v>
      </c>
      <c r="AG38" s="45">
        <v>41086</v>
      </c>
      <c r="AH38" s="45">
        <v>41635</v>
      </c>
      <c r="AI38" s="45">
        <v>47535</v>
      </c>
      <c r="AJ38" s="45">
        <v>48508</v>
      </c>
      <c r="AK38" s="45">
        <v>49369</v>
      </c>
      <c r="AL38" s="45">
        <v>56914</v>
      </c>
      <c r="AM38" s="45">
        <v>63562</v>
      </c>
      <c r="AN38" s="45">
        <v>66455</v>
      </c>
      <c r="AO38" s="45">
        <v>73015</v>
      </c>
      <c r="AP38" s="45">
        <v>77869</v>
      </c>
      <c r="AQ38" s="45">
        <v>83862</v>
      </c>
      <c r="AR38" s="45">
        <v>88769</v>
      </c>
      <c r="AS38" s="45">
        <v>97082</v>
      </c>
      <c r="AT38" s="45">
        <v>102932</v>
      </c>
      <c r="AU38" s="45">
        <v>109871</v>
      </c>
      <c r="AV38" s="45">
        <v>118913</v>
      </c>
      <c r="AW38" s="45">
        <v>124143</v>
      </c>
      <c r="AX38" s="45">
        <v>132118</v>
      </c>
      <c r="AY38" s="45">
        <v>138643</v>
      </c>
      <c r="AZ38" s="45">
        <v>143331</v>
      </c>
      <c r="BA38" s="45">
        <v>153398</v>
      </c>
      <c r="BB38" s="45">
        <v>157242</v>
      </c>
      <c r="BC38" s="45">
        <v>166529</v>
      </c>
      <c r="BD38" s="45">
        <v>168665</v>
      </c>
      <c r="BE38" s="45">
        <v>173999</v>
      </c>
      <c r="BF38" s="45">
        <v>174318</v>
      </c>
      <c r="BG38" s="45">
        <v>168700</v>
      </c>
      <c r="BH38" s="45">
        <v>168195</v>
      </c>
      <c r="BI38" s="45">
        <v>184478</v>
      </c>
      <c r="BJ38" s="45">
        <v>188463</v>
      </c>
      <c r="BK38" s="45">
        <v>204028</v>
      </c>
      <c r="BL38" s="39">
        <v>211254</v>
      </c>
      <c r="BM38" s="39">
        <v>223897</v>
      </c>
      <c r="BN38" s="39">
        <v>234233</v>
      </c>
      <c r="BO38" s="39">
        <v>245798</v>
      </c>
      <c r="BP38" s="39">
        <v>256879</v>
      </c>
      <c r="BQ38" s="39">
        <v>283944</v>
      </c>
      <c r="BR38" s="39">
        <v>304403</v>
      </c>
      <c r="BS38" s="39">
        <v>315750</v>
      </c>
      <c r="BT38" s="39">
        <v>329952</v>
      </c>
      <c r="BU38" s="39">
        <v>366196</v>
      </c>
      <c r="BV38" s="39">
        <v>393063</v>
      </c>
      <c r="BW38" s="39">
        <v>421782</v>
      </c>
      <c r="BX38" s="40">
        <v>449664</v>
      </c>
      <c r="BY38" s="39">
        <v>490294</v>
      </c>
      <c r="BZ38" s="39">
        <v>526329</v>
      </c>
      <c r="CA38" s="39">
        <v>562049</v>
      </c>
      <c r="CB38" s="39">
        <v>605126</v>
      </c>
      <c r="CC38" s="39">
        <v>676146</v>
      </c>
      <c r="CD38" s="39">
        <v>724522</v>
      </c>
      <c r="CE38" s="39">
        <v>783988</v>
      </c>
      <c r="CF38" s="39">
        <v>823036</v>
      </c>
      <c r="CG38" s="39">
        <v>900374</v>
      </c>
      <c r="CH38" s="39">
        <v>952704</v>
      </c>
      <c r="CI38" s="39">
        <v>1015807</v>
      </c>
      <c r="CJ38" s="39">
        <v>1060873</v>
      </c>
      <c r="CK38" s="39">
        <v>1134474</v>
      </c>
      <c r="CL38" s="39">
        <v>1183121</v>
      </c>
      <c r="CM38" s="39">
        <v>1222810</v>
      </c>
      <c r="CN38" s="39">
        <v>1274891</v>
      </c>
      <c r="CO38" s="39">
        <v>1369643</v>
      </c>
      <c r="CP38" s="39">
        <v>1440719</v>
      </c>
      <c r="CQ38" s="39">
        <v>1547754</v>
      </c>
      <c r="CR38" s="39">
        <v>1643411</v>
      </c>
      <c r="CS38" s="39">
        <v>1772667</v>
      </c>
      <c r="CT38" s="39">
        <v>1850049</v>
      </c>
      <c r="CU38" s="39">
        <v>1965116</v>
      </c>
      <c r="CV38" s="39">
        <v>1995656</v>
      </c>
      <c r="CW38" s="39">
        <v>2098448</v>
      </c>
      <c r="CX38" s="39">
        <v>2129631</v>
      </c>
      <c r="CY38" s="39">
        <v>2156089</v>
      </c>
      <c r="CZ38" s="39">
        <v>2212033</v>
      </c>
      <c r="DA38" s="39">
        <v>2287728</v>
      </c>
      <c r="DB38" s="39">
        <v>2352481</v>
      </c>
      <c r="DC38" s="39">
        <v>2433388</v>
      </c>
      <c r="DD38" s="39">
        <v>2500454</v>
      </c>
      <c r="DE38" s="39">
        <v>2608668</v>
      </c>
      <c r="DF38" s="39">
        <v>2661643</v>
      </c>
      <c r="DG38" s="39">
        <v>2745446</v>
      </c>
      <c r="DH38" s="39">
        <v>2812612</v>
      </c>
      <c r="DI38" s="39">
        <v>2900224</v>
      </c>
      <c r="DJ38" s="39">
        <v>2983235</v>
      </c>
      <c r="DK38" s="39">
        <v>3081721</v>
      </c>
      <c r="DL38" s="39">
        <v>3133207</v>
      </c>
      <c r="DM38" s="39">
        <v>3207937</v>
      </c>
      <c r="DN38" s="39">
        <v>3284220</v>
      </c>
      <c r="DO38" s="39">
        <v>3389101</v>
      </c>
      <c r="DP38" s="39">
        <v>3472371</v>
      </c>
      <c r="DQ38" s="39">
        <v>3638591</v>
      </c>
      <c r="DR38" s="39">
        <v>3857207</v>
      </c>
      <c r="DS38" s="39">
        <v>4113557</v>
      </c>
      <c r="DT38" s="39">
        <v>4446352</v>
      </c>
      <c r="DU38" s="39">
        <v>4754200</v>
      </c>
      <c r="DV38" s="39">
        <v>5041627</v>
      </c>
      <c r="DW38" s="39">
        <v>5386206</v>
      </c>
      <c r="DX38" s="39">
        <v>5641855</v>
      </c>
      <c r="DY38" s="39">
        <v>5925577</v>
      </c>
      <c r="DZ38" s="39">
        <v>5966179</v>
      </c>
      <c r="EA38" s="39">
        <v>6002499</v>
      </c>
      <c r="EB38" s="39">
        <v>6170089</v>
      </c>
      <c r="EC38" s="39">
        <v>6159243</v>
      </c>
      <c r="ED38" s="39">
        <v>6416164</v>
      </c>
      <c r="EE38" s="39">
        <v>6757324</v>
      </c>
      <c r="EF38" s="39">
        <v>6824570</v>
      </c>
      <c r="EG38" s="39">
        <v>7215006</v>
      </c>
      <c r="EH38" s="39">
        <v>7038690</v>
      </c>
      <c r="EI38" s="39">
        <v>7067799</v>
      </c>
      <c r="EJ38" s="42">
        <v>7302751</v>
      </c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</row>
    <row r="39" spans="1:214" ht="13.15" customHeight="1">
      <c r="A39" s="49" t="s">
        <v>219</v>
      </c>
      <c r="B39" s="45">
        <v>2193.58</v>
      </c>
      <c r="C39" s="45">
        <v>1942.46</v>
      </c>
      <c r="D39" s="45">
        <v>2151.2800000000002</v>
      </c>
      <c r="E39" s="45">
        <v>2374.08</v>
      </c>
      <c r="F39" s="45">
        <v>2585.27</v>
      </c>
      <c r="G39" s="45">
        <v>2267.67</v>
      </c>
      <c r="H39" s="45">
        <v>2419.9299999999998</v>
      </c>
      <c r="I39" s="45">
        <v>2484.3200000000002</v>
      </c>
      <c r="J39" s="45">
        <v>2802.72</v>
      </c>
      <c r="K39" s="45">
        <v>3069.86</v>
      </c>
      <c r="L39" s="45">
        <v>3299.77</v>
      </c>
      <c r="M39" s="45">
        <v>3196.97</v>
      </c>
      <c r="N39" s="45">
        <v>3795.13</v>
      </c>
      <c r="O39" s="45">
        <v>2544.33</v>
      </c>
      <c r="P39" s="45">
        <v>2705</v>
      </c>
      <c r="Q39" s="45">
        <v>3404.38</v>
      </c>
      <c r="R39" s="45">
        <v>3269.51</v>
      </c>
      <c r="S39" s="45">
        <v>3884.48</v>
      </c>
      <c r="T39" s="45">
        <v>1361</v>
      </c>
      <c r="U39" s="45">
        <v>1164</v>
      </c>
      <c r="V39" s="45">
        <v>1349</v>
      </c>
      <c r="W39" s="45">
        <v>1264</v>
      </c>
      <c r="X39" s="45">
        <v>1584</v>
      </c>
      <c r="Y39" s="45">
        <v>1511</v>
      </c>
      <c r="Z39" s="45">
        <v>1650</v>
      </c>
      <c r="AA39" s="45">
        <v>1712</v>
      </c>
      <c r="AB39" s="45">
        <v>372</v>
      </c>
      <c r="AC39" s="45">
        <v>1540</v>
      </c>
      <c r="AD39" s="45">
        <v>1778</v>
      </c>
      <c r="AE39" s="45">
        <v>1678</v>
      </c>
      <c r="AF39" s="45">
        <v>2032</v>
      </c>
      <c r="AG39" s="45">
        <v>1680</v>
      </c>
      <c r="AH39" s="45">
        <v>2229</v>
      </c>
      <c r="AI39" s="45">
        <v>220</v>
      </c>
      <c r="AJ39" s="45">
        <v>407</v>
      </c>
      <c r="AK39" s="45">
        <v>332</v>
      </c>
      <c r="AL39" s="45">
        <v>2873</v>
      </c>
      <c r="AM39" s="45">
        <v>2267</v>
      </c>
      <c r="AN39" s="45">
        <v>2714</v>
      </c>
      <c r="AO39" s="45">
        <v>2704</v>
      </c>
      <c r="AP39" s="45">
        <v>1003</v>
      </c>
      <c r="AQ39" s="45">
        <v>2782</v>
      </c>
      <c r="AR39" s="45">
        <v>871</v>
      </c>
      <c r="AS39" s="45">
        <v>599</v>
      </c>
      <c r="AT39" s="45">
        <v>720</v>
      </c>
      <c r="AU39" s="45">
        <v>646</v>
      </c>
      <c r="AV39" s="45">
        <v>686</v>
      </c>
      <c r="AW39" s="45">
        <v>1060</v>
      </c>
      <c r="AX39" s="45">
        <v>1411</v>
      </c>
      <c r="AY39" s="45">
        <v>3126</v>
      </c>
      <c r="AZ39" s="45">
        <v>1171</v>
      </c>
      <c r="BA39" s="45">
        <v>1267</v>
      </c>
      <c r="BB39" s="45">
        <v>1762</v>
      </c>
      <c r="BC39" s="45">
        <v>1767</v>
      </c>
      <c r="BD39" s="45">
        <v>1949</v>
      </c>
      <c r="BE39" s="45">
        <v>1724</v>
      </c>
      <c r="BF39" s="45">
        <v>1712</v>
      </c>
      <c r="BG39" s="45">
        <v>2440</v>
      </c>
      <c r="BH39" s="45">
        <v>1678</v>
      </c>
      <c r="BI39" s="45">
        <v>1979</v>
      </c>
      <c r="BJ39" s="45">
        <v>2282</v>
      </c>
      <c r="BK39" s="45">
        <v>2649</v>
      </c>
      <c r="BL39" s="40">
        <v>7302</v>
      </c>
      <c r="BM39" s="40">
        <v>9264</v>
      </c>
      <c r="BN39" s="40">
        <v>9381</v>
      </c>
      <c r="BO39" s="40">
        <v>9604</v>
      </c>
      <c r="BP39" s="40">
        <v>9830</v>
      </c>
      <c r="BQ39" s="40">
        <v>11769</v>
      </c>
      <c r="BR39" s="40">
        <v>11493</v>
      </c>
      <c r="BS39" s="40">
        <v>8720</v>
      </c>
      <c r="BT39" s="40">
        <v>10356</v>
      </c>
      <c r="BU39" s="40">
        <v>8313</v>
      </c>
      <c r="BV39" s="40">
        <v>8950</v>
      </c>
      <c r="BW39" s="40">
        <v>8846</v>
      </c>
      <c r="BX39" s="40">
        <v>5325</v>
      </c>
      <c r="BY39" s="39">
        <v>4341</v>
      </c>
      <c r="BZ39" s="39">
        <v>9074</v>
      </c>
      <c r="CA39" s="39">
        <v>7304</v>
      </c>
      <c r="CB39" s="39">
        <v>9333</v>
      </c>
      <c r="CC39" s="39">
        <v>4952</v>
      </c>
      <c r="CD39" s="39">
        <v>6514</v>
      </c>
      <c r="CE39" s="39">
        <v>7328</v>
      </c>
      <c r="CF39" s="39">
        <v>8008</v>
      </c>
      <c r="CG39" s="39">
        <v>7390</v>
      </c>
      <c r="CH39" s="39">
        <v>13447</v>
      </c>
      <c r="CI39" s="39">
        <v>10961</v>
      </c>
      <c r="CJ39" s="39">
        <v>10830</v>
      </c>
      <c r="CK39" s="39">
        <v>10963</v>
      </c>
      <c r="CL39" s="39">
        <v>22273</v>
      </c>
      <c r="CM39" s="39">
        <v>20321</v>
      </c>
      <c r="CN39" s="39">
        <v>26611</v>
      </c>
      <c r="CO39" s="39">
        <v>28912</v>
      </c>
      <c r="CP39" s="39">
        <v>35120</v>
      </c>
      <c r="CQ39" s="39">
        <v>34529</v>
      </c>
      <c r="CR39" s="39">
        <v>41408</v>
      </c>
      <c r="CS39" s="39">
        <v>49270</v>
      </c>
      <c r="CT39" s="39">
        <v>63705</v>
      </c>
      <c r="CU39" s="39">
        <v>65839</v>
      </c>
      <c r="CV39" s="39">
        <v>76446</v>
      </c>
      <c r="CW39" s="39">
        <v>90572</v>
      </c>
      <c r="CX39" s="39">
        <v>98757</v>
      </c>
      <c r="CY39" s="39">
        <v>116748</v>
      </c>
      <c r="CZ39" s="39">
        <v>108761</v>
      </c>
      <c r="DA39" s="39">
        <v>131251</v>
      </c>
      <c r="DB39" s="39">
        <v>140265</v>
      </c>
      <c r="DC39" s="39">
        <v>179848</v>
      </c>
      <c r="DD39" s="39">
        <v>170008</v>
      </c>
      <c r="DE39" s="39">
        <v>206920</v>
      </c>
      <c r="DF39" s="39">
        <v>221707</v>
      </c>
      <c r="DG39" s="39">
        <v>227519</v>
      </c>
      <c r="DH39" s="39">
        <v>304969</v>
      </c>
      <c r="DI39" s="39">
        <v>365188.7</v>
      </c>
      <c r="DJ39" s="39">
        <v>415498</v>
      </c>
      <c r="DK39" s="39">
        <v>389142</v>
      </c>
      <c r="DL39" s="39">
        <v>366199</v>
      </c>
      <c r="DM39" s="39">
        <v>334063</v>
      </c>
      <c r="DN39" s="39">
        <v>368321</v>
      </c>
      <c r="DO39" s="39">
        <v>395364</v>
      </c>
      <c r="DP39" s="39">
        <v>416624</v>
      </c>
      <c r="DQ39" s="39">
        <v>469148</v>
      </c>
      <c r="DR39" s="39">
        <v>609190.9</v>
      </c>
      <c r="DS39" s="39">
        <v>660237.30000000005</v>
      </c>
      <c r="DT39" s="39">
        <v>639248</v>
      </c>
      <c r="DU39" s="39">
        <v>738293</v>
      </c>
      <c r="DV39" s="39">
        <v>541993</v>
      </c>
      <c r="DW39" s="39">
        <v>407543</v>
      </c>
      <c r="DX39" s="39">
        <v>296035</v>
      </c>
      <c r="DY39" s="39">
        <v>275382</v>
      </c>
      <c r="DZ39" s="39">
        <v>206485</v>
      </c>
      <c r="EA39" s="39">
        <v>184284</v>
      </c>
      <c r="EB39" s="39">
        <v>177277</v>
      </c>
      <c r="EC39" s="39">
        <v>205223</v>
      </c>
      <c r="ED39" s="39">
        <v>192100</v>
      </c>
      <c r="EE39" s="39">
        <v>157573</v>
      </c>
      <c r="EF39" s="39">
        <v>172212</v>
      </c>
      <c r="EG39" s="39">
        <v>211044</v>
      </c>
      <c r="EH39" s="39">
        <v>259982</v>
      </c>
      <c r="EI39" s="39">
        <v>265917</v>
      </c>
      <c r="EJ39" s="42">
        <v>230612</v>
      </c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</row>
    <row r="40" spans="1:214" ht="12" customHeight="1">
      <c r="A40" s="49" t="s">
        <v>220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>
        <v>0</v>
      </c>
      <c r="AP40" s="45">
        <v>0</v>
      </c>
      <c r="AQ40" s="45">
        <v>0</v>
      </c>
      <c r="AR40" s="45">
        <v>0</v>
      </c>
      <c r="AS40" s="45">
        <v>0</v>
      </c>
      <c r="AT40" s="45">
        <v>0</v>
      </c>
      <c r="AU40" s="45">
        <v>0</v>
      </c>
      <c r="AV40" s="45">
        <v>0</v>
      </c>
      <c r="AW40" s="45">
        <v>0</v>
      </c>
      <c r="AX40" s="45">
        <v>0</v>
      </c>
      <c r="AY40" s="45">
        <v>0</v>
      </c>
      <c r="AZ40" s="45">
        <v>0</v>
      </c>
      <c r="BA40" s="45">
        <v>0</v>
      </c>
      <c r="BB40" s="45">
        <v>0</v>
      </c>
      <c r="BC40" s="45">
        <v>0</v>
      </c>
      <c r="BD40" s="45">
        <v>0</v>
      </c>
      <c r="BE40" s="45"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0</v>
      </c>
      <c r="BK40" s="45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40189</v>
      </c>
      <c r="CV40" s="39">
        <v>103532</v>
      </c>
      <c r="CW40" s="39">
        <v>147812</v>
      </c>
      <c r="CX40" s="39">
        <v>179475</v>
      </c>
      <c r="CY40" s="39">
        <v>267838</v>
      </c>
      <c r="CZ40" s="39">
        <v>332689.09999999998</v>
      </c>
      <c r="DA40" s="39">
        <v>419116</v>
      </c>
      <c r="DB40" s="39">
        <v>443994</v>
      </c>
      <c r="DC40" s="39">
        <v>459024.9</v>
      </c>
      <c r="DD40" s="39">
        <v>492421</v>
      </c>
      <c r="DE40" s="39">
        <v>548650</v>
      </c>
      <c r="DF40" s="39">
        <v>551105</v>
      </c>
      <c r="DG40" s="39">
        <v>622542</v>
      </c>
      <c r="DH40" s="39">
        <v>566718.9</v>
      </c>
      <c r="DI40" s="39">
        <v>659654.80000000005</v>
      </c>
      <c r="DJ40" s="39">
        <v>559969.80000000005</v>
      </c>
      <c r="DK40" s="39">
        <v>476138</v>
      </c>
      <c r="DL40" s="39">
        <v>508984</v>
      </c>
      <c r="DM40" s="39">
        <v>704433</v>
      </c>
      <c r="DN40" s="39">
        <v>711890.9</v>
      </c>
      <c r="DO40" s="39">
        <v>721802.9</v>
      </c>
      <c r="DP40" s="39">
        <v>675963.1</v>
      </c>
      <c r="DQ40" s="39">
        <v>706199</v>
      </c>
      <c r="DR40" s="39">
        <v>523696</v>
      </c>
      <c r="DS40" s="39">
        <v>481160.8</v>
      </c>
      <c r="DT40" s="39">
        <v>382753.1</v>
      </c>
      <c r="DU40" s="39">
        <v>354942</v>
      </c>
      <c r="DV40" s="39">
        <v>295981</v>
      </c>
      <c r="DW40" s="39">
        <v>239050</v>
      </c>
      <c r="DX40" s="39">
        <v>172938</v>
      </c>
      <c r="DY40" s="39">
        <v>162411.79999999999</v>
      </c>
      <c r="DZ40" s="39">
        <v>136854.9</v>
      </c>
      <c r="EA40" s="39">
        <v>100333</v>
      </c>
      <c r="EB40" s="39">
        <v>93548</v>
      </c>
      <c r="EC40" s="39">
        <v>94187</v>
      </c>
      <c r="ED40" s="39">
        <v>90821</v>
      </c>
      <c r="EE40" s="39">
        <v>106516</v>
      </c>
      <c r="EF40" s="39">
        <v>129199</v>
      </c>
      <c r="EG40" s="39">
        <v>153641</v>
      </c>
      <c r="EH40" s="39">
        <v>132065</v>
      </c>
      <c r="EI40" s="39">
        <v>131497</v>
      </c>
      <c r="EJ40" s="42">
        <v>142377</v>
      </c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</row>
    <row r="41" spans="1:214">
      <c r="A41" s="47" t="s">
        <v>221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v>0</v>
      </c>
      <c r="AI41" s="39">
        <v>0</v>
      </c>
      <c r="AJ41" s="39">
        <v>0</v>
      </c>
      <c r="AK41" s="39">
        <v>0</v>
      </c>
      <c r="AL41" s="39">
        <v>0</v>
      </c>
      <c r="AM41" s="39">
        <v>0</v>
      </c>
      <c r="AN41" s="39">
        <v>0</v>
      </c>
      <c r="AO41" s="39">
        <v>0</v>
      </c>
      <c r="AP41" s="39">
        <v>0</v>
      </c>
      <c r="AQ41" s="39">
        <v>0</v>
      </c>
      <c r="AR41" s="39">
        <v>0</v>
      </c>
      <c r="AS41" s="39">
        <v>0</v>
      </c>
      <c r="AT41" s="39">
        <v>0</v>
      </c>
      <c r="AU41" s="39">
        <v>0</v>
      </c>
      <c r="AV41" s="39">
        <v>0</v>
      </c>
      <c r="AW41" s="39">
        <v>0</v>
      </c>
      <c r="AX41" s="39">
        <v>0</v>
      </c>
      <c r="AY41" s="39">
        <v>0</v>
      </c>
      <c r="AZ41" s="39">
        <v>0</v>
      </c>
      <c r="BA41" s="39">
        <v>0</v>
      </c>
      <c r="BB41" s="39">
        <v>0</v>
      </c>
      <c r="BC41" s="39">
        <v>0</v>
      </c>
      <c r="BD41" s="39">
        <v>0</v>
      </c>
      <c r="BE41" s="39">
        <v>0</v>
      </c>
      <c r="BF41" s="39">
        <v>0</v>
      </c>
      <c r="BG41" s="39">
        <v>0</v>
      </c>
      <c r="BH41" s="39">
        <v>0</v>
      </c>
      <c r="BI41" s="39">
        <v>0</v>
      </c>
      <c r="BJ41" s="39">
        <v>0</v>
      </c>
      <c r="BK41" s="39">
        <v>0</v>
      </c>
      <c r="BL41" s="40">
        <v>4166</v>
      </c>
      <c r="BM41" s="40">
        <v>11421</v>
      </c>
      <c r="BN41" s="40">
        <v>17489</v>
      </c>
      <c r="BO41" s="40">
        <v>26296</v>
      </c>
      <c r="BP41" s="40">
        <v>34113</v>
      </c>
      <c r="BQ41" s="40">
        <v>42593</v>
      </c>
      <c r="BR41" s="40">
        <v>49668</v>
      </c>
      <c r="BS41" s="40">
        <v>68445</v>
      </c>
      <c r="BT41" s="40">
        <v>80418</v>
      </c>
      <c r="BU41" s="40">
        <v>94832</v>
      </c>
      <c r="BV41" s="40">
        <v>105924</v>
      </c>
      <c r="BW41" s="40">
        <v>120203</v>
      </c>
      <c r="BX41" s="40">
        <v>138061</v>
      </c>
      <c r="BY41" s="39">
        <v>158695</v>
      </c>
      <c r="BZ41" s="39">
        <v>176664</v>
      </c>
      <c r="CA41" s="39">
        <v>211353</v>
      </c>
      <c r="CB41" s="39">
        <v>236383</v>
      </c>
      <c r="CC41" s="39">
        <v>267795</v>
      </c>
      <c r="CD41" s="39">
        <v>301405</v>
      </c>
      <c r="CE41" s="39">
        <v>334489</v>
      </c>
      <c r="CF41" s="39">
        <v>361905</v>
      </c>
      <c r="CG41" s="39">
        <v>391515</v>
      </c>
      <c r="CH41" s="39">
        <v>422066</v>
      </c>
      <c r="CI41" s="39">
        <v>464439</v>
      </c>
      <c r="CJ41" s="39">
        <v>503111</v>
      </c>
      <c r="CK41" s="39">
        <v>538226</v>
      </c>
      <c r="CL41" s="39">
        <v>574141</v>
      </c>
      <c r="CM41" s="39">
        <v>625968</v>
      </c>
      <c r="CN41" s="39">
        <v>670958</v>
      </c>
      <c r="CO41" s="39">
        <v>719450</v>
      </c>
      <c r="CP41" s="39">
        <v>769693</v>
      </c>
      <c r="CQ41" s="39">
        <v>842516</v>
      </c>
      <c r="CR41" s="39">
        <v>911822</v>
      </c>
      <c r="CS41" s="39">
        <v>975333</v>
      </c>
      <c r="CT41" s="39">
        <v>1028211</v>
      </c>
      <c r="CU41" s="39">
        <v>1091507</v>
      </c>
      <c r="CV41" s="39">
        <v>1145186</v>
      </c>
      <c r="CW41" s="39">
        <v>1186995</v>
      </c>
      <c r="CX41" s="39">
        <v>1227941</v>
      </c>
      <c r="CY41" s="39">
        <v>1251730</v>
      </c>
      <c r="CZ41" s="39">
        <v>1268617</v>
      </c>
      <c r="DA41" s="39">
        <v>1282722</v>
      </c>
      <c r="DB41" s="39">
        <v>1271060</v>
      </c>
      <c r="DC41" s="39">
        <v>1298664</v>
      </c>
      <c r="DD41" s="39">
        <v>1318525</v>
      </c>
      <c r="DE41" s="39">
        <v>1349342</v>
      </c>
      <c r="DF41" s="39">
        <v>1376903</v>
      </c>
      <c r="DG41" s="39">
        <v>1417639</v>
      </c>
      <c r="DH41" s="39">
        <v>1443935.6</v>
      </c>
      <c r="DI41" s="39">
        <v>1477583.3</v>
      </c>
      <c r="DJ41" s="39">
        <v>1526917</v>
      </c>
      <c r="DK41" s="39">
        <v>1568064</v>
      </c>
      <c r="DL41" s="39">
        <v>1610778</v>
      </c>
      <c r="DM41" s="39">
        <v>1654551</v>
      </c>
      <c r="DN41" s="39">
        <v>1698099</v>
      </c>
      <c r="DO41" s="39">
        <v>1740748</v>
      </c>
      <c r="DP41" s="39">
        <v>1779244</v>
      </c>
      <c r="DQ41" s="39">
        <v>1819960</v>
      </c>
      <c r="DR41" s="39">
        <v>1889054.6</v>
      </c>
      <c r="DS41" s="39">
        <v>1929386.4</v>
      </c>
      <c r="DT41" s="39">
        <v>1987210</v>
      </c>
      <c r="DU41" s="39">
        <v>2065947</v>
      </c>
      <c r="DV41" s="39">
        <v>2129615</v>
      </c>
      <c r="DW41" s="39">
        <v>2203215</v>
      </c>
      <c r="DX41" s="39">
        <v>2299399</v>
      </c>
      <c r="DY41" s="39">
        <v>2402256</v>
      </c>
      <c r="DZ41" s="39">
        <v>2481882</v>
      </c>
      <c r="EA41" s="39">
        <v>2566273</v>
      </c>
      <c r="EB41" s="39">
        <v>2621808</v>
      </c>
      <c r="EC41" s="39">
        <v>2680417</v>
      </c>
      <c r="ED41" s="39">
        <v>2729668</v>
      </c>
      <c r="EE41" s="39">
        <v>2711732</v>
      </c>
      <c r="EF41" s="39">
        <v>2737933</v>
      </c>
      <c r="EG41" s="39">
        <v>2762065</v>
      </c>
      <c r="EH41" s="39">
        <v>2748940</v>
      </c>
      <c r="EI41" s="39">
        <v>2732577</v>
      </c>
      <c r="EJ41" s="42">
        <v>2747249</v>
      </c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</row>
    <row r="42" spans="1:214">
      <c r="A42" s="47" t="s">
        <v>222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1</v>
      </c>
      <c r="Y42" s="39">
        <v>1</v>
      </c>
      <c r="Z42" s="39">
        <v>1</v>
      </c>
      <c r="AA42" s="39">
        <v>1</v>
      </c>
      <c r="AB42" s="39">
        <v>1</v>
      </c>
      <c r="AC42" s="39">
        <v>1</v>
      </c>
      <c r="AD42" s="39">
        <v>1</v>
      </c>
      <c r="AE42" s="39">
        <v>1</v>
      </c>
      <c r="AF42" s="39">
        <v>1</v>
      </c>
      <c r="AG42" s="39">
        <v>12</v>
      </c>
      <c r="AH42" s="39">
        <v>27</v>
      </c>
      <c r="AI42" s="39">
        <v>52</v>
      </c>
      <c r="AJ42" s="39">
        <v>70</v>
      </c>
      <c r="AK42" s="39">
        <v>58</v>
      </c>
      <c r="AL42" s="39">
        <v>81</v>
      </c>
      <c r="AM42" s="39">
        <v>80</v>
      </c>
      <c r="AN42" s="39">
        <v>135</v>
      </c>
      <c r="AO42" s="39">
        <v>236</v>
      </c>
      <c r="AP42" s="39">
        <v>429</v>
      </c>
      <c r="AQ42" s="39">
        <v>376</v>
      </c>
      <c r="AR42" s="39">
        <v>459</v>
      </c>
      <c r="AS42" s="39">
        <v>445</v>
      </c>
      <c r="AT42" s="39">
        <v>494</v>
      </c>
      <c r="AU42" s="39">
        <v>443</v>
      </c>
      <c r="AV42" s="39">
        <v>420</v>
      </c>
      <c r="AW42" s="39">
        <v>299</v>
      </c>
      <c r="AX42" s="39">
        <v>471</v>
      </c>
      <c r="AY42" s="39">
        <v>462</v>
      </c>
      <c r="AZ42" s="39">
        <v>654</v>
      </c>
      <c r="BA42" s="39">
        <v>717</v>
      </c>
      <c r="BB42" s="39">
        <v>660</v>
      </c>
      <c r="BC42" s="39">
        <v>930</v>
      </c>
      <c r="BD42" s="39">
        <v>1049</v>
      </c>
      <c r="BE42" s="39">
        <v>1088</v>
      </c>
      <c r="BF42" s="39">
        <v>1137</v>
      </c>
      <c r="BG42" s="39">
        <v>918</v>
      </c>
      <c r="BH42" s="39">
        <v>1305</v>
      </c>
      <c r="BI42" s="39">
        <v>1328</v>
      </c>
      <c r="BJ42" s="39">
        <v>1733</v>
      </c>
      <c r="BK42" s="39">
        <v>1777</v>
      </c>
      <c r="BL42" s="40">
        <v>3285</v>
      </c>
      <c r="BM42" s="40">
        <v>2414</v>
      </c>
      <c r="BN42" s="40">
        <v>2869</v>
      </c>
      <c r="BO42" s="40">
        <v>2391</v>
      </c>
      <c r="BP42" s="40">
        <v>4146</v>
      </c>
      <c r="BQ42" s="40">
        <v>4747</v>
      </c>
      <c r="BR42" s="40">
        <v>4326</v>
      </c>
      <c r="BS42" s="40">
        <v>4727</v>
      </c>
      <c r="BT42" s="40">
        <v>5202</v>
      </c>
      <c r="BU42" s="40">
        <v>5278</v>
      </c>
      <c r="BV42" s="40">
        <v>7092</v>
      </c>
      <c r="BW42" s="40">
        <v>6556</v>
      </c>
      <c r="BX42" s="40">
        <v>14752</v>
      </c>
      <c r="BY42" s="39">
        <v>14103.9</v>
      </c>
      <c r="BZ42" s="39">
        <v>14920.6</v>
      </c>
      <c r="CA42" s="39">
        <v>15931</v>
      </c>
      <c r="CB42" s="39">
        <v>17794.7</v>
      </c>
      <c r="CC42" s="39">
        <v>16364.1</v>
      </c>
      <c r="CD42" s="39">
        <v>19260.900000000001</v>
      </c>
      <c r="CE42" s="39">
        <v>15813.5</v>
      </c>
      <c r="CF42" s="39">
        <v>16891.2</v>
      </c>
      <c r="CG42" s="39">
        <v>15760.9</v>
      </c>
      <c r="CH42" s="39">
        <v>15518</v>
      </c>
      <c r="CI42" s="39">
        <v>15378.3</v>
      </c>
      <c r="CJ42" s="39">
        <v>14060.1</v>
      </c>
      <c r="CK42" s="39">
        <v>12090.2</v>
      </c>
      <c r="CL42" s="39">
        <v>12689.8</v>
      </c>
      <c r="CM42" s="39">
        <v>12373.8</v>
      </c>
      <c r="CN42" s="39">
        <v>12919.9</v>
      </c>
      <c r="CO42" s="39">
        <v>11499.5</v>
      </c>
      <c r="CP42" s="39">
        <v>12320.7</v>
      </c>
      <c r="CQ42" s="39">
        <v>14816.8</v>
      </c>
      <c r="CR42" s="39">
        <v>17401.2</v>
      </c>
      <c r="CS42" s="39">
        <v>18045.8</v>
      </c>
      <c r="CT42" s="39">
        <v>17033.8</v>
      </c>
      <c r="CU42" s="39">
        <v>17969.099999999999</v>
      </c>
      <c r="CV42" s="39">
        <v>19980</v>
      </c>
      <c r="CW42" s="39">
        <v>23885.5</v>
      </c>
      <c r="CX42" s="39">
        <v>20815.5</v>
      </c>
      <c r="CY42" s="39">
        <v>29491.3</v>
      </c>
      <c r="CZ42" s="39">
        <v>27308.9</v>
      </c>
      <c r="DA42" s="39">
        <v>36608.1</v>
      </c>
      <c r="DB42" s="39">
        <v>38675.4</v>
      </c>
      <c r="DC42" s="39">
        <v>42703.5</v>
      </c>
      <c r="DD42" s="39">
        <v>29887.9</v>
      </c>
      <c r="DE42" s="39">
        <v>20556</v>
      </c>
      <c r="DF42" s="39">
        <v>22962.400000000001</v>
      </c>
      <c r="DG42" s="39">
        <v>23673</v>
      </c>
      <c r="DH42" s="39">
        <v>52366.9</v>
      </c>
      <c r="DI42" s="39">
        <v>61210.9</v>
      </c>
      <c r="DJ42" s="39">
        <v>75157.5</v>
      </c>
      <c r="DK42" s="39">
        <v>103267.1</v>
      </c>
      <c r="DL42" s="39">
        <v>71297.100000000006</v>
      </c>
      <c r="DM42" s="39">
        <v>81194.5</v>
      </c>
      <c r="DN42" s="39">
        <v>71453.8</v>
      </c>
      <c r="DO42" s="39">
        <v>50638.5</v>
      </c>
      <c r="DP42" s="39">
        <v>77587</v>
      </c>
      <c r="DQ42" s="39">
        <v>111895.3</v>
      </c>
      <c r="DR42" s="39">
        <v>194657.2</v>
      </c>
      <c r="DS42" s="39">
        <v>170217.8</v>
      </c>
      <c r="DT42" s="39">
        <v>233800.6</v>
      </c>
      <c r="DU42" s="39">
        <v>280562.09999999998</v>
      </c>
      <c r="DV42" s="39">
        <v>344514.4</v>
      </c>
      <c r="DW42" s="39">
        <v>406792.7</v>
      </c>
      <c r="DX42" s="39">
        <v>382137.59999999998</v>
      </c>
      <c r="DY42" s="39">
        <v>479995.8</v>
      </c>
      <c r="DZ42" s="39">
        <v>532851.1</v>
      </c>
      <c r="EA42" s="39">
        <v>642897.30000000005</v>
      </c>
      <c r="EB42" s="39">
        <v>647351.30000000005</v>
      </c>
      <c r="EC42" s="39">
        <v>544304.30000000005</v>
      </c>
      <c r="ED42" s="39">
        <v>556563.1</v>
      </c>
      <c r="EE42" s="39">
        <v>556783.4</v>
      </c>
      <c r="EF42" s="39">
        <v>829147.9</v>
      </c>
      <c r="EG42" s="39">
        <v>807428.1</v>
      </c>
      <c r="EH42" s="39">
        <v>1154902.6000000001</v>
      </c>
      <c r="EI42" s="39">
        <v>1215408.1000000001</v>
      </c>
      <c r="EJ42" s="42">
        <v>1143687.6000000001</v>
      </c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</row>
    <row r="43" spans="1:214">
      <c r="A43" s="47" t="s">
        <v>223</v>
      </c>
      <c r="B43" s="39">
        <v>470</v>
      </c>
      <c r="C43" s="39">
        <v>511</v>
      </c>
      <c r="D43" s="39">
        <v>494</v>
      </c>
      <c r="E43" s="39">
        <v>490</v>
      </c>
      <c r="F43" s="39">
        <v>540</v>
      </c>
      <c r="G43" s="39">
        <v>549</v>
      </c>
      <c r="H43" s="39">
        <v>592</v>
      </c>
      <c r="I43" s="39">
        <v>626</v>
      </c>
      <c r="J43" s="39">
        <v>609</v>
      </c>
      <c r="K43" s="39">
        <v>632</v>
      </c>
      <c r="L43" s="39">
        <v>581</v>
      </c>
      <c r="M43" s="39">
        <v>597</v>
      </c>
      <c r="N43" s="39">
        <v>456</v>
      </c>
      <c r="O43" s="39">
        <v>3980</v>
      </c>
      <c r="P43" s="39">
        <v>4257</v>
      </c>
      <c r="Q43" s="39">
        <v>4966</v>
      </c>
      <c r="R43" s="39">
        <v>5031</v>
      </c>
      <c r="S43" s="39">
        <v>4594</v>
      </c>
      <c r="T43" s="39">
        <v>3884</v>
      </c>
      <c r="U43" s="39">
        <v>3730</v>
      </c>
      <c r="V43" s="39">
        <v>3735</v>
      </c>
      <c r="W43" s="39">
        <v>3702</v>
      </c>
      <c r="X43" s="39">
        <v>3599</v>
      </c>
      <c r="Y43" s="39">
        <v>3684</v>
      </c>
      <c r="Z43" s="39">
        <v>3760</v>
      </c>
      <c r="AA43" s="39">
        <v>3747</v>
      </c>
      <c r="AB43" s="39">
        <v>3631</v>
      </c>
      <c r="AC43" s="39">
        <v>3604</v>
      </c>
      <c r="AD43" s="39">
        <v>3535</v>
      </c>
      <c r="AE43" s="39">
        <v>3378</v>
      </c>
      <c r="AF43" s="39">
        <v>3443</v>
      </c>
      <c r="AG43" s="39">
        <v>3425</v>
      </c>
      <c r="AH43" s="39">
        <v>3377</v>
      </c>
      <c r="AI43" s="39">
        <v>3553</v>
      </c>
      <c r="AJ43" s="39">
        <v>3056</v>
      </c>
      <c r="AK43" s="39">
        <v>3039</v>
      </c>
      <c r="AL43" s="39">
        <v>3004</v>
      </c>
      <c r="AM43" s="39">
        <v>3053</v>
      </c>
      <c r="AN43" s="39">
        <v>3255</v>
      </c>
      <c r="AO43" s="39">
        <v>3488</v>
      </c>
      <c r="AP43" s="39">
        <v>3428</v>
      </c>
      <c r="AQ43" s="39">
        <v>3478</v>
      </c>
      <c r="AR43" s="39">
        <v>3450</v>
      </c>
      <c r="AS43" s="39">
        <v>3272</v>
      </c>
      <c r="AT43" s="39">
        <v>3719</v>
      </c>
      <c r="AU43" s="39">
        <v>4015</v>
      </c>
      <c r="AV43" s="39">
        <v>4696</v>
      </c>
      <c r="AW43" s="39">
        <v>4528</v>
      </c>
      <c r="AX43" s="39">
        <v>4551</v>
      </c>
      <c r="AY43" s="39">
        <v>4816</v>
      </c>
      <c r="AZ43" s="39">
        <v>5235</v>
      </c>
      <c r="BA43" s="39">
        <v>4887</v>
      </c>
      <c r="BB43" s="39">
        <v>5669</v>
      </c>
      <c r="BC43" s="39">
        <v>5856</v>
      </c>
      <c r="BD43" s="39">
        <v>5792</v>
      </c>
      <c r="BE43" s="39">
        <v>5576</v>
      </c>
      <c r="BF43" s="39">
        <v>5569</v>
      </c>
      <c r="BG43" s="39">
        <v>5537</v>
      </c>
      <c r="BH43" s="39">
        <v>5489</v>
      </c>
      <c r="BI43" s="39">
        <v>5457</v>
      </c>
      <c r="BJ43" s="39">
        <v>5390</v>
      </c>
      <c r="BK43" s="39">
        <v>5359</v>
      </c>
      <c r="BL43" s="40">
        <v>6253</v>
      </c>
      <c r="BM43" s="40">
        <v>6709</v>
      </c>
      <c r="BN43" s="40">
        <v>7006</v>
      </c>
      <c r="BO43" s="40">
        <v>7074</v>
      </c>
      <c r="BP43" s="40">
        <v>7019</v>
      </c>
      <c r="BQ43" s="40">
        <v>6907</v>
      </c>
      <c r="BR43" s="40">
        <v>8398</v>
      </c>
      <c r="BS43" s="40">
        <v>10285</v>
      </c>
      <c r="BT43" s="40">
        <v>8414</v>
      </c>
      <c r="BU43" s="40">
        <v>7062</v>
      </c>
      <c r="BV43" s="40">
        <v>7341</v>
      </c>
      <c r="BW43" s="40">
        <v>7712</v>
      </c>
      <c r="BX43" s="40">
        <v>520</v>
      </c>
      <c r="BY43" s="39">
        <v>5961.2</v>
      </c>
      <c r="BZ43" s="39">
        <v>3080.5</v>
      </c>
      <c r="CA43" s="39">
        <v>2019.9</v>
      </c>
      <c r="CB43" s="39">
        <v>297.3</v>
      </c>
      <c r="CC43" s="39">
        <v>1218.7</v>
      </c>
      <c r="CD43" s="39">
        <v>3677.1</v>
      </c>
      <c r="CE43" s="39">
        <v>5198.5</v>
      </c>
      <c r="CF43" s="39">
        <v>1109.9000000000001</v>
      </c>
      <c r="CG43" s="39">
        <v>1096.3</v>
      </c>
      <c r="CH43" s="39">
        <v>4945.7</v>
      </c>
      <c r="CI43" s="39">
        <v>2164.1</v>
      </c>
      <c r="CJ43" s="39">
        <v>4908.3999999999996</v>
      </c>
      <c r="CK43" s="39">
        <v>21285.9</v>
      </c>
      <c r="CL43" s="39">
        <v>14794.2</v>
      </c>
      <c r="CM43" s="39">
        <v>13424.6</v>
      </c>
      <c r="CN43" s="39">
        <v>14634</v>
      </c>
      <c r="CO43" s="39">
        <v>10722.4</v>
      </c>
      <c r="CP43" s="39">
        <v>10204.4</v>
      </c>
      <c r="CQ43" s="39">
        <v>12749.4</v>
      </c>
      <c r="CR43" s="39">
        <v>5447.4</v>
      </c>
      <c r="CS43" s="39">
        <v>53579</v>
      </c>
      <c r="CT43" s="39">
        <v>54168.3</v>
      </c>
      <c r="CU43" s="39">
        <v>109587.7</v>
      </c>
      <c r="CV43" s="39">
        <v>117116.2</v>
      </c>
      <c r="CW43" s="39">
        <v>48505.2</v>
      </c>
      <c r="CX43" s="39">
        <v>48670.7</v>
      </c>
      <c r="CY43" s="39">
        <v>51532.1</v>
      </c>
      <c r="CZ43" s="39">
        <v>18060.5</v>
      </c>
      <c r="DA43" s="39">
        <v>13516.3</v>
      </c>
      <c r="DB43" s="39">
        <v>19575.099999999999</v>
      </c>
      <c r="DC43" s="39">
        <v>17557.8</v>
      </c>
      <c r="DD43" s="39">
        <v>43802.9</v>
      </c>
      <c r="DE43" s="39">
        <v>43982.5</v>
      </c>
      <c r="DF43" s="39">
        <v>40957.800000000003</v>
      </c>
      <c r="DG43" s="39">
        <v>41015.1</v>
      </c>
      <c r="DH43" s="39">
        <v>38489.5</v>
      </c>
      <c r="DI43" s="39">
        <v>37703.9</v>
      </c>
      <c r="DJ43" s="39">
        <v>38889.5</v>
      </c>
      <c r="DK43" s="39">
        <v>38500.199999999997</v>
      </c>
      <c r="DL43" s="39">
        <v>38972.1</v>
      </c>
      <c r="DM43" s="39">
        <v>41162.1</v>
      </c>
      <c r="DN43" s="39">
        <v>53134.400000000001</v>
      </c>
      <c r="DO43" s="39">
        <v>75362.399999999994</v>
      </c>
      <c r="DP43" s="39">
        <v>77910.899999999994</v>
      </c>
      <c r="DQ43" s="39">
        <v>80372.800000000003</v>
      </c>
      <c r="DR43" s="39">
        <v>80918.600000000006</v>
      </c>
      <c r="DS43" s="39">
        <v>145365</v>
      </c>
      <c r="DT43" s="39">
        <v>161189.5</v>
      </c>
      <c r="DU43" s="39">
        <v>159964.20000000001</v>
      </c>
      <c r="DV43" s="39">
        <v>199161.9</v>
      </c>
      <c r="DW43" s="39">
        <v>175720.7</v>
      </c>
      <c r="DX43" s="39">
        <v>184226.6</v>
      </c>
      <c r="DY43" s="39">
        <v>199746.5</v>
      </c>
      <c r="DZ43" s="39">
        <v>248045.1</v>
      </c>
      <c r="EA43" s="39">
        <v>274466.7</v>
      </c>
      <c r="EB43" s="39">
        <v>289067.59999999998</v>
      </c>
      <c r="EC43" s="39">
        <v>259282.7</v>
      </c>
      <c r="ED43" s="39">
        <v>275144.90000000002</v>
      </c>
      <c r="EE43" s="39">
        <v>284945.59999999998</v>
      </c>
      <c r="EF43" s="39">
        <v>281371.59999999998</v>
      </c>
      <c r="EG43" s="39">
        <v>217997.8</v>
      </c>
      <c r="EH43" s="39">
        <v>198299.9</v>
      </c>
      <c r="EI43" s="39">
        <v>213420</v>
      </c>
      <c r="EJ43" s="42">
        <v>221516.2</v>
      </c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</row>
    <row r="44" spans="1:214">
      <c r="A44" s="47" t="s">
        <v>35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v>0</v>
      </c>
      <c r="AI44" s="39">
        <v>0</v>
      </c>
      <c r="AJ44" s="39">
        <v>0</v>
      </c>
      <c r="AK44" s="39">
        <v>0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  <c r="AQ44" s="39">
        <v>0</v>
      </c>
      <c r="AR44" s="39">
        <v>798</v>
      </c>
      <c r="AS44" s="39">
        <v>802</v>
      </c>
      <c r="AT44" s="39">
        <v>802</v>
      </c>
      <c r="AU44" s="39">
        <v>833</v>
      </c>
      <c r="AV44" s="39">
        <v>815</v>
      </c>
      <c r="AW44" s="39">
        <v>1965</v>
      </c>
      <c r="AX44" s="39">
        <v>1965</v>
      </c>
      <c r="AY44" s="39">
        <v>1990</v>
      </c>
      <c r="AZ44" s="39">
        <v>2010</v>
      </c>
      <c r="BA44" s="39">
        <v>2051</v>
      </c>
      <c r="BB44" s="39">
        <v>2039</v>
      </c>
      <c r="BC44" s="39">
        <v>1987</v>
      </c>
      <c r="BD44" s="39">
        <v>1379</v>
      </c>
      <c r="BE44" s="39">
        <v>1752</v>
      </c>
      <c r="BF44" s="39">
        <v>1613</v>
      </c>
      <c r="BG44" s="39">
        <v>3258</v>
      </c>
      <c r="BH44" s="39">
        <v>2757</v>
      </c>
      <c r="BI44" s="39">
        <v>3135</v>
      </c>
      <c r="BJ44" s="39">
        <v>3117</v>
      </c>
      <c r="BK44" s="39">
        <v>3404</v>
      </c>
      <c r="BL44" s="40">
        <v>-2431</v>
      </c>
      <c r="BM44" s="40">
        <v>-3082</v>
      </c>
      <c r="BN44" s="40">
        <v>-3219</v>
      </c>
      <c r="BO44" s="40">
        <v>-4483</v>
      </c>
      <c r="BP44" s="40">
        <v>9071</v>
      </c>
      <c r="BQ44" s="40">
        <v>15996</v>
      </c>
      <c r="BR44" s="40">
        <v>17593</v>
      </c>
      <c r="BS44" s="40">
        <v>18803</v>
      </c>
      <c r="BT44" s="40">
        <v>20145</v>
      </c>
      <c r="BU44" s="40">
        <v>18648</v>
      </c>
      <c r="BV44" s="40">
        <v>17152</v>
      </c>
      <c r="BW44" s="40">
        <v>17542</v>
      </c>
      <c r="BX44" s="40">
        <v>25401</v>
      </c>
      <c r="BY44" s="39">
        <v>28525</v>
      </c>
      <c r="BZ44" s="39">
        <v>15254</v>
      </c>
      <c r="CA44" s="39">
        <v>22616</v>
      </c>
      <c r="CB44" s="39">
        <v>35802</v>
      </c>
      <c r="CC44" s="39">
        <v>56745</v>
      </c>
      <c r="CD44" s="39">
        <v>94126</v>
      </c>
      <c r="CE44" s="39">
        <v>104180</v>
      </c>
      <c r="CF44" s="39">
        <v>104123</v>
      </c>
      <c r="CG44" s="39">
        <v>138290</v>
      </c>
      <c r="CH44" s="39">
        <v>208288</v>
      </c>
      <c r="CI44" s="39">
        <v>233940</v>
      </c>
      <c r="CJ44" s="39">
        <v>238481</v>
      </c>
      <c r="CK44" s="39">
        <v>286805</v>
      </c>
      <c r="CL44" s="39">
        <v>387792</v>
      </c>
      <c r="CM44" s="39">
        <v>406839</v>
      </c>
      <c r="CN44" s="39">
        <v>443276</v>
      </c>
      <c r="CO44" s="39">
        <v>444317</v>
      </c>
      <c r="CP44" s="39">
        <v>503913</v>
      </c>
      <c r="CQ44" s="39">
        <v>579487</v>
      </c>
      <c r="CR44" s="39">
        <v>608139</v>
      </c>
      <c r="CS44" s="39">
        <v>578412</v>
      </c>
      <c r="CT44" s="39">
        <v>594773</v>
      </c>
      <c r="CU44" s="39">
        <v>481219</v>
      </c>
      <c r="CV44" s="39">
        <v>286375</v>
      </c>
      <c r="CW44" s="39">
        <v>252788</v>
      </c>
      <c r="CX44" s="39">
        <v>239157</v>
      </c>
      <c r="CY44" s="39">
        <v>222498</v>
      </c>
      <c r="CZ44" s="39">
        <v>119717</v>
      </c>
      <c r="DA44" s="39">
        <v>83808</v>
      </c>
      <c r="DB44" s="39">
        <v>100401</v>
      </c>
      <c r="DC44" s="39">
        <v>108858</v>
      </c>
      <c r="DD44" s="39">
        <v>32333</v>
      </c>
      <c r="DE44" s="39">
        <v>182854</v>
      </c>
      <c r="DF44" s="39">
        <v>237344</v>
      </c>
      <c r="DG44" s="39">
        <v>234400</v>
      </c>
      <c r="DH44" s="39">
        <v>122195</v>
      </c>
      <c r="DI44" s="39">
        <v>166575</v>
      </c>
      <c r="DJ44" s="39">
        <v>203972</v>
      </c>
      <c r="DK44" s="39">
        <v>180240</v>
      </c>
      <c r="DL44" s="39">
        <v>132042</v>
      </c>
      <c r="DM44" s="39">
        <v>131683</v>
      </c>
      <c r="DN44" s="39">
        <v>99637</v>
      </c>
      <c r="DO44" s="39">
        <v>44804</v>
      </c>
      <c r="DP44" s="39">
        <v>25652</v>
      </c>
      <c r="DQ44" s="39">
        <v>80018</v>
      </c>
      <c r="DR44" s="39">
        <v>135562</v>
      </c>
      <c r="DS44" s="39">
        <v>47373</v>
      </c>
      <c r="DT44" s="39">
        <v>-14897</v>
      </c>
      <c r="DU44" s="39">
        <v>32855</v>
      </c>
      <c r="DV44" s="39">
        <v>-58757</v>
      </c>
      <c r="DW44" s="39">
        <v>-73677</v>
      </c>
      <c r="DX44" s="39">
        <v>65610</v>
      </c>
      <c r="DY44" s="39">
        <v>80920</v>
      </c>
      <c r="DZ44" s="39">
        <v>157530</v>
      </c>
      <c r="EA44" s="39">
        <v>194385</v>
      </c>
      <c r="EB44" s="39">
        <v>260518</v>
      </c>
      <c r="EC44" s="39">
        <v>222887</v>
      </c>
      <c r="ED44" s="39">
        <v>178872</v>
      </c>
      <c r="EE44" s="39">
        <v>137574</v>
      </c>
      <c r="EF44" s="39">
        <v>0</v>
      </c>
      <c r="EG44" s="39">
        <v>-84824</v>
      </c>
      <c r="EH44" s="39">
        <v>-82755</v>
      </c>
      <c r="EI44" s="39">
        <v>-65819</v>
      </c>
      <c r="EJ44" s="42">
        <v>0</v>
      </c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</row>
    <row r="45" spans="1:214" ht="12" customHeight="1">
      <c r="A45" s="47" t="s">
        <v>224</v>
      </c>
      <c r="B45" s="39">
        <v>1990</v>
      </c>
      <c r="C45" s="39">
        <v>2115</v>
      </c>
      <c r="D45" s="39">
        <v>3526</v>
      </c>
      <c r="E45" s="39">
        <v>3799</v>
      </c>
      <c r="F45" s="39">
        <v>3921</v>
      </c>
      <c r="G45" s="39">
        <v>4177</v>
      </c>
      <c r="H45" s="39">
        <v>4649</v>
      </c>
      <c r="I45" s="39">
        <v>5030</v>
      </c>
      <c r="J45" s="39">
        <v>5454</v>
      </c>
      <c r="K45" s="39">
        <v>5928</v>
      </c>
      <c r="L45" s="39">
        <v>6495.98</v>
      </c>
      <c r="M45" s="39">
        <v>6949.62</v>
      </c>
      <c r="N45" s="39">
        <v>7126.46</v>
      </c>
      <c r="O45" s="39">
        <v>8408.9</v>
      </c>
      <c r="P45" s="39">
        <v>9258.92</v>
      </c>
      <c r="Q45" s="39">
        <v>9185.08</v>
      </c>
      <c r="R45" s="39">
        <v>10064.26</v>
      </c>
      <c r="S45" s="39">
        <v>11213.72</v>
      </c>
      <c r="T45" s="39">
        <v>12236</v>
      </c>
      <c r="U45" s="39">
        <v>12260</v>
      </c>
      <c r="V45" s="39">
        <v>12538</v>
      </c>
      <c r="W45" s="39">
        <v>13152.5</v>
      </c>
      <c r="X45" s="39">
        <v>13618</v>
      </c>
      <c r="Y45" s="39">
        <v>13834</v>
      </c>
      <c r="Z45" s="39">
        <v>14081</v>
      </c>
      <c r="AA45" s="39">
        <v>14472</v>
      </c>
      <c r="AB45" s="39">
        <v>14699</v>
      </c>
      <c r="AC45" s="39">
        <v>14880</v>
      </c>
      <c r="AD45" s="39">
        <v>15612</v>
      </c>
      <c r="AE45" s="39">
        <v>15939</v>
      </c>
      <c r="AF45" s="39">
        <v>16457</v>
      </c>
      <c r="AG45" s="39">
        <v>16844</v>
      </c>
      <c r="AH45" s="39">
        <v>17549</v>
      </c>
      <c r="AI45" s="39">
        <v>18106</v>
      </c>
      <c r="AJ45" s="39">
        <v>18741</v>
      </c>
      <c r="AK45" s="39">
        <v>18001</v>
      </c>
      <c r="AL45" s="39">
        <v>18718</v>
      </c>
      <c r="AM45" s="39">
        <v>19450</v>
      </c>
      <c r="AN45" s="39">
        <v>21026</v>
      </c>
      <c r="AO45" s="39">
        <v>21115</v>
      </c>
      <c r="AP45" s="39">
        <v>21785</v>
      </c>
      <c r="AQ45" s="39">
        <v>22595</v>
      </c>
      <c r="AR45" s="39">
        <v>23729</v>
      </c>
      <c r="AS45" s="39">
        <v>24610</v>
      </c>
      <c r="AT45" s="39">
        <v>26252</v>
      </c>
      <c r="AU45" s="39">
        <v>27439</v>
      </c>
      <c r="AV45" s="39">
        <v>29980</v>
      </c>
      <c r="AW45" s="39">
        <v>30601</v>
      </c>
      <c r="AX45" s="39">
        <v>31199</v>
      </c>
      <c r="AY45" s="39">
        <v>32678</v>
      </c>
      <c r="AZ45" s="39">
        <v>35670</v>
      </c>
      <c r="BA45" s="39">
        <v>37949</v>
      </c>
      <c r="BB45" s="39">
        <v>38180</v>
      </c>
      <c r="BC45" s="39">
        <v>39632</v>
      </c>
      <c r="BD45" s="39">
        <v>41675</v>
      </c>
      <c r="BE45" s="39">
        <v>42128</v>
      </c>
      <c r="BF45" s="39">
        <v>43726</v>
      </c>
      <c r="BG45" s="39">
        <v>44279</v>
      </c>
      <c r="BH45" s="39">
        <v>49026</v>
      </c>
      <c r="BI45" s="39">
        <v>51855</v>
      </c>
      <c r="BJ45" s="39">
        <v>52050</v>
      </c>
      <c r="BK45" s="39">
        <v>54543</v>
      </c>
      <c r="BL45" s="40">
        <v>65161</v>
      </c>
      <c r="BM45" s="40">
        <v>63776</v>
      </c>
      <c r="BN45" s="40">
        <v>60835</v>
      </c>
      <c r="BO45" s="40">
        <v>60167</v>
      </c>
      <c r="BP45" s="40">
        <v>71597</v>
      </c>
      <c r="BQ45" s="40">
        <v>73635</v>
      </c>
      <c r="BR45" s="40">
        <v>70288</v>
      </c>
      <c r="BS45" s="40">
        <v>70086</v>
      </c>
      <c r="BT45" s="40">
        <v>86370</v>
      </c>
      <c r="BU45" s="40">
        <v>86454</v>
      </c>
      <c r="BV45" s="40">
        <v>73948</v>
      </c>
      <c r="BW45" s="40">
        <v>74560</v>
      </c>
      <c r="BX45" s="39">
        <v>83120</v>
      </c>
      <c r="BY45" s="39">
        <v>154146</v>
      </c>
      <c r="BZ45" s="39">
        <v>150312</v>
      </c>
      <c r="CA45" s="39">
        <v>149466</v>
      </c>
      <c r="CB45" s="39">
        <v>166324</v>
      </c>
      <c r="CC45" s="39">
        <v>168703</v>
      </c>
      <c r="CD45" s="39">
        <v>168104</v>
      </c>
      <c r="CE45" s="39">
        <v>167613</v>
      </c>
      <c r="CF45" s="39">
        <v>190898</v>
      </c>
      <c r="CG45" s="39">
        <v>193609</v>
      </c>
      <c r="CH45" s="39">
        <v>174340</v>
      </c>
      <c r="CI45" s="39">
        <v>177046</v>
      </c>
      <c r="CJ45" s="39">
        <v>227377</v>
      </c>
      <c r="CK45" s="39">
        <v>231061</v>
      </c>
      <c r="CL45" s="39">
        <v>218129</v>
      </c>
      <c r="CM45" s="39">
        <v>218274</v>
      </c>
      <c r="CN45" s="39">
        <v>262074</v>
      </c>
      <c r="CO45" s="39">
        <v>264683</v>
      </c>
      <c r="CP45" s="39">
        <v>271025</v>
      </c>
      <c r="CQ45" s="39">
        <v>271866</v>
      </c>
      <c r="CR45" s="39">
        <v>264351</v>
      </c>
      <c r="CS45" s="39">
        <v>268613</v>
      </c>
      <c r="CT45" s="39">
        <v>269286</v>
      </c>
      <c r="CU45" s="39">
        <v>271637</v>
      </c>
      <c r="CV45" s="39">
        <v>461841</v>
      </c>
      <c r="CW45" s="39">
        <v>473164</v>
      </c>
      <c r="CX45" s="39">
        <v>490195</v>
      </c>
      <c r="CY45" s="39">
        <v>493399</v>
      </c>
      <c r="CZ45" s="39">
        <v>689097</v>
      </c>
      <c r="DA45" s="39">
        <v>712799</v>
      </c>
      <c r="DB45" s="39">
        <v>740596</v>
      </c>
      <c r="DC45" s="39">
        <v>734335</v>
      </c>
      <c r="DD45" s="39">
        <v>830256</v>
      </c>
      <c r="DE45" s="39">
        <v>861174</v>
      </c>
      <c r="DF45" s="39">
        <v>931137</v>
      </c>
      <c r="DG45" s="39">
        <v>958395</v>
      </c>
      <c r="DH45" s="39">
        <v>1134480</v>
      </c>
      <c r="DI45" s="39">
        <v>1161277</v>
      </c>
      <c r="DJ45" s="39">
        <v>1224803</v>
      </c>
      <c r="DK45" s="39">
        <v>1225658</v>
      </c>
      <c r="DL45" s="39">
        <v>1312593</v>
      </c>
      <c r="DM45" s="39">
        <v>1439305</v>
      </c>
      <c r="DN45" s="39">
        <v>1471779</v>
      </c>
      <c r="DO45" s="39">
        <v>1491147</v>
      </c>
      <c r="DP45" s="39">
        <v>1552986</v>
      </c>
      <c r="DQ45" s="39">
        <v>1576478</v>
      </c>
      <c r="DR45" s="39">
        <v>1628900</v>
      </c>
      <c r="DS45" s="39">
        <v>1682198</v>
      </c>
      <c r="DT45" s="39">
        <v>1836078</v>
      </c>
      <c r="DU45" s="39">
        <v>1844247</v>
      </c>
      <c r="DV45" s="39">
        <v>1953801</v>
      </c>
      <c r="DW45" s="39">
        <v>2002825</v>
      </c>
      <c r="DX45" s="39">
        <v>2129728</v>
      </c>
      <c r="DY45" s="39">
        <v>2158142</v>
      </c>
      <c r="DZ45" s="39">
        <v>2155014</v>
      </c>
      <c r="EA45" s="39">
        <v>2323187</v>
      </c>
      <c r="EB45" s="39">
        <v>2745495</v>
      </c>
      <c r="EC45" s="39">
        <v>2781006</v>
      </c>
      <c r="ED45" s="39">
        <v>2741335</v>
      </c>
      <c r="EE45" s="39">
        <v>2767662</v>
      </c>
      <c r="EF45" s="39">
        <v>2877511</v>
      </c>
      <c r="EG45" s="39">
        <v>2895476</v>
      </c>
      <c r="EH45" s="39">
        <v>2886009</v>
      </c>
      <c r="EI45" s="39">
        <v>2883487</v>
      </c>
      <c r="EJ45" s="42">
        <v>2804501</v>
      </c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</row>
    <row r="46" spans="1:214">
      <c r="A46" s="47" t="s">
        <v>225</v>
      </c>
      <c r="B46" s="39">
        <v>1343.47</v>
      </c>
      <c r="C46" s="39">
        <v>1534.71</v>
      </c>
      <c r="D46" s="39">
        <v>1675.58</v>
      </c>
      <c r="E46" s="39">
        <v>1981.56</v>
      </c>
      <c r="F46" s="39">
        <v>2628.87</v>
      </c>
      <c r="G46" s="39">
        <v>2948.87</v>
      </c>
      <c r="H46" s="39">
        <v>2969.49</v>
      </c>
      <c r="I46" s="39">
        <v>2734.85</v>
      </c>
      <c r="J46" s="39">
        <v>3507.89</v>
      </c>
      <c r="K46" s="39">
        <v>3782.3</v>
      </c>
      <c r="L46" s="39">
        <v>3044.71</v>
      </c>
      <c r="M46" s="39">
        <v>2609.7800000000002</v>
      </c>
      <c r="N46" s="39">
        <v>1380.23</v>
      </c>
      <c r="O46" s="39">
        <v>373.35</v>
      </c>
      <c r="P46" s="39">
        <v>-1374.77</v>
      </c>
      <c r="Q46" s="39">
        <v>1222.0999999999931</v>
      </c>
      <c r="R46" s="39">
        <v>1439.88</v>
      </c>
      <c r="S46" s="39">
        <v>2921.29</v>
      </c>
      <c r="T46" s="39">
        <v>4544</v>
      </c>
      <c r="U46" s="39">
        <v>4301</v>
      </c>
      <c r="V46" s="39">
        <v>4560</v>
      </c>
      <c r="W46" s="39">
        <v>4900</v>
      </c>
      <c r="X46" s="39">
        <v>4221</v>
      </c>
      <c r="Y46" s="39">
        <v>3084</v>
      </c>
      <c r="Z46" s="39">
        <v>3857</v>
      </c>
      <c r="AA46" s="39">
        <v>3729</v>
      </c>
      <c r="AB46" s="39">
        <v>-480</v>
      </c>
      <c r="AC46" s="39">
        <v>-298</v>
      </c>
      <c r="AD46" s="39">
        <v>2494</v>
      </c>
      <c r="AE46" s="39">
        <v>2107</v>
      </c>
      <c r="AF46" s="39">
        <v>-1649</v>
      </c>
      <c r="AG46" s="39">
        <v>140</v>
      </c>
      <c r="AH46" s="39">
        <v>1310</v>
      </c>
      <c r="AI46" s="39">
        <v>1554</v>
      </c>
      <c r="AJ46" s="39">
        <v>-999</v>
      </c>
      <c r="AK46" s="39">
        <v>-2029</v>
      </c>
      <c r="AL46" s="39">
        <v>-1616</v>
      </c>
      <c r="AM46" s="39">
        <v>218</v>
      </c>
      <c r="AN46" s="39">
        <v>-11651</v>
      </c>
      <c r="AO46" s="39">
        <v>-7464</v>
      </c>
      <c r="AP46" s="39">
        <v>-6105</v>
      </c>
      <c r="AQ46" s="39">
        <v>-7724</v>
      </c>
      <c r="AR46" s="39">
        <v>-11283</v>
      </c>
      <c r="AS46" s="39">
        <v>-567</v>
      </c>
      <c r="AT46" s="39">
        <v>-1725</v>
      </c>
      <c r="AU46" s="39">
        <v>-1506</v>
      </c>
      <c r="AV46" s="39">
        <v>-1834</v>
      </c>
      <c r="AW46" s="39">
        <v>65</v>
      </c>
      <c r="AX46" s="39">
        <v>-4435</v>
      </c>
      <c r="AY46" s="39">
        <v>-4814</v>
      </c>
      <c r="AZ46" s="39">
        <v>-6497</v>
      </c>
      <c r="BA46" s="39">
        <v>-2814</v>
      </c>
      <c r="BB46" s="39">
        <v>-4807</v>
      </c>
      <c r="BC46" s="39">
        <v>-7151</v>
      </c>
      <c r="BD46" s="39">
        <v>-10185</v>
      </c>
      <c r="BE46" s="39">
        <v>-15200</v>
      </c>
      <c r="BF46" s="39">
        <v>-11428</v>
      </c>
      <c r="BG46" s="39">
        <v>-18504</v>
      </c>
      <c r="BH46" s="39">
        <v>-17486</v>
      </c>
      <c r="BI46" s="39">
        <v>-21509</v>
      </c>
      <c r="BJ46" s="39">
        <v>-26227</v>
      </c>
      <c r="BK46" s="39">
        <v>-26364</v>
      </c>
      <c r="BL46" s="39">
        <v>-1686</v>
      </c>
      <c r="BM46" s="39">
        <v>2011</v>
      </c>
      <c r="BN46" s="39">
        <v>-1307</v>
      </c>
      <c r="BO46" s="39">
        <v>12207</v>
      </c>
      <c r="BP46" s="39">
        <v>9180</v>
      </c>
      <c r="BQ46" s="39">
        <v>-6476</v>
      </c>
      <c r="BR46" s="39">
        <v>8958</v>
      </c>
      <c r="BS46" s="39">
        <v>14330</v>
      </c>
      <c r="BT46" s="39">
        <v>5675</v>
      </c>
      <c r="BU46" s="39">
        <v>13538</v>
      </c>
      <c r="BV46" s="39">
        <v>19803</v>
      </c>
      <c r="BW46" s="39">
        <v>16280</v>
      </c>
      <c r="BX46" s="39">
        <v>15738</v>
      </c>
      <c r="BY46" s="39">
        <v>24872.400000000001</v>
      </c>
      <c r="BZ46" s="39">
        <v>24571</v>
      </c>
      <c r="CA46" s="39">
        <v>20441.200000000099</v>
      </c>
      <c r="CB46" s="39">
        <v>9330.3999999999651</v>
      </c>
      <c r="CC46" s="39">
        <v>23316.400000000081</v>
      </c>
      <c r="CD46" s="39">
        <v>7305.2999999999302</v>
      </c>
      <c r="CE46" s="39">
        <v>-500.60000000009313</v>
      </c>
      <c r="CF46" s="39">
        <v>527.49999999988358</v>
      </c>
      <c r="CG46" s="39">
        <v>18127.2</v>
      </c>
      <c r="CH46" s="39">
        <v>3623.9000000000815</v>
      </c>
      <c r="CI46" s="39">
        <v>4560.0000000001164</v>
      </c>
      <c r="CJ46" s="39">
        <v>-26358.199999999837</v>
      </c>
      <c r="CK46" s="39">
        <v>-46961.29999999993</v>
      </c>
      <c r="CL46" s="39">
        <v>-54432.40000000014</v>
      </c>
      <c r="CM46" s="39">
        <v>2538.2999999999302</v>
      </c>
      <c r="CN46" s="39">
        <v>-44516.200000000186</v>
      </c>
      <c r="CO46" s="39">
        <v>-56376.29999999993</v>
      </c>
      <c r="CP46" s="39">
        <v>-73868.29999999993</v>
      </c>
      <c r="CQ46" s="39">
        <v>-48574.699999999837</v>
      </c>
      <c r="CR46" s="39">
        <v>-36890.79999999993</v>
      </c>
      <c r="CS46" s="39">
        <v>-75106.399999999907</v>
      </c>
      <c r="CT46" s="39">
        <v>-58994.500000000233</v>
      </c>
      <c r="CU46" s="39">
        <v>-45697.3</v>
      </c>
      <c r="CV46" s="39">
        <v>-70222.7</v>
      </c>
      <c r="CW46" s="39">
        <v>-118652.8</v>
      </c>
      <c r="CX46" s="39">
        <v>-166244.5</v>
      </c>
      <c r="CY46" s="39">
        <v>-120997.4</v>
      </c>
      <c r="CZ46" s="39">
        <v>-189443.9</v>
      </c>
      <c r="DA46" s="39">
        <v>-196911.3</v>
      </c>
      <c r="DB46" s="39">
        <v>-196698.5</v>
      </c>
      <c r="DC46" s="39">
        <v>-84065.3</v>
      </c>
      <c r="DD46" s="39">
        <v>-179581.1</v>
      </c>
      <c r="DE46" s="39">
        <v>-166138.1</v>
      </c>
      <c r="DF46" s="39">
        <v>-245872.2</v>
      </c>
      <c r="DG46" s="39">
        <v>-72265.899999999907</v>
      </c>
      <c r="DH46" s="39">
        <v>-203744</v>
      </c>
      <c r="DI46" s="39">
        <v>-252656.1</v>
      </c>
      <c r="DJ46" s="39">
        <v>-225007.1</v>
      </c>
      <c r="DK46" s="39">
        <v>-100863.09999999939</v>
      </c>
      <c r="DL46" s="39">
        <v>-208088.2</v>
      </c>
      <c r="DM46" s="39">
        <v>-27476.000000000466</v>
      </c>
      <c r="DN46" s="39">
        <v>42208.100000000093</v>
      </c>
      <c r="DO46" s="39">
        <v>114617.4999999986</v>
      </c>
      <c r="DP46" s="39">
        <v>84441.000000000466</v>
      </c>
      <c r="DQ46" s="39">
        <v>400291.7</v>
      </c>
      <c r="DR46" s="39">
        <v>416120.70000000065</v>
      </c>
      <c r="DS46" s="39">
        <v>422000.19999999925</v>
      </c>
      <c r="DT46" s="39">
        <v>234986.50000000186</v>
      </c>
      <c r="DU46" s="39">
        <v>410534.7</v>
      </c>
      <c r="DV46" s="39">
        <v>336152.5</v>
      </c>
      <c r="DW46" s="39">
        <v>415403.50000000093</v>
      </c>
      <c r="DX46" s="39">
        <v>267776.70000000065</v>
      </c>
      <c r="DY46" s="39">
        <v>418887.29999999888</v>
      </c>
      <c r="DZ46" s="39">
        <v>498206.5</v>
      </c>
      <c r="EA46" s="39">
        <v>617958.39999999944</v>
      </c>
      <c r="EB46" s="39">
        <v>128259</v>
      </c>
      <c r="EC46" s="39">
        <v>313708.79999999999</v>
      </c>
      <c r="ED46" s="39">
        <v>163517.5</v>
      </c>
      <c r="EE46" s="39">
        <v>81443.899999998044</v>
      </c>
      <c r="EF46" s="39">
        <v>239335.9</v>
      </c>
      <c r="EG46" s="39">
        <v>318644.60000000242</v>
      </c>
      <c r="EH46" s="39">
        <v>406664.7</v>
      </c>
      <c r="EI46" s="39">
        <v>32059.000000001863</v>
      </c>
      <c r="EJ46" s="42">
        <v>228259.9000000013</v>
      </c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</row>
    <row r="47" spans="1:214" ht="15.75" customHeight="1" thickBot="1">
      <c r="A47" s="54" t="s">
        <v>32</v>
      </c>
      <c r="B47" s="55">
        <v>28457.59</v>
      </c>
      <c r="C47" s="56">
        <v>28189.51</v>
      </c>
      <c r="D47" s="56">
        <v>28649.38</v>
      </c>
      <c r="E47" s="56">
        <v>30300</v>
      </c>
      <c r="F47" s="56">
        <v>33865.019999999997</v>
      </c>
      <c r="G47" s="56">
        <v>34952.82</v>
      </c>
      <c r="H47" s="56">
        <v>37393.019999999997</v>
      </c>
      <c r="I47" s="56">
        <v>40157.39</v>
      </c>
      <c r="J47" s="56">
        <v>43129.15</v>
      </c>
      <c r="K47" s="56">
        <v>46162.720000000001</v>
      </c>
      <c r="L47" s="56">
        <v>48909.08</v>
      </c>
      <c r="M47" s="56">
        <v>51920.87</v>
      </c>
      <c r="N47" s="56">
        <v>53590.559999999998</v>
      </c>
      <c r="O47" s="56">
        <v>60140</v>
      </c>
      <c r="P47" s="56">
        <v>60559.23</v>
      </c>
      <c r="Q47" s="56">
        <v>69852.98</v>
      </c>
      <c r="R47" s="56">
        <v>78423.63</v>
      </c>
      <c r="S47" s="56">
        <v>91015.71</v>
      </c>
      <c r="T47" s="56">
        <v>100345</v>
      </c>
      <c r="U47" s="56">
        <v>99829</v>
      </c>
      <c r="V47" s="56">
        <v>102086</v>
      </c>
      <c r="W47" s="56">
        <v>107457.5</v>
      </c>
      <c r="X47" s="56">
        <v>112088</v>
      </c>
      <c r="Y47" s="56">
        <v>111907</v>
      </c>
      <c r="Z47" s="56">
        <v>115521</v>
      </c>
      <c r="AA47" s="56">
        <v>119186</v>
      </c>
      <c r="AB47" s="56">
        <v>122494</v>
      </c>
      <c r="AC47" s="56">
        <v>121961</v>
      </c>
      <c r="AD47" s="56">
        <v>127524</v>
      </c>
      <c r="AE47" s="56">
        <v>131822</v>
      </c>
      <c r="AF47" s="56">
        <v>139328</v>
      </c>
      <c r="AG47" s="56">
        <v>139952</v>
      </c>
      <c r="AH47" s="56">
        <v>146868</v>
      </c>
      <c r="AI47" s="56">
        <v>152184</v>
      </c>
      <c r="AJ47" s="56">
        <v>160755</v>
      </c>
      <c r="AK47" s="56">
        <v>159806</v>
      </c>
      <c r="AL47" s="56">
        <v>166689</v>
      </c>
      <c r="AM47" s="56">
        <v>171691</v>
      </c>
      <c r="AN47" s="56">
        <v>175782</v>
      </c>
      <c r="AO47" s="56">
        <v>178281</v>
      </c>
      <c r="AP47" s="56">
        <v>186144</v>
      </c>
      <c r="AQ47" s="56">
        <v>195774</v>
      </c>
      <c r="AR47" s="56">
        <v>212754</v>
      </c>
      <c r="AS47" s="56">
        <v>223604</v>
      </c>
      <c r="AT47" s="56">
        <v>234721</v>
      </c>
      <c r="AU47" s="56">
        <v>250025</v>
      </c>
      <c r="AV47" s="56">
        <v>273645</v>
      </c>
      <c r="AW47" s="56">
        <v>287320</v>
      </c>
      <c r="AX47" s="56">
        <v>295909</v>
      </c>
      <c r="AY47" s="56">
        <v>314175</v>
      </c>
      <c r="AZ47" s="56">
        <v>345592</v>
      </c>
      <c r="BA47" s="56">
        <v>351202</v>
      </c>
      <c r="BB47" s="56">
        <v>357218</v>
      </c>
      <c r="BC47" s="56">
        <v>369046</v>
      </c>
      <c r="BD47" s="56">
        <v>390205</v>
      </c>
      <c r="BE47" s="56">
        <v>385865</v>
      </c>
      <c r="BF47" s="56">
        <v>400913</v>
      </c>
      <c r="BG47" s="56">
        <v>409033</v>
      </c>
      <c r="BH47" s="56">
        <v>431308</v>
      </c>
      <c r="BI47" s="56">
        <v>438862</v>
      </c>
      <c r="BJ47" s="56">
        <v>444042</v>
      </c>
      <c r="BK47" s="56">
        <v>469272</v>
      </c>
      <c r="BL47" s="56">
        <v>533911</v>
      </c>
      <c r="BM47" s="56">
        <v>549332</v>
      </c>
      <c r="BN47" s="56">
        <v>570172</v>
      </c>
      <c r="BO47" s="56">
        <v>606479</v>
      </c>
      <c r="BP47" s="56">
        <v>669943</v>
      </c>
      <c r="BQ47" s="56">
        <v>690271</v>
      </c>
      <c r="BR47" s="56">
        <v>731132</v>
      </c>
      <c r="BS47" s="56">
        <v>783492</v>
      </c>
      <c r="BT47" s="56">
        <v>852112</v>
      </c>
      <c r="BU47" s="56">
        <v>882501</v>
      </c>
      <c r="BV47" s="56">
        <v>938199</v>
      </c>
      <c r="BW47" s="56">
        <v>1004837</v>
      </c>
      <c r="BX47" s="56">
        <v>1125214</v>
      </c>
      <c r="BY47" s="56">
        <v>1249204</v>
      </c>
      <c r="BZ47" s="56">
        <v>1304293</v>
      </c>
      <c r="CA47" s="56">
        <v>1403819</v>
      </c>
      <c r="CB47" s="56">
        <v>1554036</v>
      </c>
      <c r="CC47" s="56">
        <v>1659579</v>
      </c>
      <c r="CD47" s="56">
        <v>1798068</v>
      </c>
      <c r="CE47" s="56">
        <v>1908561</v>
      </c>
      <c r="CF47" s="56">
        <v>2024591</v>
      </c>
      <c r="CG47" s="56">
        <v>2171030</v>
      </c>
      <c r="CH47" s="56">
        <v>2319179</v>
      </c>
      <c r="CI47" s="56">
        <v>2478928</v>
      </c>
      <c r="CJ47" s="56">
        <v>2635748</v>
      </c>
      <c r="CK47" s="56">
        <v>2776293</v>
      </c>
      <c r="CL47" s="56">
        <v>2952925</v>
      </c>
      <c r="CM47" s="56">
        <v>3138615</v>
      </c>
      <c r="CN47" s="56">
        <v>3315501</v>
      </c>
      <c r="CO47" s="56">
        <v>3424629</v>
      </c>
      <c r="CP47" s="56">
        <v>3642402</v>
      </c>
      <c r="CQ47" s="56">
        <v>3956579</v>
      </c>
      <c r="CR47" s="56">
        <v>4212407</v>
      </c>
      <c r="CS47" s="56">
        <v>4380820</v>
      </c>
      <c r="CT47" s="56">
        <v>4621852</v>
      </c>
      <c r="CU47" s="56">
        <v>4889704</v>
      </c>
      <c r="CV47" s="56">
        <v>5099979</v>
      </c>
      <c r="CW47" s="56">
        <v>5166200</v>
      </c>
      <c r="CX47" s="56">
        <v>5301398</v>
      </c>
      <c r="CY47" s="56">
        <v>5657182</v>
      </c>
      <c r="CZ47" s="56">
        <v>5902379</v>
      </c>
      <c r="DA47" s="56">
        <v>6082031</v>
      </c>
      <c r="DB47" s="56">
        <v>6240918</v>
      </c>
      <c r="DC47" s="56">
        <v>6659894</v>
      </c>
      <c r="DD47" s="56">
        <v>6823392</v>
      </c>
      <c r="DE47" s="56">
        <v>7221016</v>
      </c>
      <c r="DF47" s="56">
        <v>7440063</v>
      </c>
      <c r="DG47" s="56">
        <v>7932862</v>
      </c>
      <c r="DH47" s="56">
        <v>8188461</v>
      </c>
      <c r="DI47" s="56">
        <v>8405769</v>
      </c>
      <c r="DJ47" s="56">
        <v>8682422</v>
      </c>
      <c r="DK47" s="56">
        <v>8965883</v>
      </c>
      <c r="DL47" s="56">
        <v>9158595</v>
      </c>
      <c r="DM47" s="56">
        <v>9642085</v>
      </c>
      <c r="DN47" s="56">
        <v>9972272</v>
      </c>
      <c r="DO47" s="56">
        <v>10160497</v>
      </c>
      <c r="DP47" s="56">
        <v>10475365</v>
      </c>
      <c r="DQ47" s="56">
        <v>11104870</v>
      </c>
      <c r="DR47" s="56">
        <v>11679006</v>
      </c>
      <c r="DS47" s="56">
        <v>12053643</v>
      </c>
      <c r="DT47" s="56">
        <v>12559694.5</v>
      </c>
      <c r="DU47" s="56">
        <v>13087043.300000001</v>
      </c>
      <c r="DV47" s="56">
        <v>13397013.5</v>
      </c>
      <c r="DW47" s="56">
        <v>13948445.300000001</v>
      </c>
      <c r="DX47" s="56">
        <v>14556092.9</v>
      </c>
      <c r="DY47" s="56">
        <v>14943303.5</v>
      </c>
      <c r="DZ47" s="56">
        <v>15378691.4</v>
      </c>
      <c r="EA47" s="56">
        <v>15998206.4</v>
      </c>
      <c r="EB47" s="56">
        <v>16487939.300000001</v>
      </c>
      <c r="EC47" s="56">
        <v>16441013</v>
      </c>
      <c r="ED47" s="56">
        <v>16514589.1</v>
      </c>
      <c r="EE47" s="56">
        <v>16842978.399999999</v>
      </c>
      <c r="EF47" s="56">
        <v>17680682.5</v>
      </c>
      <c r="EG47" s="56">
        <v>17886518.600000001</v>
      </c>
      <c r="EH47" s="56">
        <v>18291920.699999999</v>
      </c>
      <c r="EI47" s="56">
        <v>18221443.300000001</v>
      </c>
      <c r="EJ47" s="57">
        <v>18722125.800000001</v>
      </c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</row>
    <row r="48" spans="1:214">
      <c r="BX48" s="31"/>
    </row>
    <row r="49" spans="1:1" ht="17.25" customHeight="1">
      <c r="A49" s="31" t="s">
        <v>226</v>
      </c>
    </row>
    <row r="50" spans="1:1">
      <c r="A50" s="31" t="s">
        <v>227</v>
      </c>
    </row>
    <row r="51" spans="1:1">
      <c r="A51" s="31" t="s">
        <v>228</v>
      </c>
    </row>
    <row r="52" spans="1:1">
      <c r="A52" s="31" t="s">
        <v>229</v>
      </c>
    </row>
  </sheetData>
  <printOptions horizontalCentered="1" verticalCentered="1"/>
  <pageMargins left="0" right="0" top="0.39370078740157483" bottom="0" header="0.51181102362204722" footer="0.51181102362204722"/>
  <pageSetup paperSize="9" scale="70" orientation="landscape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0793-ADCC-4829-8D42-3194E9F2986E}">
  <sheetPr>
    <pageSetUpPr fitToPage="1"/>
  </sheetPr>
  <dimension ref="A1:AG44"/>
  <sheetViews>
    <sheetView showGridLines="0" workbookViewId="0">
      <selection activeCell="M33" sqref="M33"/>
    </sheetView>
  </sheetViews>
  <sheetFormatPr defaultColWidth="10.26953125" defaultRowHeight="13"/>
  <cols>
    <col min="1" max="1" width="8.7265625" style="59" customWidth="1"/>
    <col min="2" max="2" width="10.7265625" style="59" customWidth="1"/>
    <col min="3" max="18" width="12.7265625" style="59" customWidth="1"/>
    <col min="19" max="16384" width="10.26953125" style="59"/>
  </cols>
  <sheetData>
    <row r="1" spans="1:33" s="117" customFormat="1">
      <c r="A1" s="118" t="s">
        <v>380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1:33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spans="1:33" ht="13.5" thickBot="1">
      <c r="A3" s="110" t="s">
        <v>379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</row>
    <row r="4" spans="1:33">
      <c r="A4" s="116"/>
      <c r="B4" s="115" t="s">
        <v>378</v>
      </c>
      <c r="C4" s="113"/>
      <c r="D4" s="112"/>
      <c r="E4" s="114" t="s">
        <v>377</v>
      </c>
      <c r="F4" s="113"/>
      <c r="G4" s="113"/>
      <c r="H4" s="113"/>
      <c r="I4" s="113"/>
      <c r="J4" s="113"/>
      <c r="K4" s="112"/>
      <c r="L4" s="114" t="s">
        <v>376</v>
      </c>
      <c r="M4" s="113"/>
      <c r="N4" s="113"/>
      <c r="O4" s="113"/>
      <c r="P4" s="113"/>
      <c r="Q4" s="113"/>
      <c r="R4" s="112"/>
    </row>
    <row r="5" spans="1:33">
      <c r="A5" s="72" t="s">
        <v>375</v>
      </c>
      <c r="B5" s="111"/>
      <c r="C5" s="110"/>
      <c r="D5" s="109"/>
      <c r="E5" s="108" t="s">
        <v>374</v>
      </c>
      <c r="F5" s="106"/>
      <c r="G5" s="107" t="s">
        <v>373</v>
      </c>
      <c r="H5" s="104"/>
      <c r="I5" s="104"/>
      <c r="J5" s="104"/>
      <c r="K5" s="103"/>
      <c r="L5" s="104" t="s">
        <v>372</v>
      </c>
      <c r="M5" s="104"/>
      <c r="N5" s="104"/>
      <c r="O5" s="106"/>
      <c r="P5" s="105" t="s">
        <v>371</v>
      </c>
      <c r="Q5" s="104"/>
      <c r="R5" s="103"/>
    </row>
    <row r="6" spans="1:33">
      <c r="A6" s="102"/>
      <c r="B6" s="101" t="s">
        <v>370</v>
      </c>
      <c r="C6" s="93" t="s">
        <v>367</v>
      </c>
      <c r="D6" s="92" t="s">
        <v>369</v>
      </c>
      <c r="E6" s="97" t="s">
        <v>367</v>
      </c>
      <c r="F6" s="93" t="s">
        <v>368</v>
      </c>
      <c r="G6" s="100" t="s">
        <v>367</v>
      </c>
      <c r="H6" s="99" t="s">
        <v>366</v>
      </c>
      <c r="I6" s="95"/>
      <c r="J6" s="95"/>
      <c r="K6" s="98"/>
      <c r="L6" s="97" t="s">
        <v>364</v>
      </c>
      <c r="M6" s="96" t="s">
        <v>365</v>
      </c>
      <c r="N6" s="95"/>
      <c r="O6" s="94"/>
      <c r="P6" s="93" t="s">
        <v>364</v>
      </c>
      <c r="Q6" s="93" t="s">
        <v>363</v>
      </c>
      <c r="R6" s="92" t="s">
        <v>362</v>
      </c>
    </row>
    <row r="7" spans="1:33" ht="13.5" thickBot="1">
      <c r="A7" s="91"/>
      <c r="B7" s="90"/>
      <c r="C7" s="62"/>
      <c r="D7" s="61"/>
      <c r="E7" s="64"/>
      <c r="F7" s="62" t="s">
        <v>361</v>
      </c>
      <c r="G7" s="89"/>
      <c r="H7" s="88" t="s">
        <v>360</v>
      </c>
      <c r="I7" s="88" t="s">
        <v>359</v>
      </c>
      <c r="J7" s="88" t="s">
        <v>358</v>
      </c>
      <c r="K7" s="87" t="s">
        <v>357</v>
      </c>
      <c r="L7" s="63" t="s">
        <v>353</v>
      </c>
      <c r="M7" s="86" t="s">
        <v>356</v>
      </c>
      <c r="N7" s="86" t="s">
        <v>355</v>
      </c>
      <c r="O7" s="86" t="s">
        <v>354</v>
      </c>
      <c r="P7" s="62" t="s">
        <v>353</v>
      </c>
      <c r="Q7" s="62" t="s">
        <v>352</v>
      </c>
      <c r="R7" s="61" t="s">
        <v>351</v>
      </c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>
      <c r="A8" s="84"/>
      <c r="B8" s="75"/>
      <c r="C8" s="78"/>
      <c r="D8" s="83"/>
      <c r="E8" s="82"/>
      <c r="F8" s="78"/>
      <c r="G8" s="78"/>
      <c r="H8" s="81"/>
      <c r="I8" s="81"/>
      <c r="J8" s="81"/>
      <c r="K8" s="80"/>
      <c r="L8" s="79"/>
      <c r="M8" s="78"/>
      <c r="N8" s="78"/>
      <c r="O8" s="78"/>
      <c r="P8" s="78"/>
      <c r="Q8" s="78"/>
      <c r="R8" s="77"/>
    </row>
    <row r="9" spans="1:33" ht="20.5">
      <c r="A9" s="72">
        <v>1947</v>
      </c>
      <c r="B9" s="76" t="s">
        <v>350</v>
      </c>
      <c r="C9" s="68" t="s">
        <v>316</v>
      </c>
      <c r="D9" s="67" t="s">
        <v>348</v>
      </c>
      <c r="E9" s="69" t="s">
        <v>349</v>
      </c>
      <c r="F9" s="68" t="s">
        <v>237</v>
      </c>
      <c r="G9" s="68" t="s">
        <v>316</v>
      </c>
      <c r="H9" s="68" t="s">
        <v>296</v>
      </c>
      <c r="I9" s="68" t="s">
        <v>292</v>
      </c>
      <c r="J9" s="70" t="s">
        <v>244</v>
      </c>
      <c r="K9" s="67" t="s">
        <v>346</v>
      </c>
      <c r="L9" s="73" t="s">
        <v>334</v>
      </c>
      <c r="M9" s="68" t="s">
        <v>347</v>
      </c>
      <c r="N9" s="68" t="s">
        <v>344</v>
      </c>
      <c r="O9" s="68" t="s">
        <v>344</v>
      </c>
      <c r="P9" s="68" t="s">
        <v>317</v>
      </c>
      <c r="Q9" s="68" t="s">
        <v>318</v>
      </c>
      <c r="R9" s="74" t="s">
        <v>244</v>
      </c>
    </row>
    <row r="10" spans="1:33" ht="15.5">
      <c r="A10" s="72">
        <v>1948</v>
      </c>
      <c r="B10" s="71"/>
      <c r="C10" s="68" t="s">
        <v>316</v>
      </c>
      <c r="D10" s="67" t="s">
        <v>348</v>
      </c>
      <c r="E10" s="69" t="s">
        <v>349</v>
      </c>
      <c r="F10" s="68" t="s">
        <v>237</v>
      </c>
      <c r="G10" s="68" t="s">
        <v>296</v>
      </c>
      <c r="H10" s="68" t="s">
        <v>296</v>
      </c>
      <c r="I10" s="68" t="s">
        <v>292</v>
      </c>
      <c r="J10" s="70" t="s">
        <v>244</v>
      </c>
      <c r="K10" s="67" t="s">
        <v>346</v>
      </c>
      <c r="L10" s="73" t="s">
        <v>334</v>
      </c>
      <c r="M10" s="68" t="s">
        <v>347</v>
      </c>
      <c r="N10" s="68" t="s">
        <v>342</v>
      </c>
      <c r="O10" s="68" t="s">
        <v>342</v>
      </c>
      <c r="P10" s="68" t="s">
        <v>317</v>
      </c>
      <c r="Q10" s="68" t="s">
        <v>318</v>
      </c>
      <c r="R10" s="74" t="s">
        <v>244</v>
      </c>
    </row>
    <row r="11" spans="1:33" ht="15.5">
      <c r="A11" s="72">
        <v>1949</v>
      </c>
      <c r="B11" s="75"/>
      <c r="C11" s="68" t="s">
        <v>316</v>
      </c>
      <c r="D11" s="67" t="s">
        <v>348</v>
      </c>
      <c r="E11" s="69" t="s">
        <v>303</v>
      </c>
      <c r="F11" s="68" t="s">
        <v>237</v>
      </c>
      <c r="G11" s="68" t="s">
        <v>296</v>
      </c>
      <c r="H11" s="68" t="s">
        <v>296</v>
      </c>
      <c r="I11" s="68" t="s">
        <v>292</v>
      </c>
      <c r="J11" s="70" t="s">
        <v>244</v>
      </c>
      <c r="K11" s="67" t="s">
        <v>346</v>
      </c>
      <c r="L11" s="73" t="s">
        <v>334</v>
      </c>
      <c r="M11" s="68" t="s">
        <v>347</v>
      </c>
      <c r="N11" s="68" t="s">
        <v>342</v>
      </c>
      <c r="O11" s="68" t="s">
        <v>342</v>
      </c>
      <c r="P11" s="68" t="s">
        <v>317</v>
      </c>
      <c r="Q11" s="68" t="s">
        <v>318</v>
      </c>
      <c r="R11" s="74" t="s">
        <v>244</v>
      </c>
    </row>
    <row r="12" spans="1:33" ht="15.5">
      <c r="A12" s="72">
        <v>1950</v>
      </c>
      <c r="B12" s="75"/>
      <c r="C12" s="68" t="s">
        <v>306</v>
      </c>
      <c r="D12" s="67" t="s">
        <v>319</v>
      </c>
      <c r="E12" s="69" t="s">
        <v>303</v>
      </c>
      <c r="F12" s="68" t="s">
        <v>343</v>
      </c>
      <c r="G12" s="68" t="s">
        <v>296</v>
      </c>
      <c r="H12" s="68" t="s">
        <v>324</v>
      </c>
      <c r="I12" s="68" t="s">
        <v>292</v>
      </c>
      <c r="J12" s="70" t="s">
        <v>244</v>
      </c>
      <c r="K12" s="67" t="s">
        <v>346</v>
      </c>
      <c r="L12" s="73" t="s">
        <v>334</v>
      </c>
      <c r="M12" s="68" t="s">
        <v>345</v>
      </c>
      <c r="N12" s="68" t="s">
        <v>342</v>
      </c>
      <c r="O12" s="68" t="s">
        <v>340</v>
      </c>
      <c r="P12" s="68" t="s">
        <v>317</v>
      </c>
      <c r="Q12" s="68" t="s">
        <v>318</v>
      </c>
      <c r="R12" s="74" t="s">
        <v>244</v>
      </c>
    </row>
    <row r="13" spans="1:33" ht="15.5">
      <c r="A13" s="72">
        <v>1951</v>
      </c>
      <c r="B13" s="75"/>
      <c r="C13" s="68" t="s">
        <v>306</v>
      </c>
      <c r="D13" s="67" t="s">
        <v>319</v>
      </c>
      <c r="E13" s="69" t="s">
        <v>303</v>
      </c>
      <c r="F13" s="68" t="s">
        <v>343</v>
      </c>
      <c r="G13" s="68" t="s">
        <v>296</v>
      </c>
      <c r="H13" s="68" t="s">
        <v>324</v>
      </c>
      <c r="I13" s="68" t="s">
        <v>330</v>
      </c>
      <c r="J13" s="70" t="s">
        <v>244</v>
      </c>
      <c r="K13" s="67" t="s">
        <v>295</v>
      </c>
      <c r="L13" s="73" t="s">
        <v>334</v>
      </c>
      <c r="M13" s="68" t="s">
        <v>345</v>
      </c>
      <c r="N13" s="68" t="s">
        <v>342</v>
      </c>
      <c r="O13" s="68" t="s">
        <v>340</v>
      </c>
      <c r="P13" s="68" t="s">
        <v>317</v>
      </c>
      <c r="Q13" s="68" t="s">
        <v>318</v>
      </c>
      <c r="R13" s="74" t="s">
        <v>244</v>
      </c>
    </row>
    <row r="14" spans="1:33" ht="15.5">
      <c r="A14" s="72">
        <v>1952</v>
      </c>
      <c r="B14" s="75"/>
      <c r="C14" s="68" t="s">
        <v>306</v>
      </c>
      <c r="D14" s="67" t="s">
        <v>319</v>
      </c>
      <c r="E14" s="69" t="s">
        <v>237</v>
      </c>
      <c r="F14" s="68" t="s">
        <v>343</v>
      </c>
      <c r="G14" s="68" t="s">
        <v>296</v>
      </c>
      <c r="H14" s="68" t="s">
        <v>324</v>
      </c>
      <c r="I14" s="68" t="s">
        <v>330</v>
      </c>
      <c r="J14" s="70" t="s">
        <v>244</v>
      </c>
      <c r="K14" s="67" t="s">
        <v>295</v>
      </c>
      <c r="L14" s="73" t="s">
        <v>334</v>
      </c>
      <c r="M14" s="68" t="s">
        <v>344</v>
      </c>
      <c r="N14" s="68" t="s">
        <v>341</v>
      </c>
      <c r="O14" s="68" t="s">
        <v>341</v>
      </c>
      <c r="P14" s="68" t="s">
        <v>317</v>
      </c>
      <c r="Q14" s="68" t="s">
        <v>318</v>
      </c>
      <c r="R14" s="74" t="s">
        <v>244</v>
      </c>
    </row>
    <row r="15" spans="1:33" ht="15.5">
      <c r="A15" s="72">
        <v>1953</v>
      </c>
      <c r="B15" s="75"/>
      <c r="C15" s="68" t="s">
        <v>306</v>
      </c>
      <c r="D15" s="67" t="s">
        <v>319</v>
      </c>
      <c r="E15" s="69" t="s">
        <v>331</v>
      </c>
      <c r="F15" s="68" t="s">
        <v>343</v>
      </c>
      <c r="G15" s="68" t="s">
        <v>296</v>
      </c>
      <c r="H15" s="68" t="s">
        <v>324</v>
      </c>
      <c r="I15" s="68" t="s">
        <v>330</v>
      </c>
      <c r="J15" s="70" t="s">
        <v>244</v>
      </c>
      <c r="K15" s="67" t="s">
        <v>295</v>
      </c>
      <c r="L15" s="73" t="s">
        <v>334</v>
      </c>
      <c r="M15" s="68" t="s">
        <v>342</v>
      </c>
      <c r="N15" s="68" t="s">
        <v>341</v>
      </c>
      <c r="O15" s="68" t="s">
        <v>341</v>
      </c>
      <c r="P15" s="68" t="s">
        <v>317</v>
      </c>
      <c r="Q15" s="68" t="s">
        <v>318</v>
      </c>
      <c r="R15" s="74" t="s">
        <v>244</v>
      </c>
    </row>
    <row r="16" spans="1:33" ht="15.5">
      <c r="A16" s="72">
        <v>1954</v>
      </c>
      <c r="B16" s="75"/>
      <c r="C16" s="68" t="s">
        <v>306</v>
      </c>
      <c r="D16" s="67" t="s">
        <v>319</v>
      </c>
      <c r="E16" s="69" t="s">
        <v>331</v>
      </c>
      <c r="F16" s="68" t="s">
        <v>237</v>
      </c>
      <c r="G16" s="68" t="s">
        <v>296</v>
      </c>
      <c r="H16" s="68" t="s">
        <v>324</v>
      </c>
      <c r="I16" s="68" t="s">
        <v>330</v>
      </c>
      <c r="J16" s="70" t="s">
        <v>244</v>
      </c>
      <c r="K16" s="67" t="s">
        <v>295</v>
      </c>
      <c r="L16" s="73" t="s">
        <v>334</v>
      </c>
      <c r="M16" s="68" t="s">
        <v>342</v>
      </c>
      <c r="N16" s="68" t="s">
        <v>341</v>
      </c>
      <c r="O16" s="68" t="s">
        <v>341</v>
      </c>
      <c r="P16" s="68" t="s">
        <v>317</v>
      </c>
      <c r="Q16" s="68" t="s">
        <v>318</v>
      </c>
      <c r="R16" s="74" t="s">
        <v>244</v>
      </c>
    </row>
    <row r="17" spans="1:18" ht="15.5">
      <c r="A17" s="72">
        <v>1955</v>
      </c>
      <c r="B17" s="75"/>
      <c r="C17" s="68" t="s">
        <v>306</v>
      </c>
      <c r="D17" s="67" t="s">
        <v>319</v>
      </c>
      <c r="E17" s="69" t="s">
        <v>331</v>
      </c>
      <c r="F17" s="68" t="s">
        <v>237</v>
      </c>
      <c r="G17" s="68" t="s">
        <v>296</v>
      </c>
      <c r="H17" s="68" t="s">
        <v>324</v>
      </c>
      <c r="I17" s="68" t="s">
        <v>330</v>
      </c>
      <c r="J17" s="70" t="s">
        <v>244</v>
      </c>
      <c r="K17" s="67" t="s">
        <v>295</v>
      </c>
      <c r="L17" s="73" t="s">
        <v>334</v>
      </c>
      <c r="M17" s="68" t="s">
        <v>342</v>
      </c>
      <c r="N17" s="68" t="s">
        <v>341</v>
      </c>
      <c r="O17" s="68" t="s">
        <v>341</v>
      </c>
      <c r="P17" s="68" t="s">
        <v>317</v>
      </c>
      <c r="Q17" s="68" t="s">
        <v>318</v>
      </c>
      <c r="R17" s="74" t="s">
        <v>244</v>
      </c>
    </row>
    <row r="18" spans="1:18" ht="15.5">
      <c r="A18" s="72">
        <v>1956</v>
      </c>
      <c r="B18" s="75"/>
      <c r="C18" s="68" t="s">
        <v>306</v>
      </c>
      <c r="D18" s="67" t="s">
        <v>319</v>
      </c>
      <c r="E18" s="69" t="s">
        <v>331</v>
      </c>
      <c r="F18" s="68" t="s">
        <v>237</v>
      </c>
      <c r="G18" s="68" t="s">
        <v>296</v>
      </c>
      <c r="H18" s="68" t="s">
        <v>324</v>
      </c>
      <c r="I18" s="68" t="s">
        <v>330</v>
      </c>
      <c r="J18" s="70" t="s">
        <v>244</v>
      </c>
      <c r="K18" s="67" t="s">
        <v>295</v>
      </c>
      <c r="L18" s="73" t="s">
        <v>334</v>
      </c>
      <c r="M18" s="68" t="s">
        <v>340</v>
      </c>
      <c r="N18" s="68" t="s">
        <v>335</v>
      </c>
      <c r="O18" s="68" t="s">
        <v>335</v>
      </c>
      <c r="P18" s="68" t="s">
        <v>317</v>
      </c>
      <c r="Q18" s="68" t="s">
        <v>318</v>
      </c>
      <c r="R18" s="74" t="s">
        <v>244</v>
      </c>
    </row>
    <row r="19" spans="1:18" ht="15.5">
      <c r="A19" s="72">
        <v>1957</v>
      </c>
      <c r="B19" s="75"/>
      <c r="C19" s="68" t="s">
        <v>306</v>
      </c>
      <c r="D19" s="67" t="s">
        <v>319</v>
      </c>
      <c r="E19" s="69" t="s">
        <v>331</v>
      </c>
      <c r="F19" s="68" t="s">
        <v>237</v>
      </c>
      <c r="G19" s="68" t="s">
        <v>296</v>
      </c>
      <c r="H19" s="68" t="s">
        <v>324</v>
      </c>
      <c r="I19" s="68" t="s">
        <v>330</v>
      </c>
      <c r="J19" s="70" t="s">
        <v>244</v>
      </c>
      <c r="K19" s="67" t="s">
        <v>295</v>
      </c>
      <c r="L19" s="73" t="s">
        <v>334</v>
      </c>
      <c r="M19" s="68" t="s">
        <v>340</v>
      </c>
      <c r="N19" s="68" t="s">
        <v>335</v>
      </c>
      <c r="O19" s="68" t="s">
        <v>335</v>
      </c>
      <c r="P19" s="68" t="s">
        <v>317</v>
      </c>
      <c r="Q19" s="68" t="s">
        <v>318</v>
      </c>
      <c r="R19" s="74" t="s">
        <v>244</v>
      </c>
    </row>
    <row r="20" spans="1:18" ht="15.5">
      <c r="A20" s="72">
        <v>1958</v>
      </c>
      <c r="B20" s="75"/>
      <c r="C20" s="68" t="s">
        <v>306</v>
      </c>
      <c r="D20" s="67" t="s">
        <v>319</v>
      </c>
      <c r="E20" s="69" t="s">
        <v>331</v>
      </c>
      <c r="F20" s="68" t="s">
        <v>237</v>
      </c>
      <c r="G20" s="68" t="s">
        <v>296</v>
      </c>
      <c r="H20" s="68" t="s">
        <v>324</v>
      </c>
      <c r="I20" s="68" t="s">
        <v>330</v>
      </c>
      <c r="J20" s="70" t="s">
        <v>244</v>
      </c>
      <c r="K20" s="67" t="s">
        <v>295</v>
      </c>
      <c r="L20" s="73" t="s">
        <v>334</v>
      </c>
      <c r="M20" s="68" t="s">
        <v>339</v>
      </c>
      <c r="N20" s="68" t="s">
        <v>338</v>
      </c>
      <c r="O20" s="68" t="s">
        <v>264</v>
      </c>
      <c r="P20" s="68" t="s">
        <v>317</v>
      </c>
      <c r="Q20" s="68" t="s">
        <v>318</v>
      </c>
      <c r="R20" s="74" t="s">
        <v>244</v>
      </c>
    </row>
    <row r="21" spans="1:18" ht="15.5">
      <c r="A21" s="72">
        <v>1959</v>
      </c>
      <c r="B21" s="75"/>
      <c r="C21" s="68" t="s">
        <v>306</v>
      </c>
      <c r="D21" s="67" t="s">
        <v>319</v>
      </c>
      <c r="E21" s="69" t="s">
        <v>331</v>
      </c>
      <c r="F21" s="68" t="s">
        <v>237</v>
      </c>
      <c r="G21" s="68" t="s">
        <v>296</v>
      </c>
      <c r="H21" s="68" t="s">
        <v>324</v>
      </c>
      <c r="I21" s="68" t="s">
        <v>330</v>
      </c>
      <c r="J21" s="70" t="s">
        <v>244</v>
      </c>
      <c r="K21" s="67" t="s">
        <v>295</v>
      </c>
      <c r="L21" s="73" t="s">
        <v>334</v>
      </c>
      <c r="M21" s="68" t="s">
        <v>337</v>
      </c>
      <c r="N21" s="68" t="s">
        <v>335</v>
      </c>
      <c r="O21" s="68" t="s">
        <v>264</v>
      </c>
      <c r="P21" s="68" t="s">
        <v>317</v>
      </c>
      <c r="Q21" s="68" t="s">
        <v>318</v>
      </c>
      <c r="R21" s="74" t="s">
        <v>244</v>
      </c>
    </row>
    <row r="22" spans="1:18" ht="15.5">
      <c r="A22" s="72">
        <v>1960</v>
      </c>
      <c r="B22" s="75"/>
      <c r="C22" s="68" t="s">
        <v>306</v>
      </c>
      <c r="D22" s="67" t="s">
        <v>319</v>
      </c>
      <c r="E22" s="69" t="s">
        <v>332</v>
      </c>
      <c r="F22" s="68" t="s">
        <v>237</v>
      </c>
      <c r="G22" s="68" t="s">
        <v>296</v>
      </c>
      <c r="H22" s="68" t="s">
        <v>324</v>
      </c>
      <c r="I22" s="68" t="s">
        <v>330</v>
      </c>
      <c r="J22" s="70" t="s">
        <v>244</v>
      </c>
      <c r="K22" s="67" t="s">
        <v>295</v>
      </c>
      <c r="L22" s="73" t="s">
        <v>334</v>
      </c>
      <c r="M22" s="68" t="s">
        <v>336</v>
      </c>
      <c r="N22" s="68" t="s">
        <v>335</v>
      </c>
      <c r="O22" s="68" t="s">
        <v>264</v>
      </c>
      <c r="P22" s="68" t="s">
        <v>317</v>
      </c>
      <c r="Q22" s="68" t="s">
        <v>318</v>
      </c>
      <c r="R22" s="74" t="s">
        <v>244</v>
      </c>
    </row>
    <row r="23" spans="1:18" ht="15.5">
      <c r="A23" s="72">
        <v>1961</v>
      </c>
      <c r="B23" s="75"/>
      <c r="C23" s="68" t="s">
        <v>306</v>
      </c>
      <c r="D23" s="67" t="s">
        <v>319</v>
      </c>
      <c r="E23" s="69" t="s">
        <v>332</v>
      </c>
      <c r="F23" s="68" t="s">
        <v>237</v>
      </c>
      <c r="G23" s="68" t="s">
        <v>296</v>
      </c>
      <c r="H23" s="68" t="s">
        <v>324</v>
      </c>
      <c r="I23" s="68" t="s">
        <v>330</v>
      </c>
      <c r="J23" s="70" t="s">
        <v>244</v>
      </c>
      <c r="K23" s="67" t="s">
        <v>295</v>
      </c>
      <c r="L23" s="73" t="s">
        <v>334</v>
      </c>
      <c r="M23" s="68" t="s">
        <v>333</v>
      </c>
      <c r="N23" s="68" t="s">
        <v>264</v>
      </c>
      <c r="O23" s="68" t="s">
        <v>264</v>
      </c>
      <c r="P23" s="68" t="s">
        <v>317</v>
      </c>
      <c r="Q23" s="68" t="s">
        <v>318</v>
      </c>
      <c r="R23" s="74" t="s">
        <v>244</v>
      </c>
    </row>
    <row r="24" spans="1:18" ht="15.5">
      <c r="A24" s="72">
        <v>1962</v>
      </c>
      <c r="B24" s="75"/>
      <c r="C24" s="68" t="s">
        <v>306</v>
      </c>
      <c r="D24" s="67" t="s">
        <v>319</v>
      </c>
      <c r="E24" s="69" t="s">
        <v>332</v>
      </c>
      <c r="F24" s="68" t="s">
        <v>331</v>
      </c>
      <c r="G24" s="68" t="s">
        <v>296</v>
      </c>
      <c r="H24" s="68" t="s">
        <v>283</v>
      </c>
      <c r="I24" s="68" t="s">
        <v>330</v>
      </c>
      <c r="J24" s="70" t="s">
        <v>244</v>
      </c>
      <c r="K24" s="67" t="s">
        <v>295</v>
      </c>
      <c r="L24" s="73" t="s">
        <v>329</v>
      </c>
      <c r="M24" s="68" t="s">
        <v>328</v>
      </c>
      <c r="N24" s="68" t="s">
        <v>327</v>
      </c>
      <c r="O24" s="68" t="s">
        <v>327</v>
      </c>
      <c r="P24" s="68" t="s">
        <v>317</v>
      </c>
      <c r="Q24" s="68" t="s">
        <v>318</v>
      </c>
      <c r="R24" s="74" t="s">
        <v>244</v>
      </c>
    </row>
    <row r="25" spans="1:18" ht="15.5">
      <c r="A25" s="72">
        <v>1963</v>
      </c>
      <c r="B25" s="75"/>
      <c r="C25" s="68" t="s">
        <v>306</v>
      </c>
      <c r="D25" s="67" t="s">
        <v>319</v>
      </c>
      <c r="E25" s="69" t="s">
        <v>332</v>
      </c>
      <c r="F25" s="68" t="s">
        <v>331</v>
      </c>
      <c r="G25" s="68" t="s">
        <v>296</v>
      </c>
      <c r="H25" s="68" t="s">
        <v>283</v>
      </c>
      <c r="I25" s="68" t="s">
        <v>330</v>
      </c>
      <c r="J25" s="70" t="s">
        <v>244</v>
      </c>
      <c r="K25" s="67" t="s">
        <v>310</v>
      </c>
      <c r="L25" s="73" t="s">
        <v>329</v>
      </c>
      <c r="M25" s="68" t="s">
        <v>328</v>
      </c>
      <c r="N25" s="68" t="s">
        <v>327</v>
      </c>
      <c r="O25" s="68" t="s">
        <v>327</v>
      </c>
      <c r="P25" s="68" t="s">
        <v>317</v>
      </c>
      <c r="Q25" s="68" t="s">
        <v>318</v>
      </c>
      <c r="R25" s="74" t="s">
        <v>244</v>
      </c>
    </row>
    <row r="26" spans="1:18" ht="15.5">
      <c r="A26" s="72">
        <v>1964</v>
      </c>
      <c r="B26" s="75"/>
      <c r="C26" s="68" t="s">
        <v>306</v>
      </c>
      <c r="D26" s="67" t="s">
        <v>319</v>
      </c>
      <c r="E26" s="69" t="s">
        <v>332</v>
      </c>
      <c r="F26" s="68" t="s">
        <v>331</v>
      </c>
      <c r="G26" s="68" t="s">
        <v>296</v>
      </c>
      <c r="H26" s="68" t="s">
        <v>283</v>
      </c>
      <c r="I26" s="68" t="s">
        <v>330</v>
      </c>
      <c r="J26" s="70" t="s">
        <v>244</v>
      </c>
      <c r="K26" s="67" t="s">
        <v>310</v>
      </c>
      <c r="L26" s="73" t="s">
        <v>329</v>
      </c>
      <c r="M26" s="68" t="s">
        <v>328</v>
      </c>
      <c r="N26" s="68" t="s">
        <v>327</v>
      </c>
      <c r="O26" s="68" t="s">
        <v>327</v>
      </c>
      <c r="P26" s="68" t="s">
        <v>317</v>
      </c>
      <c r="Q26" s="68" t="s">
        <v>318</v>
      </c>
      <c r="R26" s="74" t="s">
        <v>244</v>
      </c>
    </row>
    <row r="27" spans="1:18" ht="15.5">
      <c r="A27" s="72">
        <v>1965</v>
      </c>
      <c r="B27" s="71" t="s">
        <v>326</v>
      </c>
      <c r="C27" s="68" t="s">
        <v>296</v>
      </c>
      <c r="D27" s="67" t="s">
        <v>316</v>
      </c>
      <c r="E27" s="69" t="s">
        <v>325</v>
      </c>
      <c r="F27" s="68" t="s">
        <v>322</v>
      </c>
      <c r="G27" s="68" t="s">
        <v>324</v>
      </c>
      <c r="H27" s="68" t="s">
        <v>283</v>
      </c>
      <c r="I27" s="68" t="s">
        <v>323</v>
      </c>
      <c r="J27" s="70" t="s">
        <v>244</v>
      </c>
      <c r="K27" s="67" t="s">
        <v>294</v>
      </c>
      <c r="L27" s="73" t="s">
        <v>320</v>
      </c>
      <c r="M27" s="68" t="s">
        <v>319</v>
      </c>
      <c r="N27" s="68" t="s">
        <v>237</v>
      </c>
      <c r="O27" s="68" t="s">
        <v>237</v>
      </c>
      <c r="P27" s="68" t="s">
        <v>317</v>
      </c>
      <c r="Q27" s="68" t="s">
        <v>318</v>
      </c>
      <c r="R27" s="74" t="s">
        <v>244</v>
      </c>
    </row>
    <row r="28" spans="1:18" ht="15.5">
      <c r="A28" s="72">
        <v>1966</v>
      </c>
      <c r="B28" s="75"/>
      <c r="C28" s="68" t="s">
        <v>296</v>
      </c>
      <c r="D28" s="67" t="s">
        <v>316</v>
      </c>
      <c r="E28" s="69" t="s">
        <v>313</v>
      </c>
      <c r="F28" s="68" t="s">
        <v>322</v>
      </c>
      <c r="G28" s="68" t="s">
        <v>266</v>
      </c>
      <c r="H28" s="68" t="s">
        <v>239</v>
      </c>
      <c r="I28" s="68" t="s">
        <v>283</v>
      </c>
      <c r="J28" s="68" t="s">
        <v>321</v>
      </c>
      <c r="K28" s="67" t="s">
        <v>311</v>
      </c>
      <c r="L28" s="73" t="s">
        <v>320</v>
      </c>
      <c r="M28" s="68" t="s">
        <v>319</v>
      </c>
      <c r="N28" s="68" t="s">
        <v>301</v>
      </c>
      <c r="O28" s="68" t="s">
        <v>301</v>
      </c>
      <c r="P28" s="68" t="s">
        <v>317</v>
      </c>
      <c r="Q28" s="68" t="s">
        <v>318</v>
      </c>
      <c r="R28" s="74" t="s">
        <v>244</v>
      </c>
    </row>
    <row r="29" spans="1:18" ht="15.5">
      <c r="A29" s="72">
        <v>1967</v>
      </c>
      <c r="B29" s="75"/>
      <c r="C29" s="68" t="s">
        <v>296</v>
      </c>
      <c r="D29" s="67" t="s">
        <v>316</v>
      </c>
      <c r="E29" s="69" t="s">
        <v>313</v>
      </c>
      <c r="F29" s="68" t="s">
        <v>312</v>
      </c>
      <c r="G29" s="68" t="s">
        <v>283</v>
      </c>
      <c r="H29" s="68" t="s">
        <v>311</v>
      </c>
      <c r="I29" s="68" t="s">
        <v>310</v>
      </c>
      <c r="J29" s="68" t="s">
        <v>309</v>
      </c>
      <c r="K29" s="67" t="s">
        <v>308</v>
      </c>
      <c r="L29" s="73" t="s">
        <v>307</v>
      </c>
      <c r="M29" s="68" t="s">
        <v>306</v>
      </c>
      <c r="N29" s="68" t="s">
        <v>303</v>
      </c>
      <c r="O29" s="68" t="s">
        <v>303</v>
      </c>
      <c r="P29" s="68" t="s">
        <v>317</v>
      </c>
      <c r="Q29" s="68" t="s">
        <v>303</v>
      </c>
      <c r="R29" s="74" t="s">
        <v>244</v>
      </c>
    </row>
    <row r="30" spans="1:18" ht="15.5">
      <c r="A30" s="72">
        <v>1968</v>
      </c>
      <c r="B30" s="75"/>
      <c r="C30" s="68" t="s">
        <v>296</v>
      </c>
      <c r="D30" s="67" t="s">
        <v>316</v>
      </c>
      <c r="E30" s="69" t="s">
        <v>313</v>
      </c>
      <c r="F30" s="68" t="s">
        <v>312</v>
      </c>
      <c r="G30" s="68" t="s">
        <v>283</v>
      </c>
      <c r="H30" s="68" t="s">
        <v>311</v>
      </c>
      <c r="I30" s="68" t="s">
        <v>310</v>
      </c>
      <c r="J30" s="68" t="s">
        <v>309</v>
      </c>
      <c r="K30" s="67" t="s">
        <v>308</v>
      </c>
      <c r="L30" s="73" t="s">
        <v>307</v>
      </c>
      <c r="M30" s="68" t="s">
        <v>306</v>
      </c>
      <c r="N30" s="68" t="s">
        <v>305</v>
      </c>
      <c r="O30" s="68" t="s">
        <v>305</v>
      </c>
      <c r="P30" s="68" t="s">
        <v>304</v>
      </c>
      <c r="Q30" s="68" t="s">
        <v>303</v>
      </c>
      <c r="R30" s="74" t="s">
        <v>244</v>
      </c>
    </row>
    <row r="31" spans="1:18" ht="15.5">
      <c r="A31" s="72">
        <v>1969</v>
      </c>
      <c r="B31" s="71" t="s">
        <v>315</v>
      </c>
      <c r="C31" s="68" t="s">
        <v>296</v>
      </c>
      <c r="D31" s="67" t="s">
        <v>314</v>
      </c>
      <c r="E31" s="69" t="s">
        <v>313</v>
      </c>
      <c r="F31" s="68" t="s">
        <v>312</v>
      </c>
      <c r="G31" s="68" t="s">
        <v>283</v>
      </c>
      <c r="H31" s="68" t="s">
        <v>311</v>
      </c>
      <c r="I31" s="68" t="s">
        <v>310</v>
      </c>
      <c r="J31" s="68" t="s">
        <v>309</v>
      </c>
      <c r="K31" s="67" t="s">
        <v>308</v>
      </c>
      <c r="L31" s="73" t="s">
        <v>307</v>
      </c>
      <c r="M31" s="68" t="s">
        <v>306</v>
      </c>
      <c r="N31" s="68" t="s">
        <v>305</v>
      </c>
      <c r="O31" s="68" t="s">
        <v>305</v>
      </c>
      <c r="P31" s="68" t="s">
        <v>304</v>
      </c>
      <c r="Q31" s="68" t="s">
        <v>303</v>
      </c>
      <c r="R31" s="74" t="s">
        <v>244</v>
      </c>
    </row>
    <row r="32" spans="1:18" ht="15.5">
      <c r="A32" s="72">
        <v>1970</v>
      </c>
      <c r="B32" s="71" t="s">
        <v>302</v>
      </c>
      <c r="C32" s="68" t="s">
        <v>266</v>
      </c>
      <c r="D32" s="67" t="s">
        <v>301</v>
      </c>
      <c r="E32" s="69" t="s">
        <v>300</v>
      </c>
      <c r="F32" s="68" t="s">
        <v>299</v>
      </c>
      <c r="G32" s="68" t="s">
        <v>273</v>
      </c>
      <c r="H32" s="68" t="s">
        <v>248</v>
      </c>
      <c r="I32" s="68" t="s">
        <v>298</v>
      </c>
      <c r="J32" s="68" t="s">
        <v>297</v>
      </c>
      <c r="K32" s="67" t="s">
        <v>297</v>
      </c>
      <c r="L32" s="73" t="s">
        <v>240</v>
      </c>
      <c r="M32" s="68" t="s">
        <v>296</v>
      </c>
      <c r="N32" s="68" t="s">
        <v>295</v>
      </c>
      <c r="O32" s="68" t="s">
        <v>295</v>
      </c>
      <c r="P32" s="68" t="s">
        <v>264</v>
      </c>
      <c r="Q32" s="68" t="s">
        <v>294</v>
      </c>
      <c r="R32" s="74" t="s">
        <v>244</v>
      </c>
    </row>
    <row r="33" spans="1:18" ht="15.5">
      <c r="A33" s="72">
        <v>1971</v>
      </c>
      <c r="B33" s="71" t="s">
        <v>293</v>
      </c>
      <c r="C33" s="68" t="s">
        <v>292</v>
      </c>
      <c r="D33" s="67" t="s">
        <v>291</v>
      </c>
      <c r="E33" s="69" t="s">
        <v>290</v>
      </c>
      <c r="F33" s="68" t="s">
        <v>290</v>
      </c>
      <c r="G33" s="68" t="s">
        <v>289</v>
      </c>
      <c r="H33" s="68" t="s">
        <v>288</v>
      </c>
      <c r="I33" s="68" t="s">
        <v>287</v>
      </c>
      <c r="J33" s="68" t="s">
        <v>286</v>
      </c>
      <c r="K33" s="67" t="s">
        <v>285</v>
      </c>
      <c r="L33" s="73" t="s">
        <v>240</v>
      </c>
      <c r="M33" s="68" t="s">
        <v>276</v>
      </c>
      <c r="N33" s="68" t="s">
        <v>275</v>
      </c>
      <c r="O33" s="68" t="s">
        <v>275</v>
      </c>
      <c r="P33" s="68" t="s">
        <v>264</v>
      </c>
      <c r="Q33" s="68" t="s">
        <v>284</v>
      </c>
      <c r="R33" s="74" t="s">
        <v>244</v>
      </c>
    </row>
    <row r="34" spans="1:18" ht="15.5">
      <c r="A34" s="72">
        <v>1972</v>
      </c>
      <c r="B34" s="71" t="s">
        <v>249</v>
      </c>
      <c r="C34" s="68" t="s">
        <v>283</v>
      </c>
      <c r="D34" s="67" t="s">
        <v>237</v>
      </c>
      <c r="E34" s="69" t="s">
        <v>282</v>
      </c>
      <c r="F34" s="68" t="s">
        <v>281</v>
      </c>
      <c r="G34" s="68" t="s">
        <v>269</v>
      </c>
      <c r="H34" s="68" t="s">
        <v>280</v>
      </c>
      <c r="I34" s="68" t="s">
        <v>279</v>
      </c>
      <c r="J34" s="68" t="s">
        <v>278</v>
      </c>
      <c r="K34" s="67" t="s">
        <v>277</v>
      </c>
      <c r="L34" s="73" t="s">
        <v>240</v>
      </c>
      <c r="M34" s="68" t="s">
        <v>276</v>
      </c>
      <c r="N34" s="68" t="s">
        <v>275</v>
      </c>
      <c r="O34" s="68" t="s">
        <v>275</v>
      </c>
      <c r="P34" s="68" t="s">
        <v>264</v>
      </c>
      <c r="Q34" s="68" t="s">
        <v>274</v>
      </c>
      <c r="R34" s="74" t="s">
        <v>244</v>
      </c>
    </row>
    <row r="35" spans="1:18">
      <c r="A35" s="72">
        <v>1973</v>
      </c>
      <c r="B35" s="71" t="s">
        <v>249</v>
      </c>
      <c r="C35" s="68" t="s">
        <v>273</v>
      </c>
      <c r="D35" s="67" t="s">
        <v>272</v>
      </c>
      <c r="E35" s="69" t="s">
        <v>271</v>
      </c>
      <c r="F35" s="68" t="s">
        <v>270</v>
      </c>
      <c r="G35" s="68" t="s">
        <v>269</v>
      </c>
      <c r="H35" s="68" t="s">
        <v>268</v>
      </c>
      <c r="I35" s="68" t="s">
        <v>267</v>
      </c>
      <c r="J35" s="68" t="s">
        <v>267</v>
      </c>
      <c r="K35" s="67" t="s">
        <v>256</v>
      </c>
      <c r="L35" s="73" t="s">
        <v>253</v>
      </c>
      <c r="M35" s="68" t="s">
        <v>266</v>
      </c>
      <c r="N35" s="68" t="s">
        <v>265</v>
      </c>
      <c r="O35" s="68" t="s">
        <v>265</v>
      </c>
      <c r="P35" s="68" t="s">
        <v>264</v>
      </c>
      <c r="Q35" s="68" t="s">
        <v>263</v>
      </c>
      <c r="R35" s="67" t="s">
        <v>262</v>
      </c>
    </row>
    <row r="36" spans="1:18">
      <c r="A36" s="72">
        <v>1974</v>
      </c>
      <c r="B36" s="71" t="s">
        <v>249</v>
      </c>
      <c r="C36" s="68" t="s">
        <v>261</v>
      </c>
      <c r="D36" s="67" t="s">
        <v>260</v>
      </c>
      <c r="E36" s="69" t="s">
        <v>259</v>
      </c>
      <c r="F36" s="68" t="s">
        <v>259</v>
      </c>
      <c r="G36" s="68" t="s">
        <v>258</v>
      </c>
      <c r="H36" s="68" t="s">
        <v>257</v>
      </c>
      <c r="I36" s="68" t="s">
        <v>256</v>
      </c>
      <c r="J36" s="68" t="s">
        <v>255</v>
      </c>
      <c r="K36" s="67" t="s">
        <v>254</v>
      </c>
      <c r="L36" s="73" t="s">
        <v>253</v>
      </c>
      <c r="M36" s="68" t="s">
        <v>239</v>
      </c>
      <c r="N36" s="68" t="s">
        <v>252</v>
      </c>
      <c r="O36" s="68" t="s">
        <v>252</v>
      </c>
      <c r="P36" s="68" t="s">
        <v>251</v>
      </c>
      <c r="Q36" s="68" t="s">
        <v>236</v>
      </c>
      <c r="R36" s="67" t="s">
        <v>250</v>
      </c>
    </row>
    <row r="37" spans="1:18" ht="15.5">
      <c r="A37" s="72">
        <v>1975</v>
      </c>
      <c r="B37" s="71" t="s">
        <v>249</v>
      </c>
      <c r="C37" s="68" t="s">
        <v>248</v>
      </c>
      <c r="D37" s="67" t="s">
        <v>248</v>
      </c>
      <c r="E37" s="69" t="s">
        <v>247</v>
      </c>
      <c r="F37" s="68" t="s">
        <v>246</v>
      </c>
      <c r="G37" s="68" t="s">
        <v>245</v>
      </c>
      <c r="H37" s="70" t="s">
        <v>244</v>
      </c>
      <c r="I37" s="68" t="s">
        <v>243</v>
      </c>
      <c r="J37" s="68" t="s">
        <v>242</v>
      </c>
      <c r="K37" s="67" t="s">
        <v>241</v>
      </c>
      <c r="L37" s="69" t="s">
        <v>240</v>
      </c>
      <c r="M37" s="68" t="s">
        <v>239</v>
      </c>
      <c r="N37" s="68" t="s">
        <v>238</v>
      </c>
      <c r="O37" s="68" t="s">
        <v>238</v>
      </c>
      <c r="P37" s="68" t="s">
        <v>237</v>
      </c>
      <c r="Q37" s="68" t="s">
        <v>236</v>
      </c>
      <c r="R37" s="67" t="s">
        <v>235</v>
      </c>
    </row>
    <row r="38" spans="1:18" ht="13.5" thickBot="1">
      <c r="A38" s="66"/>
      <c r="B38" s="65"/>
      <c r="C38" s="62"/>
      <c r="D38" s="61"/>
      <c r="E38" s="64"/>
      <c r="F38" s="62"/>
      <c r="G38" s="62"/>
      <c r="H38" s="62"/>
      <c r="I38" s="62"/>
      <c r="J38" s="62"/>
      <c r="K38" s="61"/>
      <c r="L38" s="63"/>
      <c r="M38" s="62"/>
      <c r="N38" s="62"/>
      <c r="O38" s="62"/>
      <c r="P38" s="62"/>
      <c r="Q38" s="62"/>
      <c r="R38" s="61"/>
    </row>
    <row r="40" spans="1:18">
      <c r="A40" s="60" t="s">
        <v>234</v>
      </c>
    </row>
    <row r="41" spans="1:18">
      <c r="A41" s="59" t="s">
        <v>233</v>
      </c>
    </row>
    <row r="42" spans="1:18">
      <c r="A42" s="59" t="s">
        <v>232</v>
      </c>
    </row>
    <row r="43" spans="1:18">
      <c r="A43" s="60" t="s">
        <v>231</v>
      </c>
    </row>
    <row r="44" spans="1:18">
      <c r="A44" s="59" t="s">
        <v>230</v>
      </c>
    </row>
  </sheetData>
  <printOptions horizontalCentered="1" verticalCentered="1"/>
  <pageMargins left="0" right="0" top="0" bottom="0" header="0" footer="0"/>
  <pageSetup paperSize="9" scale="66" orientation="landscape" horizontalDpi="300" verticalDpi="300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6D16-B409-45B9-B48F-3BB6BFB88990}">
  <sheetPr>
    <pageSetUpPr fitToPage="1"/>
  </sheetPr>
  <dimension ref="A1:Q58"/>
  <sheetViews>
    <sheetView showGridLines="0" workbookViewId="0">
      <selection activeCell="G55" sqref="G55"/>
    </sheetView>
  </sheetViews>
  <sheetFormatPr defaultColWidth="9.1796875" defaultRowHeight="10.5" customHeight="1"/>
  <cols>
    <col min="1" max="1" width="10.54296875" style="121" customWidth="1"/>
    <col min="2" max="2" width="6.7265625" style="120" customWidth="1"/>
    <col min="3" max="17" width="12.7265625" style="120" customWidth="1"/>
    <col min="18" max="18" width="10.7265625" style="120" customWidth="1"/>
    <col min="19" max="256" width="9.1796875" style="120"/>
    <col min="257" max="257" width="10.54296875" style="120" customWidth="1"/>
    <col min="258" max="258" width="6.7265625" style="120" customWidth="1"/>
    <col min="259" max="273" width="12.7265625" style="120" customWidth="1"/>
    <col min="274" max="274" width="10.7265625" style="120" customWidth="1"/>
    <col min="275" max="512" width="9.1796875" style="120"/>
    <col min="513" max="513" width="10.54296875" style="120" customWidth="1"/>
    <col min="514" max="514" width="6.7265625" style="120" customWidth="1"/>
    <col min="515" max="529" width="12.7265625" style="120" customWidth="1"/>
    <col min="530" max="530" width="10.7265625" style="120" customWidth="1"/>
    <col min="531" max="768" width="9.1796875" style="120"/>
    <col min="769" max="769" width="10.54296875" style="120" customWidth="1"/>
    <col min="770" max="770" width="6.7265625" style="120" customWidth="1"/>
    <col min="771" max="785" width="12.7265625" style="120" customWidth="1"/>
    <col min="786" max="786" width="10.7265625" style="120" customWidth="1"/>
    <col min="787" max="1024" width="9.1796875" style="120"/>
    <col min="1025" max="1025" width="10.54296875" style="120" customWidth="1"/>
    <col min="1026" max="1026" width="6.7265625" style="120" customWidth="1"/>
    <col min="1027" max="1041" width="12.7265625" style="120" customWidth="1"/>
    <col min="1042" max="1042" width="10.7265625" style="120" customWidth="1"/>
    <col min="1043" max="1280" width="9.1796875" style="120"/>
    <col min="1281" max="1281" width="10.54296875" style="120" customWidth="1"/>
    <col min="1282" max="1282" width="6.7265625" style="120" customWidth="1"/>
    <col min="1283" max="1297" width="12.7265625" style="120" customWidth="1"/>
    <col min="1298" max="1298" width="10.7265625" style="120" customWidth="1"/>
    <col min="1299" max="1536" width="9.1796875" style="120"/>
    <col min="1537" max="1537" width="10.54296875" style="120" customWidth="1"/>
    <col min="1538" max="1538" width="6.7265625" style="120" customWidth="1"/>
    <col min="1539" max="1553" width="12.7265625" style="120" customWidth="1"/>
    <col min="1554" max="1554" width="10.7265625" style="120" customWidth="1"/>
    <col min="1555" max="1792" width="9.1796875" style="120"/>
    <col min="1793" max="1793" width="10.54296875" style="120" customWidth="1"/>
    <col min="1794" max="1794" width="6.7265625" style="120" customWidth="1"/>
    <col min="1795" max="1809" width="12.7265625" style="120" customWidth="1"/>
    <col min="1810" max="1810" width="10.7265625" style="120" customWidth="1"/>
    <col min="1811" max="2048" width="9.1796875" style="120"/>
    <col min="2049" max="2049" width="10.54296875" style="120" customWidth="1"/>
    <col min="2050" max="2050" width="6.7265625" style="120" customWidth="1"/>
    <col min="2051" max="2065" width="12.7265625" style="120" customWidth="1"/>
    <col min="2066" max="2066" width="10.7265625" style="120" customWidth="1"/>
    <col min="2067" max="2304" width="9.1796875" style="120"/>
    <col min="2305" max="2305" width="10.54296875" style="120" customWidth="1"/>
    <col min="2306" max="2306" width="6.7265625" style="120" customWidth="1"/>
    <col min="2307" max="2321" width="12.7265625" style="120" customWidth="1"/>
    <col min="2322" max="2322" width="10.7265625" style="120" customWidth="1"/>
    <col min="2323" max="2560" width="9.1796875" style="120"/>
    <col min="2561" max="2561" width="10.54296875" style="120" customWidth="1"/>
    <col min="2562" max="2562" width="6.7265625" style="120" customWidth="1"/>
    <col min="2563" max="2577" width="12.7265625" style="120" customWidth="1"/>
    <col min="2578" max="2578" width="10.7265625" style="120" customWidth="1"/>
    <col min="2579" max="2816" width="9.1796875" style="120"/>
    <col min="2817" max="2817" width="10.54296875" style="120" customWidth="1"/>
    <col min="2818" max="2818" width="6.7265625" style="120" customWidth="1"/>
    <col min="2819" max="2833" width="12.7265625" style="120" customWidth="1"/>
    <col min="2834" max="2834" width="10.7265625" style="120" customWidth="1"/>
    <col min="2835" max="3072" width="9.1796875" style="120"/>
    <col min="3073" max="3073" width="10.54296875" style="120" customWidth="1"/>
    <col min="3074" max="3074" width="6.7265625" style="120" customWidth="1"/>
    <col min="3075" max="3089" width="12.7265625" style="120" customWidth="1"/>
    <col min="3090" max="3090" width="10.7265625" style="120" customWidth="1"/>
    <col min="3091" max="3328" width="9.1796875" style="120"/>
    <col min="3329" max="3329" width="10.54296875" style="120" customWidth="1"/>
    <col min="3330" max="3330" width="6.7265625" style="120" customWidth="1"/>
    <col min="3331" max="3345" width="12.7265625" style="120" customWidth="1"/>
    <col min="3346" max="3346" width="10.7265625" style="120" customWidth="1"/>
    <col min="3347" max="3584" width="9.1796875" style="120"/>
    <col min="3585" max="3585" width="10.54296875" style="120" customWidth="1"/>
    <col min="3586" max="3586" width="6.7265625" style="120" customWidth="1"/>
    <col min="3587" max="3601" width="12.7265625" style="120" customWidth="1"/>
    <col min="3602" max="3602" width="10.7265625" style="120" customWidth="1"/>
    <col min="3603" max="3840" width="9.1796875" style="120"/>
    <col min="3841" max="3841" width="10.54296875" style="120" customWidth="1"/>
    <col min="3842" max="3842" width="6.7265625" style="120" customWidth="1"/>
    <col min="3843" max="3857" width="12.7265625" style="120" customWidth="1"/>
    <col min="3858" max="3858" width="10.7265625" style="120" customWidth="1"/>
    <col min="3859" max="4096" width="9.1796875" style="120"/>
    <col min="4097" max="4097" width="10.54296875" style="120" customWidth="1"/>
    <col min="4098" max="4098" width="6.7265625" style="120" customWidth="1"/>
    <col min="4099" max="4113" width="12.7265625" style="120" customWidth="1"/>
    <col min="4114" max="4114" width="10.7265625" style="120" customWidth="1"/>
    <col min="4115" max="4352" width="9.1796875" style="120"/>
    <col min="4353" max="4353" width="10.54296875" style="120" customWidth="1"/>
    <col min="4354" max="4354" width="6.7265625" style="120" customWidth="1"/>
    <col min="4355" max="4369" width="12.7265625" style="120" customWidth="1"/>
    <col min="4370" max="4370" width="10.7265625" style="120" customWidth="1"/>
    <col min="4371" max="4608" width="9.1796875" style="120"/>
    <col min="4609" max="4609" width="10.54296875" style="120" customWidth="1"/>
    <col min="4610" max="4610" width="6.7265625" style="120" customWidth="1"/>
    <col min="4611" max="4625" width="12.7265625" style="120" customWidth="1"/>
    <col min="4626" max="4626" width="10.7265625" style="120" customWidth="1"/>
    <col min="4627" max="4864" width="9.1796875" style="120"/>
    <col min="4865" max="4865" width="10.54296875" style="120" customWidth="1"/>
    <col min="4866" max="4866" width="6.7265625" style="120" customWidth="1"/>
    <col min="4867" max="4881" width="12.7265625" style="120" customWidth="1"/>
    <col min="4882" max="4882" width="10.7265625" style="120" customWidth="1"/>
    <col min="4883" max="5120" width="9.1796875" style="120"/>
    <col min="5121" max="5121" width="10.54296875" style="120" customWidth="1"/>
    <col min="5122" max="5122" width="6.7265625" style="120" customWidth="1"/>
    <col min="5123" max="5137" width="12.7265625" style="120" customWidth="1"/>
    <col min="5138" max="5138" width="10.7265625" style="120" customWidth="1"/>
    <col min="5139" max="5376" width="9.1796875" style="120"/>
    <col min="5377" max="5377" width="10.54296875" style="120" customWidth="1"/>
    <col min="5378" max="5378" width="6.7265625" style="120" customWidth="1"/>
    <col min="5379" max="5393" width="12.7265625" style="120" customWidth="1"/>
    <col min="5394" max="5394" width="10.7265625" style="120" customWidth="1"/>
    <col min="5395" max="5632" width="9.1796875" style="120"/>
    <col min="5633" max="5633" width="10.54296875" style="120" customWidth="1"/>
    <col min="5634" max="5634" width="6.7265625" style="120" customWidth="1"/>
    <col min="5635" max="5649" width="12.7265625" style="120" customWidth="1"/>
    <col min="5650" max="5650" width="10.7265625" style="120" customWidth="1"/>
    <col min="5651" max="5888" width="9.1796875" style="120"/>
    <col min="5889" max="5889" width="10.54296875" style="120" customWidth="1"/>
    <col min="5890" max="5890" width="6.7265625" style="120" customWidth="1"/>
    <col min="5891" max="5905" width="12.7265625" style="120" customWidth="1"/>
    <col min="5906" max="5906" width="10.7265625" style="120" customWidth="1"/>
    <col min="5907" max="6144" width="9.1796875" style="120"/>
    <col min="6145" max="6145" width="10.54296875" style="120" customWidth="1"/>
    <col min="6146" max="6146" width="6.7265625" style="120" customWidth="1"/>
    <col min="6147" max="6161" width="12.7265625" style="120" customWidth="1"/>
    <col min="6162" max="6162" width="10.7265625" style="120" customWidth="1"/>
    <col min="6163" max="6400" width="9.1796875" style="120"/>
    <col min="6401" max="6401" width="10.54296875" style="120" customWidth="1"/>
    <col min="6402" max="6402" width="6.7265625" style="120" customWidth="1"/>
    <col min="6403" max="6417" width="12.7265625" style="120" customWidth="1"/>
    <col min="6418" max="6418" width="10.7265625" style="120" customWidth="1"/>
    <col min="6419" max="6656" width="9.1796875" style="120"/>
    <col min="6657" max="6657" width="10.54296875" style="120" customWidth="1"/>
    <col min="6658" max="6658" width="6.7265625" style="120" customWidth="1"/>
    <col min="6659" max="6673" width="12.7265625" style="120" customWidth="1"/>
    <col min="6674" max="6674" width="10.7265625" style="120" customWidth="1"/>
    <col min="6675" max="6912" width="9.1796875" style="120"/>
    <col min="6913" max="6913" width="10.54296875" style="120" customWidth="1"/>
    <col min="6914" max="6914" width="6.7265625" style="120" customWidth="1"/>
    <col min="6915" max="6929" width="12.7265625" style="120" customWidth="1"/>
    <col min="6930" max="6930" width="10.7265625" style="120" customWidth="1"/>
    <col min="6931" max="7168" width="9.1796875" style="120"/>
    <col min="7169" max="7169" width="10.54296875" style="120" customWidth="1"/>
    <col min="7170" max="7170" width="6.7265625" style="120" customWidth="1"/>
    <col min="7171" max="7185" width="12.7265625" style="120" customWidth="1"/>
    <col min="7186" max="7186" width="10.7265625" style="120" customWidth="1"/>
    <col min="7187" max="7424" width="9.1796875" style="120"/>
    <col min="7425" max="7425" width="10.54296875" style="120" customWidth="1"/>
    <col min="7426" max="7426" width="6.7265625" style="120" customWidth="1"/>
    <col min="7427" max="7441" width="12.7265625" style="120" customWidth="1"/>
    <col min="7442" max="7442" width="10.7265625" style="120" customWidth="1"/>
    <col min="7443" max="7680" width="9.1796875" style="120"/>
    <col min="7681" max="7681" width="10.54296875" style="120" customWidth="1"/>
    <col min="7682" max="7682" width="6.7265625" style="120" customWidth="1"/>
    <col min="7683" max="7697" width="12.7265625" style="120" customWidth="1"/>
    <col min="7698" max="7698" width="10.7265625" style="120" customWidth="1"/>
    <col min="7699" max="7936" width="9.1796875" style="120"/>
    <col min="7937" max="7937" width="10.54296875" style="120" customWidth="1"/>
    <col min="7938" max="7938" width="6.7265625" style="120" customWidth="1"/>
    <col min="7939" max="7953" width="12.7265625" style="120" customWidth="1"/>
    <col min="7954" max="7954" width="10.7265625" style="120" customWidth="1"/>
    <col min="7955" max="8192" width="9.1796875" style="120"/>
    <col min="8193" max="8193" width="10.54296875" style="120" customWidth="1"/>
    <col min="8194" max="8194" width="6.7265625" style="120" customWidth="1"/>
    <col min="8195" max="8209" width="12.7265625" style="120" customWidth="1"/>
    <col min="8210" max="8210" width="10.7265625" style="120" customWidth="1"/>
    <col min="8211" max="8448" width="9.1796875" style="120"/>
    <col min="8449" max="8449" width="10.54296875" style="120" customWidth="1"/>
    <col min="8450" max="8450" width="6.7265625" style="120" customWidth="1"/>
    <col min="8451" max="8465" width="12.7265625" style="120" customWidth="1"/>
    <col min="8466" max="8466" width="10.7265625" style="120" customWidth="1"/>
    <col min="8467" max="8704" width="9.1796875" style="120"/>
    <col min="8705" max="8705" width="10.54296875" style="120" customWidth="1"/>
    <col min="8706" max="8706" width="6.7265625" style="120" customWidth="1"/>
    <col min="8707" max="8721" width="12.7265625" style="120" customWidth="1"/>
    <col min="8722" max="8722" width="10.7265625" style="120" customWidth="1"/>
    <col min="8723" max="8960" width="9.1796875" style="120"/>
    <col min="8961" max="8961" width="10.54296875" style="120" customWidth="1"/>
    <col min="8962" max="8962" width="6.7265625" style="120" customWidth="1"/>
    <col min="8963" max="8977" width="12.7265625" style="120" customWidth="1"/>
    <col min="8978" max="8978" width="10.7265625" style="120" customWidth="1"/>
    <col min="8979" max="9216" width="9.1796875" style="120"/>
    <col min="9217" max="9217" width="10.54296875" style="120" customWidth="1"/>
    <col min="9218" max="9218" width="6.7265625" style="120" customWidth="1"/>
    <col min="9219" max="9233" width="12.7265625" style="120" customWidth="1"/>
    <col min="9234" max="9234" width="10.7265625" style="120" customWidth="1"/>
    <col min="9235" max="9472" width="9.1796875" style="120"/>
    <col min="9473" max="9473" width="10.54296875" style="120" customWidth="1"/>
    <col min="9474" max="9474" width="6.7265625" style="120" customWidth="1"/>
    <col min="9475" max="9489" width="12.7265625" style="120" customWidth="1"/>
    <col min="9490" max="9490" width="10.7265625" style="120" customWidth="1"/>
    <col min="9491" max="9728" width="9.1796875" style="120"/>
    <col min="9729" max="9729" width="10.54296875" style="120" customWidth="1"/>
    <col min="9730" max="9730" width="6.7265625" style="120" customWidth="1"/>
    <col min="9731" max="9745" width="12.7265625" style="120" customWidth="1"/>
    <col min="9746" max="9746" width="10.7265625" style="120" customWidth="1"/>
    <col min="9747" max="9984" width="9.1796875" style="120"/>
    <col min="9985" max="9985" width="10.54296875" style="120" customWidth="1"/>
    <col min="9986" max="9986" width="6.7265625" style="120" customWidth="1"/>
    <col min="9987" max="10001" width="12.7265625" style="120" customWidth="1"/>
    <col min="10002" max="10002" width="10.7265625" style="120" customWidth="1"/>
    <col min="10003" max="10240" width="9.1796875" style="120"/>
    <col min="10241" max="10241" width="10.54296875" style="120" customWidth="1"/>
    <col min="10242" max="10242" width="6.7265625" style="120" customWidth="1"/>
    <col min="10243" max="10257" width="12.7265625" style="120" customWidth="1"/>
    <col min="10258" max="10258" width="10.7265625" style="120" customWidth="1"/>
    <col min="10259" max="10496" width="9.1796875" style="120"/>
    <col min="10497" max="10497" width="10.54296875" style="120" customWidth="1"/>
    <col min="10498" max="10498" width="6.7265625" style="120" customWidth="1"/>
    <col min="10499" max="10513" width="12.7265625" style="120" customWidth="1"/>
    <col min="10514" max="10514" width="10.7265625" style="120" customWidth="1"/>
    <col min="10515" max="10752" width="9.1796875" style="120"/>
    <col min="10753" max="10753" width="10.54296875" style="120" customWidth="1"/>
    <col min="10754" max="10754" width="6.7265625" style="120" customWidth="1"/>
    <col min="10755" max="10769" width="12.7265625" style="120" customWidth="1"/>
    <col min="10770" max="10770" width="10.7265625" style="120" customWidth="1"/>
    <col min="10771" max="11008" width="9.1796875" style="120"/>
    <col min="11009" max="11009" width="10.54296875" style="120" customWidth="1"/>
    <col min="11010" max="11010" width="6.7265625" style="120" customWidth="1"/>
    <col min="11011" max="11025" width="12.7265625" style="120" customWidth="1"/>
    <col min="11026" max="11026" width="10.7265625" style="120" customWidth="1"/>
    <col min="11027" max="11264" width="9.1796875" style="120"/>
    <col min="11265" max="11265" width="10.54296875" style="120" customWidth="1"/>
    <col min="11266" max="11266" width="6.7265625" style="120" customWidth="1"/>
    <col min="11267" max="11281" width="12.7265625" style="120" customWidth="1"/>
    <col min="11282" max="11282" width="10.7265625" style="120" customWidth="1"/>
    <col min="11283" max="11520" width="9.1796875" style="120"/>
    <col min="11521" max="11521" width="10.54296875" style="120" customWidth="1"/>
    <col min="11522" max="11522" width="6.7265625" style="120" customWidth="1"/>
    <col min="11523" max="11537" width="12.7265625" style="120" customWidth="1"/>
    <col min="11538" max="11538" width="10.7265625" style="120" customWidth="1"/>
    <col min="11539" max="11776" width="9.1796875" style="120"/>
    <col min="11777" max="11777" width="10.54296875" style="120" customWidth="1"/>
    <col min="11778" max="11778" width="6.7265625" style="120" customWidth="1"/>
    <col min="11779" max="11793" width="12.7265625" style="120" customWidth="1"/>
    <col min="11794" max="11794" width="10.7265625" style="120" customWidth="1"/>
    <col min="11795" max="12032" width="9.1796875" style="120"/>
    <col min="12033" max="12033" width="10.54296875" style="120" customWidth="1"/>
    <col min="12034" max="12034" width="6.7265625" style="120" customWidth="1"/>
    <col min="12035" max="12049" width="12.7265625" style="120" customWidth="1"/>
    <col min="12050" max="12050" width="10.7265625" style="120" customWidth="1"/>
    <col min="12051" max="12288" width="9.1796875" style="120"/>
    <col min="12289" max="12289" width="10.54296875" style="120" customWidth="1"/>
    <col min="12290" max="12290" width="6.7265625" style="120" customWidth="1"/>
    <col min="12291" max="12305" width="12.7265625" style="120" customWidth="1"/>
    <col min="12306" max="12306" width="10.7265625" style="120" customWidth="1"/>
    <col min="12307" max="12544" width="9.1796875" style="120"/>
    <col min="12545" max="12545" width="10.54296875" style="120" customWidth="1"/>
    <col min="12546" max="12546" width="6.7265625" style="120" customWidth="1"/>
    <col min="12547" max="12561" width="12.7265625" style="120" customWidth="1"/>
    <col min="12562" max="12562" width="10.7265625" style="120" customWidth="1"/>
    <col min="12563" max="12800" width="9.1796875" style="120"/>
    <col min="12801" max="12801" width="10.54296875" style="120" customWidth="1"/>
    <col min="12802" max="12802" width="6.7265625" style="120" customWidth="1"/>
    <col min="12803" max="12817" width="12.7265625" style="120" customWidth="1"/>
    <col min="12818" max="12818" width="10.7265625" style="120" customWidth="1"/>
    <col min="12819" max="13056" width="9.1796875" style="120"/>
    <col min="13057" max="13057" width="10.54296875" style="120" customWidth="1"/>
    <col min="13058" max="13058" width="6.7265625" style="120" customWidth="1"/>
    <col min="13059" max="13073" width="12.7265625" style="120" customWidth="1"/>
    <col min="13074" max="13074" width="10.7265625" style="120" customWidth="1"/>
    <col min="13075" max="13312" width="9.1796875" style="120"/>
    <col min="13313" max="13313" width="10.54296875" style="120" customWidth="1"/>
    <col min="13314" max="13314" width="6.7265625" style="120" customWidth="1"/>
    <col min="13315" max="13329" width="12.7265625" style="120" customWidth="1"/>
    <col min="13330" max="13330" width="10.7265625" style="120" customWidth="1"/>
    <col min="13331" max="13568" width="9.1796875" style="120"/>
    <col min="13569" max="13569" width="10.54296875" style="120" customWidth="1"/>
    <col min="13570" max="13570" width="6.7265625" style="120" customWidth="1"/>
    <col min="13571" max="13585" width="12.7265625" style="120" customWidth="1"/>
    <col min="13586" max="13586" width="10.7265625" style="120" customWidth="1"/>
    <col min="13587" max="13824" width="9.1796875" style="120"/>
    <col min="13825" max="13825" width="10.54296875" style="120" customWidth="1"/>
    <col min="13826" max="13826" width="6.7265625" style="120" customWidth="1"/>
    <col min="13827" max="13841" width="12.7265625" style="120" customWidth="1"/>
    <col min="13842" max="13842" width="10.7265625" style="120" customWidth="1"/>
    <col min="13843" max="14080" width="9.1796875" style="120"/>
    <col min="14081" max="14081" width="10.54296875" style="120" customWidth="1"/>
    <col min="14082" max="14082" width="6.7265625" style="120" customWidth="1"/>
    <col min="14083" max="14097" width="12.7265625" style="120" customWidth="1"/>
    <col min="14098" max="14098" width="10.7265625" style="120" customWidth="1"/>
    <col min="14099" max="14336" width="9.1796875" style="120"/>
    <col min="14337" max="14337" width="10.54296875" style="120" customWidth="1"/>
    <col min="14338" max="14338" width="6.7265625" style="120" customWidth="1"/>
    <col min="14339" max="14353" width="12.7265625" style="120" customWidth="1"/>
    <col min="14354" max="14354" width="10.7265625" style="120" customWidth="1"/>
    <col min="14355" max="14592" width="9.1796875" style="120"/>
    <col min="14593" max="14593" width="10.54296875" style="120" customWidth="1"/>
    <col min="14594" max="14594" width="6.7265625" style="120" customWidth="1"/>
    <col min="14595" max="14609" width="12.7265625" style="120" customWidth="1"/>
    <col min="14610" max="14610" width="10.7265625" style="120" customWidth="1"/>
    <col min="14611" max="14848" width="9.1796875" style="120"/>
    <col min="14849" max="14849" width="10.54296875" style="120" customWidth="1"/>
    <col min="14850" max="14850" width="6.7265625" style="120" customWidth="1"/>
    <col min="14851" max="14865" width="12.7265625" style="120" customWidth="1"/>
    <col min="14866" max="14866" width="10.7265625" style="120" customWidth="1"/>
    <col min="14867" max="15104" width="9.1796875" style="120"/>
    <col min="15105" max="15105" width="10.54296875" style="120" customWidth="1"/>
    <col min="15106" max="15106" width="6.7265625" style="120" customWidth="1"/>
    <col min="15107" max="15121" width="12.7265625" style="120" customWidth="1"/>
    <col min="15122" max="15122" width="10.7265625" style="120" customWidth="1"/>
    <col min="15123" max="15360" width="9.1796875" style="120"/>
    <col min="15361" max="15361" width="10.54296875" style="120" customWidth="1"/>
    <col min="15362" max="15362" width="6.7265625" style="120" customWidth="1"/>
    <col min="15363" max="15377" width="12.7265625" style="120" customWidth="1"/>
    <col min="15378" max="15378" width="10.7265625" style="120" customWidth="1"/>
    <col min="15379" max="15616" width="9.1796875" style="120"/>
    <col min="15617" max="15617" width="10.54296875" style="120" customWidth="1"/>
    <col min="15618" max="15618" width="6.7265625" style="120" customWidth="1"/>
    <col min="15619" max="15633" width="12.7265625" style="120" customWidth="1"/>
    <col min="15634" max="15634" width="10.7265625" style="120" customWidth="1"/>
    <col min="15635" max="15872" width="9.1796875" style="120"/>
    <col min="15873" max="15873" width="10.54296875" style="120" customWidth="1"/>
    <col min="15874" max="15874" width="6.7265625" style="120" customWidth="1"/>
    <col min="15875" max="15889" width="12.7265625" style="120" customWidth="1"/>
    <col min="15890" max="15890" width="10.7265625" style="120" customWidth="1"/>
    <col min="15891" max="16128" width="9.1796875" style="120"/>
    <col min="16129" max="16129" width="10.54296875" style="120" customWidth="1"/>
    <col min="16130" max="16130" width="6.7265625" style="120" customWidth="1"/>
    <col min="16131" max="16145" width="12.7265625" style="120" customWidth="1"/>
    <col min="16146" max="16146" width="10.7265625" style="120" customWidth="1"/>
    <col min="16147" max="16384" width="9.1796875" style="120"/>
  </cols>
  <sheetData>
    <row r="1" spans="1:17" ht="10.5" customHeight="1">
      <c r="A1" s="119" t="s">
        <v>381</v>
      </c>
    </row>
    <row r="3" spans="1:17" ht="10.5" customHeight="1" thickBot="1">
      <c r="A3" s="121" t="s">
        <v>379</v>
      </c>
      <c r="B3" s="121"/>
    </row>
    <row r="4" spans="1:17" ht="10.5" customHeight="1" thickBot="1">
      <c r="A4" s="122"/>
      <c r="B4" s="123"/>
      <c r="C4" s="124"/>
      <c r="D4" s="125" t="s">
        <v>382</v>
      </c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7"/>
    </row>
    <row r="5" spans="1:17" ht="10.5" customHeight="1" thickBot="1">
      <c r="A5" s="128"/>
      <c r="B5" s="129"/>
      <c r="C5" s="130" t="s">
        <v>383</v>
      </c>
      <c r="D5" s="131"/>
      <c r="E5" s="132" t="s">
        <v>384</v>
      </c>
      <c r="F5" s="132"/>
      <c r="G5" s="132"/>
      <c r="H5" s="133"/>
      <c r="I5" s="131"/>
      <c r="J5" s="132" t="s">
        <v>385</v>
      </c>
      <c r="K5" s="134"/>
      <c r="L5" s="134"/>
      <c r="M5" s="135"/>
      <c r="N5" s="136" t="s">
        <v>386</v>
      </c>
      <c r="O5" s="134"/>
      <c r="P5" s="136" t="s">
        <v>387</v>
      </c>
      <c r="Q5" s="135"/>
    </row>
    <row r="6" spans="1:17" ht="10.5" customHeight="1">
      <c r="A6" s="128" t="s">
        <v>388</v>
      </c>
      <c r="B6" s="129" t="s">
        <v>388</v>
      </c>
      <c r="C6" s="130" t="s">
        <v>389</v>
      </c>
      <c r="D6" s="137" t="s">
        <v>390</v>
      </c>
      <c r="E6" s="127"/>
      <c r="F6" s="137" t="s">
        <v>391</v>
      </c>
      <c r="G6" s="126"/>
      <c r="H6" s="127"/>
      <c r="I6" s="138" t="s">
        <v>392</v>
      </c>
      <c r="J6" s="139"/>
      <c r="K6" s="137" t="s">
        <v>393</v>
      </c>
      <c r="L6" s="126"/>
      <c r="M6" s="127"/>
      <c r="N6" s="138" t="s">
        <v>394</v>
      </c>
      <c r="O6" s="139"/>
      <c r="P6" s="138" t="s">
        <v>395</v>
      </c>
      <c r="Q6" s="140"/>
    </row>
    <row r="7" spans="1:17" ht="10.5" customHeight="1">
      <c r="A7" s="141" t="s">
        <v>396</v>
      </c>
      <c r="B7" s="129" t="s">
        <v>397</v>
      </c>
      <c r="C7" s="142" t="s">
        <v>367</v>
      </c>
      <c r="D7" s="143" t="s">
        <v>398</v>
      </c>
      <c r="E7" s="144" t="s">
        <v>399</v>
      </c>
      <c r="F7" s="143" t="s">
        <v>398</v>
      </c>
      <c r="G7" s="145" t="s">
        <v>398</v>
      </c>
      <c r="H7" s="146" t="s">
        <v>399</v>
      </c>
      <c r="I7" s="143" t="s">
        <v>398</v>
      </c>
      <c r="J7" s="147" t="s">
        <v>399</v>
      </c>
      <c r="K7" s="143" t="s">
        <v>398</v>
      </c>
      <c r="L7" s="145" t="s">
        <v>398</v>
      </c>
      <c r="M7" s="146" t="s">
        <v>399</v>
      </c>
      <c r="N7" s="143" t="s">
        <v>398</v>
      </c>
      <c r="O7" s="147" t="s">
        <v>399</v>
      </c>
      <c r="P7" s="148" t="s">
        <v>398</v>
      </c>
      <c r="Q7" s="144" t="s">
        <v>400</v>
      </c>
    </row>
    <row r="8" spans="1:17" ht="10.5" customHeight="1">
      <c r="A8" s="141" t="s">
        <v>388</v>
      </c>
      <c r="B8" s="129" t="s">
        <v>388</v>
      </c>
      <c r="C8" s="149"/>
      <c r="D8" s="128" t="s">
        <v>401</v>
      </c>
      <c r="E8" s="150" t="s">
        <v>402</v>
      </c>
      <c r="F8" s="128" t="s">
        <v>403</v>
      </c>
      <c r="G8" s="151" t="s">
        <v>404</v>
      </c>
      <c r="H8" s="152" t="s">
        <v>402</v>
      </c>
      <c r="I8" s="128" t="s">
        <v>401</v>
      </c>
      <c r="J8" s="153" t="s">
        <v>402</v>
      </c>
      <c r="K8" s="128" t="s">
        <v>403</v>
      </c>
      <c r="L8" s="151" t="s">
        <v>404</v>
      </c>
      <c r="M8" s="152" t="s">
        <v>402</v>
      </c>
      <c r="N8" s="154" t="s">
        <v>404</v>
      </c>
      <c r="O8" s="153" t="s">
        <v>402</v>
      </c>
      <c r="P8" s="141" t="s">
        <v>404</v>
      </c>
      <c r="Q8" s="150" t="s">
        <v>405</v>
      </c>
    </row>
    <row r="9" spans="1:17" ht="10.5" customHeight="1" thickBot="1">
      <c r="A9" s="155"/>
      <c r="B9" s="156"/>
      <c r="C9" s="157"/>
      <c r="D9" s="158" t="s">
        <v>406</v>
      </c>
      <c r="E9" s="159" t="s">
        <v>402</v>
      </c>
      <c r="F9" s="158" t="s">
        <v>406</v>
      </c>
      <c r="G9" s="160" t="s">
        <v>406</v>
      </c>
      <c r="H9" s="161" t="s">
        <v>402</v>
      </c>
      <c r="I9" s="158" t="s">
        <v>406</v>
      </c>
      <c r="J9" s="162" t="s">
        <v>402</v>
      </c>
      <c r="K9" s="158" t="s">
        <v>406</v>
      </c>
      <c r="L9" s="160" t="s">
        <v>406</v>
      </c>
      <c r="M9" s="161" t="s">
        <v>402</v>
      </c>
      <c r="N9" s="158" t="s">
        <v>406</v>
      </c>
      <c r="O9" s="162" t="s">
        <v>402</v>
      </c>
      <c r="P9" s="155" t="s">
        <v>406</v>
      </c>
      <c r="Q9" s="159" t="s">
        <v>405</v>
      </c>
    </row>
    <row r="10" spans="1:17" ht="10.5" customHeight="1">
      <c r="A10" s="141"/>
      <c r="B10" s="129"/>
      <c r="C10" s="149"/>
      <c r="D10" s="163"/>
      <c r="E10" s="150"/>
      <c r="F10" s="163"/>
      <c r="G10" s="164"/>
      <c r="H10" s="152"/>
      <c r="I10" s="163"/>
      <c r="J10" s="153"/>
      <c r="K10" s="163"/>
      <c r="L10" s="164"/>
      <c r="M10" s="152"/>
      <c r="N10" s="163"/>
      <c r="O10" s="153"/>
      <c r="P10" s="165"/>
      <c r="Q10" s="150"/>
    </row>
    <row r="11" spans="1:17" ht="10.5" customHeight="1">
      <c r="A11" s="166">
        <v>1990</v>
      </c>
      <c r="B11" s="129" t="s">
        <v>407</v>
      </c>
      <c r="C11" s="167">
        <v>14.5</v>
      </c>
      <c r="D11" s="168">
        <v>23.2</v>
      </c>
      <c r="E11" s="169">
        <v>23.6</v>
      </c>
      <c r="F11" s="168">
        <v>19.3</v>
      </c>
      <c r="G11" s="170">
        <v>21.5</v>
      </c>
      <c r="H11" s="171">
        <v>23.9</v>
      </c>
      <c r="I11" s="168">
        <v>23.5</v>
      </c>
      <c r="J11" s="172">
        <v>23.6</v>
      </c>
      <c r="K11" s="168">
        <v>19.7</v>
      </c>
      <c r="L11" s="170">
        <v>23.1</v>
      </c>
      <c r="M11" s="171">
        <v>22.8</v>
      </c>
      <c r="N11" s="168">
        <v>21</v>
      </c>
      <c r="O11" s="172">
        <v>20.3</v>
      </c>
      <c r="P11" s="173">
        <v>13.3</v>
      </c>
      <c r="Q11" s="169">
        <v>19.399999999999999</v>
      </c>
    </row>
    <row r="12" spans="1:17" ht="10.5" customHeight="1">
      <c r="A12" s="166">
        <v>1990</v>
      </c>
      <c r="B12" s="129" t="s">
        <v>408</v>
      </c>
      <c r="C12" s="167">
        <v>14.5</v>
      </c>
      <c r="D12" s="168">
        <v>24</v>
      </c>
      <c r="E12" s="169">
        <v>24.1</v>
      </c>
      <c r="F12" s="168">
        <v>20.9</v>
      </c>
      <c r="G12" s="170">
        <v>22.1</v>
      </c>
      <c r="H12" s="171">
        <v>24.7</v>
      </c>
      <c r="I12" s="168">
        <v>24.5</v>
      </c>
      <c r="J12" s="172">
        <v>24.7</v>
      </c>
      <c r="K12" s="168">
        <v>18.7</v>
      </c>
      <c r="L12" s="170">
        <v>22</v>
      </c>
      <c r="M12" s="171">
        <v>23.8</v>
      </c>
      <c r="N12" s="168">
        <v>20.399999999999999</v>
      </c>
      <c r="O12" s="172">
        <v>19.899999999999999</v>
      </c>
      <c r="P12" s="173">
        <v>18.7</v>
      </c>
      <c r="Q12" s="169">
        <v>20.399999999999999</v>
      </c>
    </row>
    <row r="13" spans="1:17" ht="10.5" customHeight="1">
      <c r="A13" s="166">
        <v>1990</v>
      </c>
      <c r="B13" s="129" t="s">
        <v>409</v>
      </c>
      <c r="C13" s="167">
        <v>14.5</v>
      </c>
      <c r="D13" s="168">
        <v>24.5</v>
      </c>
      <c r="E13" s="169">
        <v>24.8</v>
      </c>
      <c r="F13" s="168">
        <v>21.2</v>
      </c>
      <c r="G13" s="170">
        <v>21.5</v>
      </c>
      <c r="H13" s="171">
        <v>24.1</v>
      </c>
      <c r="I13" s="168">
        <v>23.7</v>
      </c>
      <c r="J13" s="172">
        <v>25.4</v>
      </c>
      <c r="K13" s="168">
        <v>21.7</v>
      </c>
      <c r="L13" s="170">
        <v>22.9</v>
      </c>
      <c r="M13" s="171">
        <v>23.6</v>
      </c>
      <c r="N13" s="168">
        <v>21.6</v>
      </c>
      <c r="O13" s="172">
        <v>22.6</v>
      </c>
      <c r="P13" s="173">
        <v>21.2</v>
      </c>
      <c r="Q13" s="169">
        <v>20.5</v>
      </c>
    </row>
    <row r="14" spans="1:17" ht="10.5" customHeight="1">
      <c r="A14" s="166">
        <v>1990</v>
      </c>
      <c r="B14" s="129" t="s">
        <v>410</v>
      </c>
      <c r="C14" s="167">
        <v>14.5</v>
      </c>
      <c r="D14" s="168">
        <v>24.9</v>
      </c>
      <c r="E14" s="169">
        <v>23.1</v>
      </c>
      <c r="F14" s="168">
        <v>21.8</v>
      </c>
      <c r="G14" s="170">
        <v>21.8</v>
      </c>
      <c r="H14" s="171">
        <v>25.2</v>
      </c>
      <c r="I14" s="168">
        <v>25.3</v>
      </c>
      <c r="J14" s="172">
        <v>24.9</v>
      </c>
      <c r="K14" s="168">
        <v>21.7</v>
      </c>
      <c r="L14" s="170">
        <v>24.7</v>
      </c>
      <c r="M14" s="171">
        <v>26</v>
      </c>
      <c r="N14" s="168">
        <v>22.4</v>
      </c>
      <c r="O14" s="172">
        <v>19.7</v>
      </c>
      <c r="P14" s="173">
        <v>20.8</v>
      </c>
      <c r="Q14" s="169">
        <v>18.8</v>
      </c>
    </row>
    <row r="15" spans="1:17" ht="10.5" customHeight="1">
      <c r="A15" s="166">
        <v>1991</v>
      </c>
      <c r="B15" s="129" t="s">
        <v>407</v>
      </c>
      <c r="C15" s="167">
        <v>14.5</v>
      </c>
      <c r="D15" s="168">
        <v>25</v>
      </c>
      <c r="E15" s="169">
        <v>25.4</v>
      </c>
      <c r="F15" s="168">
        <v>22.9</v>
      </c>
      <c r="G15" s="170">
        <v>22.1</v>
      </c>
      <c r="H15" s="171">
        <v>25.8</v>
      </c>
      <c r="I15" s="168">
        <v>25.2</v>
      </c>
      <c r="J15" s="172">
        <v>25.6</v>
      </c>
      <c r="K15" s="168">
        <v>21</v>
      </c>
      <c r="L15" s="170">
        <v>23.2</v>
      </c>
      <c r="M15" s="171">
        <v>24.6</v>
      </c>
      <c r="N15" s="168">
        <v>22.7</v>
      </c>
      <c r="O15" s="172">
        <v>17.5</v>
      </c>
      <c r="P15" s="173">
        <v>20.9</v>
      </c>
      <c r="Q15" s="169">
        <v>20</v>
      </c>
    </row>
    <row r="16" spans="1:17" ht="10.5" customHeight="1">
      <c r="A16" s="166">
        <v>1991</v>
      </c>
      <c r="B16" s="129" t="s">
        <v>408</v>
      </c>
      <c r="C16" s="167">
        <v>14.5</v>
      </c>
      <c r="D16" s="168">
        <v>24.5</v>
      </c>
      <c r="E16" s="169">
        <v>25.2</v>
      </c>
      <c r="F16" s="168">
        <v>20.7</v>
      </c>
      <c r="G16" s="170">
        <v>21.8</v>
      </c>
      <c r="H16" s="171">
        <v>22.8</v>
      </c>
      <c r="I16" s="168">
        <v>24.9</v>
      </c>
      <c r="J16" s="172">
        <v>24.1</v>
      </c>
      <c r="K16" s="168">
        <v>20.2</v>
      </c>
      <c r="L16" s="170">
        <v>23.8</v>
      </c>
      <c r="M16" s="171">
        <v>23.4</v>
      </c>
      <c r="N16" s="168">
        <v>22.7</v>
      </c>
      <c r="O16" s="172">
        <v>22</v>
      </c>
      <c r="P16" s="173">
        <v>19.399999999999999</v>
      </c>
      <c r="Q16" s="169">
        <v>20.2</v>
      </c>
    </row>
    <row r="17" spans="1:17" ht="10.5" customHeight="1">
      <c r="A17" s="166">
        <v>1991</v>
      </c>
      <c r="B17" s="129" t="s">
        <v>409</v>
      </c>
      <c r="C17" s="167">
        <v>14.5</v>
      </c>
      <c r="D17" s="168">
        <v>24.2</v>
      </c>
      <c r="E17" s="169">
        <v>25</v>
      </c>
      <c r="F17" s="168">
        <v>20.100000000000001</v>
      </c>
      <c r="G17" s="170">
        <v>21.1</v>
      </c>
      <c r="H17" s="171">
        <v>25</v>
      </c>
      <c r="I17" s="168">
        <v>24.6</v>
      </c>
      <c r="J17" s="172">
        <v>24.2</v>
      </c>
      <c r="K17" s="168">
        <v>17.899999999999999</v>
      </c>
      <c r="L17" s="170">
        <v>22.6</v>
      </c>
      <c r="M17" s="171">
        <v>23.3</v>
      </c>
      <c r="N17" s="168">
        <v>22.6</v>
      </c>
      <c r="O17" s="172">
        <v>19.100000000000001</v>
      </c>
      <c r="P17" s="173">
        <v>20.9</v>
      </c>
      <c r="Q17" s="169">
        <v>20.3</v>
      </c>
    </row>
    <row r="18" spans="1:17" ht="10.5" customHeight="1">
      <c r="A18" s="166">
        <v>1991</v>
      </c>
      <c r="B18" s="129" t="s">
        <v>410</v>
      </c>
      <c r="C18" s="167">
        <v>14.5</v>
      </c>
      <c r="D18" s="168">
        <v>23.9</v>
      </c>
      <c r="E18" s="169">
        <v>24.8</v>
      </c>
      <c r="F18" s="168">
        <v>20</v>
      </c>
      <c r="G18" s="170">
        <v>21.2</v>
      </c>
      <c r="H18" s="171">
        <v>19.399999999999999</v>
      </c>
      <c r="I18" s="168">
        <v>24.3</v>
      </c>
      <c r="J18" s="172">
        <v>24.8</v>
      </c>
      <c r="K18" s="168">
        <v>18.8</v>
      </c>
      <c r="L18" s="170">
        <v>22.1</v>
      </c>
      <c r="M18" s="171">
        <v>22</v>
      </c>
      <c r="N18" s="168">
        <v>18.7</v>
      </c>
      <c r="O18" s="172">
        <v>19.3</v>
      </c>
      <c r="P18" s="173">
        <v>20.7</v>
      </c>
      <c r="Q18" s="169">
        <v>20.3</v>
      </c>
    </row>
    <row r="19" spans="1:17" ht="10.5" customHeight="1">
      <c r="A19" s="166">
        <v>1992</v>
      </c>
      <c r="B19" s="129" t="s">
        <v>407</v>
      </c>
      <c r="C19" s="167">
        <v>14.5</v>
      </c>
      <c r="D19" s="168">
        <v>23.8</v>
      </c>
      <c r="E19" s="169">
        <v>24.8</v>
      </c>
      <c r="F19" s="168">
        <v>17.899999999999999</v>
      </c>
      <c r="G19" s="170">
        <v>21.5</v>
      </c>
      <c r="H19" s="171">
        <v>20.7</v>
      </c>
      <c r="I19" s="168">
        <v>25.1</v>
      </c>
      <c r="J19" s="172">
        <v>24.8</v>
      </c>
      <c r="K19" s="168">
        <v>18.5</v>
      </c>
      <c r="L19" s="170">
        <v>22.3</v>
      </c>
      <c r="M19" s="171">
        <v>23.4</v>
      </c>
      <c r="N19" s="168">
        <v>22.6</v>
      </c>
      <c r="O19" s="172">
        <v>17.399999999999999</v>
      </c>
      <c r="P19" s="173">
        <v>20.6</v>
      </c>
      <c r="Q19" s="169">
        <v>19.899999999999999</v>
      </c>
    </row>
    <row r="20" spans="1:17" ht="10.5" customHeight="1">
      <c r="A20" s="166">
        <v>1992</v>
      </c>
      <c r="B20" s="129" t="s">
        <v>408</v>
      </c>
      <c r="C20" s="167">
        <v>14.5</v>
      </c>
      <c r="D20" s="168">
        <v>22.5</v>
      </c>
      <c r="E20" s="169">
        <v>24</v>
      </c>
      <c r="F20" s="168">
        <v>17.600000000000001</v>
      </c>
      <c r="G20" s="170">
        <v>19.8</v>
      </c>
      <c r="H20" s="171">
        <v>19</v>
      </c>
      <c r="I20" s="168">
        <v>24.1</v>
      </c>
      <c r="J20" s="172">
        <v>24.9</v>
      </c>
      <c r="K20" s="168">
        <v>18.399999999999999</v>
      </c>
      <c r="L20" s="170">
        <v>21.9</v>
      </c>
      <c r="M20" s="171">
        <v>21.3</v>
      </c>
      <c r="N20" s="168">
        <v>20.9</v>
      </c>
      <c r="O20" s="172">
        <v>18.399999999999999</v>
      </c>
      <c r="P20" s="173">
        <v>19.3</v>
      </c>
      <c r="Q20" s="169">
        <v>19.7</v>
      </c>
    </row>
    <row r="21" spans="1:17" ht="10.5" customHeight="1">
      <c r="A21" s="166">
        <v>1992</v>
      </c>
      <c r="B21" s="129" t="s">
        <v>409</v>
      </c>
      <c r="C21" s="167">
        <v>14.5</v>
      </c>
      <c r="D21" s="168">
        <v>21.3</v>
      </c>
      <c r="E21" s="169">
        <v>22.7</v>
      </c>
      <c r="F21" s="168">
        <v>16.2</v>
      </c>
      <c r="G21" s="170">
        <v>19.5</v>
      </c>
      <c r="H21" s="171">
        <v>19.600000000000001</v>
      </c>
      <c r="I21" s="168">
        <v>22.5</v>
      </c>
      <c r="J21" s="172">
        <v>23.6</v>
      </c>
      <c r="K21" s="168">
        <v>14.6</v>
      </c>
      <c r="L21" s="170">
        <v>19.5</v>
      </c>
      <c r="M21" s="171">
        <v>23.4</v>
      </c>
      <c r="N21" s="168">
        <v>20.100000000000001</v>
      </c>
      <c r="O21" s="172">
        <v>17.399999999999999</v>
      </c>
      <c r="P21" s="173">
        <v>18.7</v>
      </c>
      <c r="Q21" s="169">
        <v>18.7</v>
      </c>
    </row>
    <row r="22" spans="1:17" ht="10.5" customHeight="1">
      <c r="A22" s="166">
        <v>1992</v>
      </c>
      <c r="B22" s="129" t="s">
        <v>410</v>
      </c>
      <c r="C22" s="167">
        <v>14.5</v>
      </c>
      <c r="D22" s="168">
        <v>20.8</v>
      </c>
      <c r="E22" s="169">
        <v>22.3</v>
      </c>
      <c r="F22" s="168">
        <v>16.899999999999999</v>
      </c>
      <c r="G22" s="170">
        <v>18.899999999999999</v>
      </c>
      <c r="H22" s="171">
        <v>20.8</v>
      </c>
      <c r="I22" s="168">
        <v>21.1</v>
      </c>
      <c r="J22" s="172">
        <v>22.4</v>
      </c>
      <c r="K22" s="168">
        <v>16.899999999999999</v>
      </c>
      <c r="L22" s="170">
        <v>18.600000000000001</v>
      </c>
      <c r="M22" s="171">
        <v>19.600000000000001</v>
      </c>
      <c r="N22" s="168">
        <v>18.899999999999999</v>
      </c>
      <c r="O22" s="172">
        <v>17.5</v>
      </c>
      <c r="P22" s="173">
        <v>17</v>
      </c>
      <c r="Q22" s="169">
        <v>18.399999999999999</v>
      </c>
    </row>
    <row r="23" spans="1:17" ht="10.5" customHeight="1">
      <c r="A23" s="166">
        <v>1993</v>
      </c>
      <c r="B23" s="129" t="s">
        <v>407</v>
      </c>
      <c r="C23" s="167">
        <v>14.5</v>
      </c>
      <c r="D23" s="168">
        <v>20.6</v>
      </c>
      <c r="E23" s="169">
        <v>21.8</v>
      </c>
      <c r="F23" s="168">
        <v>15.4</v>
      </c>
      <c r="G23" s="170">
        <v>17.100000000000001</v>
      </c>
      <c r="H23" s="171">
        <v>17.7</v>
      </c>
      <c r="I23" s="168">
        <v>20.9</v>
      </c>
      <c r="J23" s="172">
        <v>22.2</v>
      </c>
      <c r="K23" s="168">
        <v>14.9</v>
      </c>
      <c r="L23" s="170">
        <v>18.399999999999999</v>
      </c>
      <c r="M23" s="171">
        <v>19.7</v>
      </c>
      <c r="N23" s="168">
        <v>18.7</v>
      </c>
      <c r="O23" s="172">
        <v>14.4</v>
      </c>
      <c r="P23" s="173">
        <v>16.5</v>
      </c>
      <c r="Q23" s="169">
        <v>17.899999999999999</v>
      </c>
    </row>
    <row r="24" spans="1:17" ht="10.5" customHeight="1">
      <c r="A24" s="166">
        <v>1993</v>
      </c>
      <c r="B24" s="129" t="s">
        <v>408</v>
      </c>
      <c r="C24" s="174">
        <v>13.5</v>
      </c>
      <c r="D24" s="168">
        <v>20.399999999999999</v>
      </c>
      <c r="E24" s="169">
        <v>21.5</v>
      </c>
      <c r="F24" s="168">
        <v>14.9</v>
      </c>
      <c r="G24" s="170">
        <v>16.600000000000001</v>
      </c>
      <c r="H24" s="171">
        <v>18.100000000000001</v>
      </c>
      <c r="I24" s="168">
        <v>20.2</v>
      </c>
      <c r="J24" s="172">
        <v>21.6</v>
      </c>
      <c r="K24" s="168">
        <v>15.9</v>
      </c>
      <c r="L24" s="170">
        <v>18</v>
      </c>
      <c r="M24" s="171">
        <v>20.5</v>
      </c>
      <c r="N24" s="168">
        <v>18.2</v>
      </c>
      <c r="O24" s="172">
        <v>15.5</v>
      </c>
      <c r="P24" s="173">
        <v>16.7</v>
      </c>
      <c r="Q24" s="169">
        <v>16.5</v>
      </c>
    </row>
    <row r="25" spans="1:17" ht="10.5" customHeight="1">
      <c r="A25" s="166">
        <v>1993</v>
      </c>
      <c r="B25" s="129" t="s">
        <v>409</v>
      </c>
      <c r="C25" s="174">
        <v>13.5</v>
      </c>
      <c r="D25" s="168">
        <v>19.3</v>
      </c>
      <c r="E25" s="169">
        <v>20.5</v>
      </c>
      <c r="F25" s="168">
        <v>12.6</v>
      </c>
      <c r="G25" s="170">
        <v>15.8</v>
      </c>
      <c r="H25" s="171">
        <v>18.3</v>
      </c>
      <c r="I25" s="168">
        <v>19.399999999999999</v>
      </c>
      <c r="J25" s="172">
        <v>20.7</v>
      </c>
      <c r="K25" s="168">
        <v>10.7</v>
      </c>
      <c r="L25" s="170">
        <v>16.2</v>
      </c>
      <c r="M25" s="171">
        <v>20.5</v>
      </c>
      <c r="N25" s="168">
        <v>17.3</v>
      </c>
      <c r="O25" s="172">
        <v>14.5</v>
      </c>
      <c r="P25" s="173">
        <v>15.5</v>
      </c>
      <c r="Q25" s="169">
        <v>15.4</v>
      </c>
    </row>
    <row r="26" spans="1:17" ht="10.5" customHeight="1">
      <c r="A26" s="166">
        <v>1993</v>
      </c>
      <c r="B26" s="129" t="s">
        <v>410</v>
      </c>
      <c r="C26" s="174">
        <v>13</v>
      </c>
      <c r="D26" s="168">
        <v>18.2</v>
      </c>
      <c r="E26" s="169">
        <v>20.3</v>
      </c>
      <c r="F26" s="168">
        <v>8.9</v>
      </c>
      <c r="G26" s="170">
        <v>15.7</v>
      </c>
      <c r="H26" s="171">
        <v>17.8</v>
      </c>
      <c r="I26" s="173">
        <v>18.2</v>
      </c>
      <c r="J26" s="169">
        <v>20.7</v>
      </c>
      <c r="K26" s="168">
        <v>11.3</v>
      </c>
      <c r="L26" s="170">
        <v>16.2</v>
      </c>
      <c r="M26" s="171">
        <v>20</v>
      </c>
      <c r="N26" s="168">
        <v>16.399999999999999</v>
      </c>
      <c r="O26" s="172">
        <v>15.4</v>
      </c>
      <c r="P26" s="173">
        <v>13.6</v>
      </c>
      <c r="Q26" s="169">
        <v>14.6</v>
      </c>
    </row>
    <row r="27" spans="1:17" ht="10.5" customHeight="1">
      <c r="A27" s="175">
        <v>1994</v>
      </c>
      <c r="B27" s="129" t="s">
        <v>407</v>
      </c>
      <c r="C27" s="149">
        <v>12</v>
      </c>
      <c r="D27" s="120">
        <v>17.899999999999999</v>
      </c>
      <c r="E27" s="150">
        <v>19.5</v>
      </c>
      <c r="F27" s="120">
        <v>10.8</v>
      </c>
      <c r="G27" s="164">
        <v>15</v>
      </c>
      <c r="H27" s="120">
        <v>15.6</v>
      </c>
      <c r="I27" s="165">
        <v>18.5</v>
      </c>
      <c r="J27" s="152">
        <v>20.2</v>
      </c>
      <c r="K27" s="120">
        <v>10.7</v>
      </c>
      <c r="L27" s="164">
        <v>14.8</v>
      </c>
      <c r="M27" s="120">
        <v>20.399999999999999</v>
      </c>
      <c r="N27" s="165">
        <v>16.5</v>
      </c>
      <c r="O27" s="120">
        <v>17.600000000000001</v>
      </c>
      <c r="P27" s="165">
        <v>15.7</v>
      </c>
      <c r="Q27" s="152">
        <v>13.5</v>
      </c>
    </row>
    <row r="28" spans="1:17" ht="10.5" customHeight="1">
      <c r="A28" s="175">
        <v>1994</v>
      </c>
      <c r="B28" s="129" t="s">
        <v>408</v>
      </c>
      <c r="C28" s="149">
        <v>12</v>
      </c>
      <c r="D28" s="120">
        <v>17.399999999999999</v>
      </c>
      <c r="E28" s="150">
        <v>18.5</v>
      </c>
      <c r="F28" s="120">
        <v>13.2</v>
      </c>
      <c r="G28" s="164">
        <v>15.4</v>
      </c>
      <c r="H28" s="120">
        <v>16.3</v>
      </c>
      <c r="I28" s="165">
        <v>17.399999999999999</v>
      </c>
      <c r="J28" s="152">
        <v>20.100000000000001</v>
      </c>
      <c r="K28" s="120">
        <v>12.9</v>
      </c>
      <c r="L28" s="164">
        <v>15.1</v>
      </c>
      <c r="M28" s="120">
        <v>19.899999999999999</v>
      </c>
      <c r="N28" s="165">
        <v>16.3</v>
      </c>
      <c r="O28" s="120">
        <v>16.600000000000001</v>
      </c>
      <c r="P28" s="165">
        <v>14.7</v>
      </c>
      <c r="Q28" s="152">
        <v>13.1</v>
      </c>
    </row>
    <row r="29" spans="1:17" ht="10.5" customHeight="1">
      <c r="A29" s="175">
        <v>1994</v>
      </c>
      <c r="B29" s="129" t="s">
        <v>409</v>
      </c>
      <c r="C29" s="149">
        <v>12</v>
      </c>
      <c r="D29" s="120">
        <v>17.3</v>
      </c>
      <c r="E29" s="150">
        <v>18.2</v>
      </c>
      <c r="F29" s="120">
        <v>12.1</v>
      </c>
      <c r="G29" s="164">
        <v>15.2</v>
      </c>
      <c r="H29" s="120">
        <v>17.399999999999999</v>
      </c>
      <c r="I29" s="165">
        <v>18.2</v>
      </c>
      <c r="J29" s="152">
        <v>19.899999999999999</v>
      </c>
      <c r="K29" s="120">
        <v>12.6</v>
      </c>
      <c r="L29" s="164">
        <v>15.4</v>
      </c>
      <c r="M29" s="120">
        <v>19.2</v>
      </c>
      <c r="N29" s="165">
        <v>15.2</v>
      </c>
      <c r="O29" s="120">
        <v>17.3</v>
      </c>
      <c r="P29" s="165">
        <v>14.6</v>
      </c>
      <c r="Q29" s="152">
        <v>13.3</v>
      </c>
    </row>
    <row r="30" spans="1:17" ht="10.5" customHeight="1">
      <c r="A30" s="175">
        <v>1994</v>
      </c>
      <c r="B30" s="129" t="s">
        <v>410</v>
      </c>
      <c r="C30" s="149">
        <v>10.5</v>
      </c>
      <c r="D30" s="120">
        <v>16.3</v>
      </c>
      <c r="E30" s="150">
        <v>18.399999999999999</v>
      </c>
      <c r="F30" s="120">
        <v>11.2</v>
      </c>
      <c r="G30" s="164">
        <v>14.7</v>
      </c>
      <c r="H30" s="120">
        <v>17.7</v>
      </c>
      <c r="I30" s="165">
        <v>15.4</v>
      </c>
      <c r="J30" s="152">
        <v>18.100000000000001</v>
      </c>
      <c r="K30" s="120">
        <v>13.6</v>
      </c>
      <c r="L30" s="164">
        <v>14.9</v>
      </c>
      <c r="M30" s="120">
        <v>18</v>
      </c>
      <c r="N30" s="165">
        <v>15</v>
      </c>
      <c r="O30" s="120">
        <v>16.7</v>
      </c>
      <c r="P30" s="165">
        <v>12.8</v>
      </c>
      <c r="Q30" s="152">
        <v>13</v>
      </c>
    </row>
    <row r="31" spans="1:17" ht="10.5" customHeight="1">
      <c r="A31" s="175">
        <v>1995</v>
      </c>
      <c r="B31" s="129" t="s">
        <v>407</v>
      </c>
      <c r="C31" s="149">
        <v>10.5</v>
      </c>
      <c r="D31" s="120">
        <v>16.2</v>
      </c>
      <c r="E31" s="150">
        <v>18.399999999999999</v>
      </c>
      <c r="F31" s="120">
        <v>11.1</v>
      </c>
      <c r="G31" s="164">
        <v>13.8</v>
      </c>
      <c r="H31" s="120">
        <v>18.7</v>
      </c>
      <c r="I31" s="165">
        <v>15.6</v>
      </c>
      <c r="J31" s="152">
        <v>18.5</v>
      </c>
      <c r="K31" s="120">
        <v>13.6</v>
      </c>
      <c r="L31" s="164">
        <v>14.5</v>
      </c>
      <c r="M31" s="120">
        <v>19.2</v>
      </c>
      <c r="N31" s="165">
        <v>15.3</v>
      </c>
      <c r="O31" s="120">
        <v>17.3</v>
      </c>
      <c r="P31" s="165">
        <v>13.1</v>
      </c>
      <c r="Q31" s="152">
        <v>12.9</v>
      </c>
    </row>
    <row r="32" spans="1:17" ht="10.5" customHeight="1">
      <c r="A32" s="175">
        <v>1995</v>
      </c>
      <c r="B32" s="129" t="s">
        <v>408</v>
      </c>
      <c r="C32" s="149">
        <v>10.5</v>
      </c>
      <c r="D32" s="120">
        <v>15.9</v>
      </c>
      <c r="E32" s="150">
        <v>17.399999999999999</v>
      </c>
      <c r="F32" s="120">
        <v>10.3</v>
      </c>
      <c r="G32" s="164">
        <v>13.5</v>
      </c>
      <c r="H32" s="120">
        <v>19.2</v>
      </c>
      <c r="I32" s="165">
        <v>14.7</v>
      </c>
      <c r="J32" s="152">
        <v>17.100000000000001</v>
      </c>
      <c r="K32" s="120">
        <v>11.4</v>
      </c>
      <c r="L32" s="164">
        <v>13.4</v>
      </c>
      <c r="M32" s="120">
        <v>19.600000000000001</v>
      </c>
      <c r="N32" s="165">
        <v>15.7</v>
      </c>
      <c r="O32" s="120">
        <v>17.899999999999999</v>
      </c>
      <c r="P32" s="165">
        <v>14</v>
      </c>
      <c r="Q32" s="152">
        <v>12.6</v>
      </c>
    </row>
    <row r="33" spans="1:17" ht="10.5" customHeight="1">
      <c r="A33" s="175">
        <v>1995</v>
      </c>
      <c r="B33" s="129" t="s">
        <v>409</v>
      </c>
      <c r="C33" s="149">
        <v>9.5</v>
      </c>
      <c r="D33" s="120">
        <v>15.6</v>
      </c>
      <c r="E33" s="150">
        <v>17.2</v>
      </c>
      <c r="F33" s="120">
        <v>9.9</v>
      </c>
      <c r="G33" s="164">
        <v>13</v>
      </c>
      <c r="H33" s="120">
        <v>18.399999999999999</v>
      </c>
      <c r="I33" s="165">
        <v>14.6</v>
      </c>
      <c r="J33" s="152">
        <v>16</v>
      </c>
      <c r="K33" s="120">
        <v>9.6</v>
      </c>
      <c r="L33" s="164">
        <v>11.8</v>
      </c>
      <c r="M33" s="120">
        <v>19.5</v>
      </c>
      <c r="N33" s="165">
        <v>14.6</v>
      </c>
      <c r="O33" s="120">
        <v>17.8</v>
      </c>
      <c r="P33" s="165">
        <v>13.3</v>
      </c>
      <c r="Q33" s="152">
        <v>12.5</v>
      </c>
    </row>
    <row r="34" spans="1:17" ht="10.5" customHeight="1">
      <c r="A34" s="175">
        <v>1995</v>
      </c>
      <c r="B34" s="129" t="s">
        <v>410</v>
      </c>
      <c r="C34" s="149">
        <v>9.5</v>
      </c>
      <c r="D34" s="120">
        <v>14.6</v>
      </c>
      <c r="E34" s="150">
        <v>16.600000000000001</v>
      </c>
      <c r="F34" s="120">
        <v>9.6</v>
      </c>
      <c r="G34" s="164">
        <v>12.7</v>
      </c>
      <c r="H34" s="120">
        <v>18.100000000000001</v>
      </c>
      <c r="I34" s="165">
        <v>13.3</v>
      </c>
      <c r="J34" s="152">
        <v>14.9</v>
      </c>
      <c r="K34" s="120">
        <v>11.3</v>
      </c>
      <c r="L34" s="164">
        <v>13.3</v>
      </c>
      <c r="M34" s="120">
        <v>17.600000000000001</v>
      </c>
      <c r="N34" s="165">
        <v>13.6</v>
      </c>
      <c r="O34" s="120">
        <v>17</v>
      </c>
      <c r="P34" s="165">
        <v>12.4</v>
      </c>
      <c r="Q34" s="152">
        <v>12.4</v>
      </c>
    </row>
    <row r="35" spans="1:17" ht="10.5" customHeight="1" thickBot="1">
      <c r="A35" s="176"/>
      <c r="B35" s="156"/>
      <c r="C35" s="157"/>
      <c r="D35" s="177"/>
      <c r="E35" s="159"/>
      <c r="F35" s="177"/>
      <c r="G35" s="178"/>
      <c r="H35" s="177"/>
      <c r="I35" s="179"/>
      <c r="J35" s="161"/>
      <c r="K35" s="177"/>
      <c r="L35" s="178"/>
      <c r="M35" s="177"/>
      <c r="N35" s="179"/>
      <c r="O35" s="177"/>
      <c r="P35" s="179"/>
      <c r="Q35" s="161"/>
    </row>
    <row r="36" spans="1:17" ht="10.5" customHeight="1">
      <c r="B36" s="121"/>
      <c r="D36" s="121"/>
    </row>
    <row r="37" spans="1:17" ht="10.5" customHeight="1">
      <c r="B37" s="121"/>
      <c r="D37" s="121"/>
    </row>
    <row r="38" spans="1:17" ht="10.5" customHeight="1">
      <c r="B38" s="121"/>
      <c r="D38" s="121"/>
    </row>
    <row r="39" spans="1:17" ht="10.5" customHeight="1">
      <c r="B39" s="121"/>
      <c r="D39" s="121"/>
    </row>
    <row r="40" spans="1:17" ht="10.5" customHeight="1">
      <c r="B40" s="121"/>
      <c r="D40" s="121"/>
    </row>
    <row r="41" spans="1:17" ht="10.5" customHeight="1">
      <c r="D41" s="121"/>
    </row>
    <row r="42" spans="1:17" ht="10.5" customHeight="1">
      <c r="D42" s="121"/>
    </row>
    <row r="43" spans="1:17" ht="10.5" customHeight="1">
      <c r="D43" s="121"/>
    </row>
    <row r="44" spans="1:17" ht="10.5" customHeight="1">
      <c r="D44" s="121"/>
    </row>
    <row r="45" spans="1:17" ht="10.5" customHeight="1">
      <c r="D45" s="121"/>
    </row>
    <row r="46" spans="1:17" ht="10.5" customHeight="1">
      <c r="D46" s="121"/>
    </row>
    <row r="47" spans="1:17" ht="10.5" customHeight="1">
      <c r="D47" s="121"/>
    </row>
    <row r="48" spans="1:17" ht="10.5" customHeight="1">
      <c r="D48" s="121"/>
    </row>
    <row r="49" spans="4:4" ht="10.5" customHeight="1">
      <c r="D49" s="121"/>
    </row>
    <row r="50" spans="4:4" ht="10.5" customHeight="1">
      <c r="D50" s="121"/>
    </row>
    <row r="51" spans="4:4" ht="10.5" customHeight="1">
      <c r="D51" s="121"/>
    </row>
    <row r="52" spans="4:4" ht="10.5" customHeight="1">
      <c r="D52" s="121"/>
    </row>
    <row r="53" spans="4:4" ht="10.5" customHeight="1">
      <c r="D53" s="121"/>
    </row>
    <row r="54" spans="4:4" ht="10.5" customHeight="1">
      <c r="D54" s="121"/>
    </row>
    <row r="55" spans="4:4" ht="10.5" customHeight="1">
      <c r="D55" s="121"/>
    </row>
    <row r="56" spans="4:4" ht="10.5" customHeight="1">
      <c r="D56" s="121"/>
    </row>
    <row r="57" spans="4:4" ht="10.5" customHeight="1">
      <c r="D57" s="121"/>
    </row>
    <row r="58" spans="4:4" ht="10.5" customHeight="1">
      <c r="D58" s="121"/>
    </row>
  </sheetData>
  <printOptions horizontalCentered="1" verticalCentered="1"/>
  <pageMargins left="0" right="0" top="0" bottom="0" header="0" footer="0"/>
  <pageSetup paperSize="9" scale="84" orientation="landscape" horizontalDpi="300" verticalDpi="300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05B2-121D-4C53-B567-C78B60DAB9BD}">
  <sheetPr>
    <pageSetUpPr fitToPage="1"/>
  </sheetPr>
  <dimension ref="A1:K38"/>
  <sheetViews>
    <sheetView showGridLines="0" workbookViewId="0">
      <selection activeCell="B6" sqref="B6"/>
    </sheetView>
  </sheetViews>
  <sheetFormatPr defaultColWidth="19.54296875" defaultRowHeight="18" customHeight="1"/>
  <cols>
    <col min="1" max="16384" width="19.54296875" style="180"/>
  </cols>
  <sheetData>
    <row r="1" spans="1:11" ht="18" customHeight="1">
      <c r="A1" s="217" t="s">
        <v>432</v>
      </c>
    </row>
    <row r="3" spans="1:11" ht="18" customHeight="1" thickBot="1">
      <c r="A3" s="180" t="s">
        <v>379</v>
      </c>
    </row>
    <row r="4" spans="1:11" ht="18" customHeight="1">
      <c r="A4" s="216" t="s">
        <v>388</v>
      </c>
      <c r="B4" s="214"/>
      <c r="C4" s="196"/>
      <c r="D4" s="196"/>
      <c r="E4" s="209"/>
      <c r="F4" s="215"/>
      <c r="G4" s="215"/>
      <c r="H4" s="214"/>
      <c r="I4" s="209"/>
      <c r="J4" s="215"/>
      <c r="K4" s="214"/>
    </row>
    <row r="5" spans="1:11" ht="18" customHeight="1">
      <c r="A5" s="210" t="s">
        <v>388</v>
      </c>
      <c r="B5" s="193" t="s">
        <v>388</v>
      </c>
      <c r="C5" s="188"/>
      <c r="D5" s="188"/>
      <c r="E5" s="213" t="s">
        <v>431</v>
      </c>
      <c r="F5" s="212"/>
      <c r="G5" s="212"/>
      <c r="H5" s="211"/>
      <c r="I5" s="213" t="s">
        <v>430</v>
      </c>
      <c r="J5" s="212"/>
      <c r="K5" s="211"/>
    </row>
    <row r="6" spans="1:11" ht="18" customHeight="1" thickBot="1">
      <c r="A6" s="210"/>
      <c r="B6" s="193"/>
      <c r="C6" s="205" t="s">
        <v>425</v>
      </c>
      <c r="D6" s="205" t="s">
        <v>425</v>
      </c>
      <c r="E6" s="198"/>
      <c r="F6" s="184"/>
      <c r="G6" s="184"/>
      <c r="H6" s="199"/>
      <c r="I6" s="198"/>
      <c r="J6" s="184"/>
      <c r="K6" s="199"/>
    </row>
    <row r="7" spans="1:11" ht="18" customHeight="1">
      <c r="A7" s="210"/>
      <c r="B7" s="193" t="s">
        <v>388</v>
      </c>
      <c r="C7" s="205" t="s">
        <v>420</v>
      </c>
      <c r="D7" s="205" t="s">
        <v>420</v>
      </c>
      <c r="E7" s="209" t="s">
        <v>414</v>
      </c>
      <c r="F7" s="208" t="s">
        <v>414</v>
      </c>
      <c r="G7" s="208" t="s">
        <v>414</v>
      </c>
      <c r="H7" s="207" t="s">
        <v>429</v>
      </c>
      <c r="I7" s="202" t="s">
        <v>414</v>
      </c>
      <c r="J7" s="192" t="s">
        <v>414</v>
      </c>
      <c r="K7" s="187" t="s">
        <v>412</v>
      </c>
    </row>
    <row r="8" spans="1:11" ht="18" customHeight="1">
      <c r="A8" s="197" t="s">
        <v>396</v>
      </c>
      <c r="B8" s="206" t="s">
        <v>397</v>
      </c>
      <c r="C8" s="205" t="s">
        <v>428</v>
      </c>
      <c r="D8" s="205" t="s">
        <v>427</v>
      </c>
      <c r="E8" s="204" t="s">
        <v>425</v>
      </c>
      <c r="F8" s="201" t="s">
        <v>425</v>
      </c>
      <c r="G8" s="201" t="s">
        <v>426</v>
      </c>
      <c r="H8" s="203" t="s">
        <v>424</v>
      </c>
      <c r="I8" s="204" t="s">
        <v>425</v>
      </c>
      <c r="J8" s="201" t="s">
        <v>425</v>
      </c>
      <c r="K8" s="203" t="s">
        <v>424</v>
      </c>
    </row>
    <row r="9" spans="1:11" ht="18" customHeight="1">
      <c r="A9" s="197" t="s">
        <v>388</v>
      </c>
      <c r="B9" s="193" t="s">
        <v>388</v>
      </c>
      <c r="C9" s="205" t="s">
        <v>423</v>
      </c>
      <c r="D9" s="205" t="s">
        <v>422</v>
      </c>
      <c r="E9" s="204" t="s">
        <v>420</v>
      </c>
      <c r="F9" s="201" t="s">
        <v>419</v>
      </c>
      <c r="G9" s="201" t="s">
        <v>421</v>
      </c>
      <c r="H9" s="203" t="s">
        <v>418</v>
      </c>
      <c r="I9" s="204" t="s">
        <v>420</v>
      </c>
      <c r="J9" s="201" t="s">
        <v>419</v>
      </c>
      <c r="K9" s="203" t="s">
        <v>418</v>
      </c>
    </row>
    <row r="10" spans="1:11" ht="18" customHeight="1">
      <c r="A10" s="197" t="s">
        <v>388</v>
      </c>
      <c r="B10" s="193" t="s">
        <v>388</v>
      </c>
      <c r="C10" s="188"/>
      <c r="D10" s="188"/>
      <c r="E10" s="202" t="s">
        <v>414</v>
      </c>
      <c r="F10" s="201" t="s">
        <v>417</v>
      </c>
      <c r="G10" s="192" t="s">
        <v>402</v>
      </c>
      <c r="H10" s="203" t="s">
        <v>416</v>
      </c>
      <c r="I10" s="202" t="s">
        <v>414</v>
      </c>
      <c r="J10" s="201" t="s">
        <v>417</v>
      </c>
      <c r="K10" s="203" t="s">
        <v>416</v>
      </c>
    </row>
    <row r="11" spans="1:11" ht="18" customHeight="1">
      <c r="A11" s="197" t="s">
        <v>388</v>
      </c>
      <c r="B11" s="193" t="s">
        <v>388</v>
      </c>
      <c r="C11" s="188"/>
      <c r="D11" s="188"/>
      <c r="E11" s="202" t="s">
        <v>414</v>
      </c>
      <c r="F11" s="201" t="s">
        <v>415</v>
      </c>
      <c r="G11" s="192" t="s">
        <v>402</v>
      </c>
      <c r="H11" s="187" t="s">
        <v>412</v>
      </c>
      <c r="I11" s="202" t="s">
        <v>414</v>
      </c>
      <c r="J11" s="201" t="s">
        <v>413</v>
      </c>
      <c r="K11" s="187" t="s">
        <v>412</v>
      </c>
    </row>
    <row r="12" spans="1:11" ht="18" customHeight="1" thickBot="1">
      <c r="A12" s="200"/>
      <c r="B12" s="199"/>
      <c r="C12" s="183"/>
      <c r="D12" s="183"/>
      <c r="E12" s="198"/>
      <c r="F12" s="182"/>
      <c r="G12" s="182"/>
      <c r="H12" s="181"/>
      <c r="I12" s="198"/>
      <c r="J12" s="182"/>
      <c r="K12" s="181"/>
    </row>
    <row r="13" spans="1:11" ht="18" customHeight="1">
      <c r="A13" s="197" t="s">
        <v>411</v>
      </c>
      <c r="B13" s="193"/>
      <c r="C13" s="196"/>
      <c r="D13" s="196"/>
      <c r="F13" s="192"/>
      <c r="G13" s="192"/>
      <c r="H13" s="192"/>
      <c r="I13" s="196"/>
      <c r="J13" s="192"/>
      <c r="K13" s="187"/>
    </row>
    <row r="14" spans="1:11" ht="18" customHeight="1">
      <c r="A14" s="194">
        <v>1990</v>
      </c>
      <c r="B14" s="193" t="s">
        <v>407</v>
      </c>
      <c r="C14" s="195">
        <v>9.4</v>
      </c>
      <c r="D14" s="188">
        <v>10.9</v>
      </c>
      <c r="E14" s="180">
        <v>13.7</v>
      </c>
      <c r="F14" s="192">
        <v>13.7</v>
      </c>
      <c r="G14" s="192">
        <v>16.399999999999999</v>
      </c>
      <c r="H14" s="192">
        <v>13.7</v>
      </c>
      <c r="I14" s="188">
        <v>14.8</v>
      </c>
      <c r="J14" s="192">
        <v>14.9</v>
      </c>
      <c r="K14" s="187">
        <v>14.3</v>
      </c>
    </row>
    <row r="15" spans="1:11" ht="18" customHeight="1">
      <c r="A15" s="194">
        <v>1990</v>
      </c>
      <c r="B15" s="193" t="s">
        <v>408</v>
      </c>
      <c r="C15" s="188">
        <v>10.7</v>
      </c>
      <c r="D15" s="188">
        <v>9.4</v>
      </c>
      <c r="E15" s="180">
        <v>14</v>
      </c>
      <c r="F15" s="192">
        <v>13.9</v>
      </c>
      <c r="G15" s="192">
        <v>17.600000000000001</v>
      </c>
      <c r="H15" s="192">
        <v>13.9</v>
      </c>
      <c r="I15" s="188">
        <v>13.7</v>
      </c>
      <c r="J15" s="192">
        <v>15</v>
      </c>
      <c r="K15" s="187">
        <v>14.6</v>
      </c>
    </row>
    <row r="16" spans="1:11" ht="18" customHeight="1">
      <c r="A16" s="194">
        <v>1990</v>
      </c>
      <c r="B16" s="193" t="s">
        <v>409</v>
      </c>
      <c r="C16" s="188">
        <v>9</v>
      </c>
      <c r="D16" s="188">
        <v>11.5</v>
      </c>
      <c r="E16" s="180">
        <v>14.1</v>
      </c>
      <c r="F16" s="192">
        <v>14.1</v>
      </c>
      <c r="G16" s="192">
        <v>16.3</v>
      </c>
      <c r="H16" s="192">
        <v>14.1</v>
      </c>
      <c r="I16" s="188">
        <v>14.5</v>
      </c>
      <c r="J16" s="192">
        <v>15</v>
      </c>
      <c r="K16" s="187">
        <v>14.8</v>
      </c>
    </row>
    <row r="17" spans="1:11" ht="18" customHeight="1">
      <c r="A17" s="194">
        <v>1990</v>
      </c>
      <c r="B17" s="193" t="s">
        <v>410</v>
      </c>
      <c r="C17" s="188">
        <v>14.6</v>
      </c>
      <c r="D17" s="188">
        <v>11.8</v>
      </c>
      <c r="E17" s="180">
        <v>14.3</v>
      </c>
      <c r="F17" s="192">
        <v>14.4</v>
      </c>
      <c r="G17" s="192">
        <v>18</v>
      </c>
      <c r="H17" s="192">
        <v>14.3</v>
      </c>
      <c r="I17" s="188">
        <v>14.6</v>
      </c>
      <c r="J17" s="192">
        <v>15.8</v>
      </c>
      <c r="K17" s="187">
        <v>15</v>
      </c>
    </row>
    <row r="18" spans="1:11" ht="18" customHeight="1">
      <c r="A18" s="194">
        <v>1991</v>
      </c>
      <c r="B18" s="193" t="s">
        <v>407</v>
      </c>
      <c r="C18" s="188">
        <v>13.4</v>
      </c>
      <c r="D18" s="188">
        <v>13.9</v>
      </c>
      <c r="E18" s="180">
        <v>14.7</v>
      </c>
      <c r="F18" s="192">
        <v>14.4</v>
      </c>
      <c r="G18" s="192">
        <v>18.3</v>
      </c>
      <c r="H18" s="192">
        <v>14.4</v>
      </c>
      <c r="I18" s="188">
        <v>14.6</v>
      </c>
      <c r="J18" s="192">
        <v>16.100000000000001</v>
      </c>
      <c r="K18" s="187">
        <v>15</v>
      </c>
    </row>
    <row r="19" spans="1:11" ht="18" customHeight="1">
      <c r="A19" s="194">
        <v>1991</v>
      </c>
      <c r="B19" s="193" t="s">
        <v>408</v>
      </c>
      <c r="C19" s="188">
        <v>15.9</v>
      </c>
      <c r="D19" s="188">
        <v>17.3</v>
      </c>
      <c r="E19" s="180">
        <v>14.8</v>
      </c>
      <c r="F19" s="192">
        <v>14.7</v>
      </c>
      <c r="G19" s="192">
        <v>18.3</v>
      </c>
      <c r="H19" s="192">
        <v>14.5</v>
      </c>
      <c r="I19" s="188">
        <v>16.100000000000001</v>
      </c>
      <c r="J19" s="192">
        <v>16.2</v>
      </c>
      <c r="K19" s="187">
        <v>15.1</v>
      </c>
    </row>
    <row r="20" spans="1:11" ht="18" customHeight="1">
      <c r="A20" s="194">
        <v>1991</v>
      </c>
      <c r="B20" s="193" t="s">
        <v>409</v>
      </c>
      <c r="C20" s="188">
        <v>16</v>
      </c>
      <c r="D20" s="188">
        <v>17.100000000000001</v>
      </c>
      <c r="E20" s="180">
        <v>15.1</v>
      </c>
      <c r="F20" s="192">
        <v>14.7</v>
      </c>
      <c r="G20" s="192">
        <v>18.2</v>
      </c>
      <c r="H20" s="192">
        <v>14.9</v>
      </c>
      <c r="I20" s="188">
        <v>15.8</v>
      </c>
      <c r="J20" s="192">
        <v>16.3</v>
      </c>
      <c r="K20" s="187">
        <v>15.5</v>
      </c>
    </row>
    <row r="21" spans="1:11" ht="18" customHeight="1">
      <c r="A21" s="194">
        <v>1991</v>
      </c>
      <c r="B21" s="193" t="s">
        <v>410</v>
      </c>
      <c r="C21" s="188">
        <v>15.5</v>
      </c>
      <c r="D21" s="188">
        <v>18.2</v>
      </c>
      <c r="E21" s="180">
        <v>15.1</v>
      </c>
      <c r="F21" s="192">
        <v>14.8</v>
      </c>
      <c r="G21" s="192">
        <v>17</v>
      </c>
      <c r="H21" s="192">
        <v>15</v>
      </c>
      <c r="I21" s="188">
        <v>15.7</v>
      </c>
      <c r="J21" s="192">
        <v>16.5</v>
      </c>
      <c r="K21" s="187">
        <v>15.5</v>
      </c>
    </row>
    <row r="22" spans="1:11" ht="18" customHeight="1">
      <c r="A22" s="194">
        <v>1992</v>
      </c>
      <c r="B22" s="193" t="s">
        <v>407</v>
      </c>
      <c r="C22" s="188">
        <v>15.8</v>
      </c>
      <c r="D22" s="188">
        <v>17</v>
      </c>
      <c r="E22" s="180">
        <v>15.4</v>
      </c>
      <c r="F22" s="192">
        <v>15.2</v>
      </c>
      <c r="G22" s="192">
        <v>16.3</v>
      </c>
      <c r="H22" s="192">
        <v>15.2</v>
      </c>
      <c r="I22" s="188">
        <v>15.6</v>
      </c>
      <c r="J22" s="192">
        <v>17</v>
      </c>
      <c r="K22" s="187">
        <v>15.7</v>
      </c>
    </row>
    <row r="23" spans="1:11" ht="18" customHeight="1">
      <c r="A23" s="194">
        <v>1992</v>
      </c>
      <c r="B23" s="193" t="s">
        <v>408</v>
      </c>
      <c r="C23" s="188">
        <v>16</v>
      </c>
      <c r="D23" s="188">
        <v>16.3</v>
      </c>
      <c r="E23" s="180">
        <v>14.9</v>
      </c>
      <c r="F23" s="192">
        <v>15</v>
      </c>
      <c r="G23" s="192">
        <v>15.5</v>
      </c>
      <c r="H23" s="192">
        <v>15</v>
      </c>
      <c r="I23" s="188">
        <v>15.2</v>
      </c>
      <c r="J23" s="192">
        <v>16.5</v>
      </c>
      <c r="K23" s="187">
        <v>15.2</v>
      </c>
    </row>
    <row r="24" spans="1:11" ht="18" customHeight="1">
      <c r="A24" s="194">
        <v>1992</v>
      </c>
      <c r="B24" s="193" t="s">
        <v>409</v>
      </c>
      <c r="C24" s="188">
        <v>14.5</v>
      </c>
      <c r="D24" s="188">
        <v>14.5</v>
      </c>
      <c r="E24" s="180">
        <v>13.4</v>
      </c>
      <c r="F24" s="192">
        <v>13</v>
      </c>
      <c r="G24" s="192">
        <v>14.5</v>
      </c>
      <c r="H24" s="192">
        <v>13.1</v>
      </c>
      <c r="I24" s="188">
        <v>12.5</v>
      </c>
      <c r="J24" s="192">
        <v>15.2</v>
      </c>
      <c r="K24" s="187">
        <v>13.2</v>
      </c>
    </row>
    <row r="25" spans="1:11" ht="18" customHeight="1">
      <c r="A25" s="194">
        <v>1992</v>
      </c>
      <c r="B25" s="193" t="s">
        <v>410</v>
      </c>
      <c r="C25" s="188">
        <v>14.3</v>
      </c>
      <c r="D25" s="188">
        <v>14</v>
      </c>
      <c r="E25" s="180">
        <v>13.4</v>
      </c>
      <c r="F25" s="192">
        <v>13.2</v>
      </c>
      <c r="G25" s="192">
        <v>14.8</v>
      </c>
      <c r="H25" s="192">
        <v>13.2</v>
      </c>
      <c r="I25" s="188">
        <v>12.7</v>
      </c>
      <c r="J25" s="192">
        <v>14.3</v>
      </c>
      <c r="K25" s="187">
        <v>13</v>
      </c>
    </row>
    <row r="26" spans="1:11" ht="18" customHeight="1">
      <c r="A26" s="194">
        <v>1993</v>
      </c>
      <c r="B26" s="193" t="s">
        <v>407</v>
      </c>
      <c r="C26" s="188">
        <v>13.1</v>
      </c>
      <c r="D26" s="188">
        <v>12.7</v>
      </c>
      <c r="E26" s="180">
        <v>12.3</v>
      </c>
      <c r="F26" s="192">
        <v>12.6</v>
      </c>
      <c r="G26" s="192">
        <v>13.7</v>
      </c>
      <c r="H26" s="192">
        <v>12.1</v>
      </c>
      <c r="I26" s="188">
        <v>11.8</v>
      </c>
      <c r="J26" s="192">
        <v>13.2</v>
      </c>
      <c r="K26" s="187">
        <v>12.1</v>
      </c>
    </row>
    <row r="27" spans="1:11" ht="18" customHeight="1">
      <c r="A27" s="194">
        <v>1993</v>
      </c>
      <c r="B27" s="193" t="s">
        <v>408</v>
      </c>
      <c r="C27" s="188">
        <v>12.1</v>
      </c>
      <c r="D27" s="188">
        <v>12.6</v>
      </c>
      <c r="E27" s="180">
        <v>11.5</v>
      </c>
      <c r="F27" s="192">
        <v>12</v>
      </c>
      <c r="G27" s="192">
        <v>13.9</v>
      </c>
      <c r="H27" s="192">
        <v>11.6</v>
      </c>
      <c r="I27" s="188">
        <v>11.3</v>
      </c>
      <c r="J27" s="192">
        <v>12</v>
      </c>
      <c r="K27" s="187">
        <v>11.2</v>
      </c>
    </row>
    <row r="28" spans="1:11" ht="18" customHeight="1">
      <c r="A28" s="194">
        <v>1993</v>
      </c>
      <c r="B28" s="193" t="s">
        <v>409</v>
      </c>
      <c r="C28" s="188">
        <v>9.8000000000000007</v>
      </c>
      <c r="D28" s="188">
        <v>10.6</v>
      </c>
      <c r="E28" s="180">
        <v>9.6</v>
      </c>
      <c r="F28" s="192">
        <v>9.9</v>
      </c>
      <c r="G28" s="192">
        <v>13.3</v>
      </c>
      <c r="H28" s="192">
        <v>9.8000000000000007</v>
      </c>
      <c r="I28" s="188">
        <v>9.1999999999999993</v>
      </c>
      <c r="J28" s="192">
        <v>10.3</v>
      </c>
      <c r="K28" s="187">
        <v>8.8000000000000007</v>
      </c>
    </row>
    <row r="29" spans="1:11" ht="18" customHeight="1">
      <c r="A29" s="194">
        <v>1993</v>
      </c>
      <c r="B29" s="193" t="s">
        <v>410</v>
      </c>
      <c r="C29" s="188">
        <v>10</v>
      </c>
      <c r="D29" s="188">
        <v>10.199999999999999</v>
      </c>
      <c r="E29" s="180">
        <v>9.1</v>
      </c>
      <c r="F29" s="192">
        <v>9.6</v>
      </c>
      <c r="G29" s="192">
        <v>11.3</v>
      </c>
      <c r="H29" s="192">
        <v>9.3000000000000007</v>
      </c>
      <c r="I29" s="188">
        <v>9.1</v>
      </c>
      <c r="J29" s="192">
        <v>10</v>
      </c>
      <c r="K29" s="187">
        <v>8.5</v>
      </c>
    </row>
    <row r="30" spans="1:11" ht="18" customHeight="1">
      <c r="A30" s="191">
        <v>1994</v>
      </c>
      <c r="B30" s="190" t="s">
        <v>407</v>
      </c>
      <c r="C30" s="188">
        <v>9</v>
      </c>
      <c r="D30" s="188">
        <v>9.1999999999999993</v>
      </c>
      <c r="E30" s="180">
        <v>8.1</v>
      </c>
      <c r="F30" s="189">
        <v>8.5</v>
      </c>
      <c r="G30" s="189">
        <v>11.4</v>
      </c>
      <c r="H30" s="180">
        <v>8.3000000000000007</v>
      </c>
      <c r="I30" s="188">
        <v>8.3000000000000007</v>
      </c>
      <c r="J30" s="180">
        <v>9.5</v>
      </c>
      <c r="K30" s="187">
        <v>7.6</v>
      </c>
    </row>
    <row r="31" spans="1:11" ht="18" customHeight="1">
      <c r="A31" s="191">
        <v>1994</v>
      </c>
      <c r="B31" s="190" t="s">
        <v>408</v>
      </c>
      <c r="C31" s="188">
        <v>9.8000000000000007</v>
      </c>
      <c r="D31" s="188">
        <v>9.3000000000000007</v>
      </c>
      <c r="E31" s="180">
        <v>8.1999999999999993</v>
      </c>
      <c r="F31" s="189">
        <v>8.5</v>
      </c>
      <c r="G31" s="189">
        <v>11.8</v>
      </c>
      <c r="H31" s="180">
        <v>8.1999999999999993</v>
      </c>
      <c r="I31" s="188">
        <v>8.1999999999999993</v>
      </c>
      <c r="J31" s="180">
        <v>8.8000000000000007</v>
      </c>
      <c r="K31" s="187">
        <v>7.7</v>
      </c>
    </row>
    <row r="32" spans="1:11" ht="18" customHeight="1">
      <c r="A32" s="191">
        <v>1994</v>
      </c>
      <c r="B32" s="190" t="s">
        <v>409</v>
      </c>
      <c r="C32" s="188">
        <v>9.1</v>
      </c>
      <c r="D32" s="188">
        <v>9.5</v>
      </c>
      <c r="E32" s="180">
        <v>8.3000000000000007</v>
      </c>
      <c r="F32" s="189">
        <v>8.5</v>
      </c>
      <c r="G32" s="189">
        <v>11.6</v>
      </c>
      <c r="H32" s="180">
        <v>8.1999999999999993</v>
      </c>
      <c r="I32" s="188">
        <v>8.3000000000000007</v>
      </c>
      <c r="J32" s="180">
        <v>8.6999999999999993</v>
      </c>
      <c r="K32" s="187">
        <v>7.7</v>
      </c>
    </row>
    <row r="33" spans="1:11" ht="18" customHeight="1">
      <c r="A33" s="191">
        <v>1994</v>
      </c>
      <c r="B33" s="190" t="s">
        <v>410</v>
      </c>
      <c r="C33" s="188">
        <v>8.6999999999999993</v>
      </c>
      <c r="D33" s="188">
        <v>9.3000000000000007</v>
      </c>
      <c r="E33" s="180">
        <v>8.1999999999999993</v>
      </c>
      <c r="F33" s="189">
        <v>8.4</v>
      </c>
      <c r="G33" s="189">
        <v>11.3</v>
      </c>
      <c r="H33" s="180">
        <v>8.1999999999999993</v>
      </c>
      <c r="I33" s="188">
        <v>8.1999999999999993</v>
      </c>
      <c r="J33" s="180">
        <v>8.6999999999999993</v>
      </c>
      <c r="K33" s="187">
        <v>7.6</v>
      </c>
    </row>
    <row r="34" spans="1:11" ht="18" customHeight="1">
      <c r="A34" s="191">
        <v>1995</v>
      </c>
      <c r="B34" s="190" t="s">
        <v>407</v>
      </c>
      <c r="C34" s="188">
        <v>9.1</v>
      </c>
      <c r="D34" s="188">
        <v>8.9</v>
      </c>
      <c r="E34" s="180">
        <v>8.6</v>
      </c>
      <c r="F34" s="189">
        <v>8.5</v>
      </c>
      <c r="G34" s="189">
        <v>10.4</v>
      </c>
      <c r="H34" s="180">
        <v>8.4</v>
      </c>
      <c r="I34" s="188">
        <v>8.4</v>
      </c>
      <c r="J34" s="180">
        <v>8.3000000000000007</v>
      </c>
      <c r="K34" s="187">
        <v>8</v>
      </c>
    </row>
    <row r="35" spans="1:11" ht="18" customHeight="1">
      <c r="A35" s="191">
        <v>1995</v>
      </c>
      <c r="B35" s="190" t="s">
        <v>408</v>
      </c>
      <c r="C35" s="188">
        <v>8.6999999999999993</v>
      </c>
      <c r="D35" s="188">
        <v>8.9</v>
      </c>
      <c r="E35" s="180">
        <v>8.5</v>
      </c>
      <c r="F35" s="189">
        <v>8.5</v>
      </c>
      <c r="G35" s="189">
        <v>10</v>
      </c>
      <c r="H35" s="180">
        <v>8.4</v>
      </c>
      <c r="I35" s="188">
        <v>8.4</v>
      </c>
      <c r="J35" s="180">
        <v>8.3000000000000007</v>
      </c>
      <c r="K35" s="187">
        <v>8.1</v>
      </c>
    </row>
    <row r="36" spans="1:11" ht="18" customHeight="1">
      <c r="A36" s="191">
        <v>1995</v>
      </c>
      <c r="B36" s="190" t="s">
        <v>409</v>
      </c>
      <c r="C36" s="188">
        <v>8.1</v>
      </c>
      <c r="D36" s="188">
        <v>8.3000000000000007</v>
      </c>
      <c r="E36" s="180">
        <v>8.1999999999999993</v>
      </c>
      <c r="F36" s="189">
        <v>8.1999999999999993</v>
      </c>
      <c r="G36" s="189">
        <v>9.5</v>
      </c>
      <c r="H36" s="180">
        <v>8.1</v>
      </c>
      <c r="I36" s="188">
        <v>8.1</v>
      </c>
      <c r="J36" s="180">
        <v>8.3000000000000007</v>
      </c>
      <c r="K36" s="187">
        <v>7.9</v>
      </c>
    </row>
    <row r="37" spans="1:11" ht="18" customHeight="1">
      <c r="A37" s="191">
        <v>1995</v>
      </c>
      <c r="B37" s="190" t="s">
        <v>410</v>
      </c>
      <c r="C37" s="188">
        <v>8.1</v>
      </c>
      <c r="D37" s="188">
        <v>8.1</v>
      </c>
      <c r="E37" s="180">
        <v>8.1</v>
      </c>
      <c r="F37" s="189">
        <v>8.1</v>
      </c>
      <c r="G37" s="189">
        <v>10.7</v>
      </c>
      <c r="H37" s="180">
        <v>8</v>
      </c>
      <c r="I37" s="188">
        <v>8</v>
      </c>
      <c r="J37" s="180">
        <v>8.4</v>
      </c>
      <c r="K37" s="187">
        <v>7.6</v>
      </c>
    </row>
    <row r="38" spans="1:11" ht="18" customHeight="1" thickBot="1">
      <c r="A38" s="186"/>
      <c r="B38" s="185"/>
      <c r="C38" s="183"/>
      <c r="D38" s="183"/>
      <c r="E38" s="184"/>
      <c r="F38" s="182"/>
      <c r="G38" s="182"/>
      <c r="H38" s="182"/>
      <c r="I38" s="183"/>
      <c r="J38" s="182"/>
      <c r="K38" s="181"/>
    </row>
  </sheetData>
  <printOptions horizontalCentered="1" verticalCentered="1"/>
  <pageMargins left="0" right="0" top="0" bottom="0" header="0" footer="0"/>
  <pageSetup paperSize="9" orientation="landscape" horizontalDpi="300" verticalDpi="300" r:id="rId1"/>
  <headerFooter alignWithMargins="0">
    <oddHeader>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497C-8DED-4FCA-94B5-B414F2F0A8CC}">
  <sheetPr syncVertical="1" syncRef="A1" transitionEvaluation="1">
    <pageSetUpPr fitToPage="1"/>
  </sheetPr>
  <dimension ref="A1:H40"/>
  <sheetViews>
    <sheetView showGridLines="0" workbookViewId="0">
      <selection activeCell="I45" sqref="I45"/>
    </sheetView>
  </sheetViews>
  <sheetFormatPr defaultColWidth="10.26953125" defaultRowHeight="13"/>
  <cols>
    <col min="1" max="1" width="7" style="220" customWidth="1"/>
    <col min="2" max="2" width="24.453125" style="219" customWidth="1"/>
    <col min="3" max="3" width="9.1796875" style="220" customWidth="1"/>
    <col min="4" max="4" width="16.81640625" style="219" customWidth="1"/>
    <col min="5" max="5" width="9.1796875" style="220" customWidth="1"/>
    <col min="6" max="6" width="11.36328125" style="220" customWidth="1"/>
    <col min="7" max="7" width="11.36328125" style="221" customWidth="1"/>
    <col min="8" max="8" width="1.54296875" style="219" customWidth="1"/>
    <col min="9" max="9" width="10.26953125" style="219"/>
    <col min="10" max="11" width="9.1796875" style="219" customWidth="1"/>
    <col min="12" max="12" width="10.26953125" style="219" customWidth="1"/>
    <col min="13" max="13" width="9.1796875" style="219" customWidth="1"/>
    <col min="14" max="14" width="11.36328125" style="219" customWidth="1"/>
    <col min="15" max="15" width="9.1796875" style="219" customWidth="1"/>
    <col min="16" max="256" width="10.26953125" style="219"/>
    <col min="257" max="257" width="7" style="219" customWidth="1"/>
    <col min="258" max="258" width="24.453125" style="219" customWidth="1"/>
    <col min="259" max="259" width="9.1796875" style="219" customWidth="1"/>
    <col min="260" max="260" width="16.81640625" style="219" customWidth="1"/>
    <col min="261" max="261" width="9.1796875" style="219" customWidth="1"/>
    <col min="262" max="263" width="11.36328125" style="219" customWidth="1"/>
    <col min="264" max="264" width="1.54296875" style="219" customWidth="1"/>
    <col min="265" max="265" width="10.26953125" style="219"/>
    <col min="266" max="267" width="9.1796875" style="219" customWidth="1"/>
    <col min="268" max="268" width="10.26953125" style="219"/>
    <col min="269" max="269" width="9.1796875" style="219" customWidth="1"/>
    <col min="270" max="270" width="11.36328125" style="219" customWidth="1"/>
    <col min="271" max="271" width="9.1796875" style="219" customWidth="1"/>
    <col min="272" max="512" width="10.26953125" style="219"/>
    <col min="513" max="513" width="7" style="219" customWidth="1"/>
    <col min="514" max="514" width="24.453125" style="219" customWidth="1"/>
    <col min="515" max="515" width="9.1796875" style="219" customWidth="1"/>
    <col min="516" max="516" width="16.81640625" style="219" customWidth="1"/>
    <col min="517" max="517" width="9.1796875" style="219" customWidth="1"/>
    <col min="518" max="519" width="11.36328125" style="219" customWidth="1"/>
    <col min="520" max="520" width="1.54296875" style="219" customWidth="1"/>
    <col min="521" max="521" width="10.26953125" style="219"/>
    <col min="522" max="523" width="9.1796875" style="219" customWidth="1"/>
    <col min="524" max="524" width="10.26953125" style="219"/>
    <col min="525" max="525" width="9.1796875" style="219" customWidth="1"/>
    <col min="526" max="526" width="11.36328125" style="219" customWidth="1"/>
    <col min="527" max="527" width="9.1796875" style="219" customWidth="1"/>
    <col min="528" max="768" width="10.26953125" style="219"/>
    <col min="769" max="769" width="7" style="219" customWidth="1"/>
    <col min="770" max="770" width="24.453125" style="219" customWidth="1"/>
    <col min="771" max="771" width="9.1796875" style="219" customWidth="1"/>
    <col min="772" max="772" width="16.81640625" style="219" customWidth="1"/>
    <col min="773" max="773" width="9.1796875" style="219" customWidth="1"/>
    <col min="774" max="775" width="11.36328125" style="219" customWidth="1"/>
    <col min="776" max="776" width="1.54296875" style="219" customWidth="1"/>
    <col min="777" max="777" width="10.26953125" style="219"/>
    <col min="778" max="779" width="9.1796875" style="219" customWidth="1"/>
    <col min="780" max="780" width="10.26953125" style="219"/>
    <col min="781" max="781" width="9.1796875" style="219" customWidth="1"/>
    <col min="782" max="782" width="11.36328125" style="219" customWidth="1"/>
    <col min="783" max="783" width="9.1796875" style="219" customWidth="1"/>
    <col min="784" max="1024" width="10.26953125" style="219"/>
    <col min="1025" max="1025" width="7" style="219" customWidth="1"/>
    <col min="1026" max="1026" width="24.453125" style="219" customWidth="1"/>
    <col min="1027" max="1027" width="9.1796875" style="219" customWidth="1"/>
    <col min="1028" max="1028" width="16.81640625" style="219" customWidth="1"/>
    <col min="1029" max="1029" width="9.1796875" style="219" customWidth="1"/>
    <col min="1030" max="1031" width="11.36328125" style="219" customWidth="1"/>
    <col min="1032" max="1032" width="1.54296875" style="219" customWidth="1"/>
    <col min="1033" max="1033" width="10.26953125" style="219"/>
    <col min="1034" max="1035" width="9.1796875" style="219" customWidth="1"/>
    <col min="1036" max="1036" width="10.26953125" style="219"/>
    <col min="1037" max="1037" width="9.1796875" style="219" customWidth="1"/>
    <col min="1038" max="1038" width="11.36328125" style="219" customWidth="1"/>
    <col min="1039" max="1039" width="9.1796875" style="219" customWidth="1"/>
    <col min="1040" max="1280" width="10.26953125" style="219"/>
    <col min="1281" max="1281" width="7" style="219" customWidth="1"/>
    <col min="1282" max="1282" width="24.453125" style="219" customWidth="1"/>
    <col min="1283" max="1283" width="9.1796875" style="219" customWidth="1"/>
    <col min="1284" max="1284" width="16.81640625" style="219" customWidth="1"/>
    <col min="1285" max="1285" width="9.1796875" style="219" customWidth="1"/>
    <col min="1286" max="1287" width="11.36328125" style="219" customWidth="1"/>
    <col min="1288" max="1288" width="1.54296875" style="219" customWidth="1"/>
    <col min="1289" max="1289" width="10.26953125" style="219"/>
    <col min="1290" max="1291" width="9.1796875" style="219" customWidth="1"/>
    <col min="1292" max="1292" width="10.26953125" style="219"/>
    <col min="1293" max="1293" width="9.1796875" style="219" customWidth="1"/>
    <col min="1294" max="1294" width="11.36328125" style="219" customWidth="1"/>
    <col min="1295" max="1295" width="9.1796875" style="219" customWidth="1"/>
    <col min="1296" max="1536" width="10.26953125" style="219"/>
    <col min="1537" max="1537" width="7" style="219" customWidth="1"/>
    <col min="1538" max="1538" width="24.453125" style="219" customWidth="1"/>
    <col min="1539" max="1539" width="9.1796875" style="219" customWidth="1"/>
    <col min="1540" max="1540" width="16.81640625" style="219" customWidth="1"/>
    <col min="1541" max="1541" width="9.1796875" style="219" customWidth="1"/>
    <col min="1542" max="1543" width="11.36328125" style="219" customWidth="1"/>
    <col min="1544" max="1544" width="1.54296875" style="219" customWidth="1"/>
    <col min="1545" max="1545" width="10.26953125" style="219"/>
    <col min="1546" max="1547" width="9.1796875" style="219" customWidth="1"/>
    <col min="1548" max="1548" width="10.26953125" style="219"/>
    <col min="1549" max="1549" width="9.1796875" style="219" customWidth="1"/>
    <col min="1550" max="1550" width="11.36328125" style="219" customWidth="1"/>
    <col min="1551" max="1551" width="9.1796875" style="219" customWidth="1"/>
    <col min="1552" max="1792" width="10.26953125" style="219"/>
    <col min="1793" max="1793" width="7" style="219" customWidth="1"/>
    <col min="1794" max="1794" width="24.453125" style="219" customWidth="1"/>
    <col min="1795" max="1795" width="9.1796875" style="219" customWidth="1"/>
    <col min="1796" max="1796" width="16.81640625" style="219" customWidth="1"/>
    <col min="1797" max="1797" width="9.1796875" style="219" customWidth="1"/>
    <col min="1798" max="1799" width="11.36328125" style="219" customWidth="1"/>
    <col min="1800" max="1800" width="1.54296875" style="219" customWidth="1"/>
    <col min="1801" max="1801" width="10.26953125" style="219"/>
    <col min="1802" max="1803" width="9.1796875" style="219" customWidth="1"/>
    <col min="1804" max="1804" width="10.26953125" style="219"/>
    <col min="1805" max="1805" width="9.1796875" style="219" customWidth="1"/>
    <col min="1806" max="1806" width="11.36328125" style="219" customWidth="1"/>
    <col min="1807" max="1807" width="9.1796875" style="219" customWidth="1"/>
    <col min="1808" max="2048" width="10.26953125" style="219"/>
    <col min="2049" max="2049" width="7" style="219" customWidth="1"/>
    <col min="2050" max="2050" width="24.453125" style="219" customWidth="1"/>
    <col min="2051" max="2051" width="9.1796875" style="219" customWidth="1"/>
    <col min="2052" max="2052" width="16.81640625" style="219" customWidth="1"/>
    <col min="2053" max="2053" width="9.1796875" style="219" customWidth="1"/>
    <col min="2054" max="2055" width="11.36328125" style="219" customWidth="1"/>
    <col min="2056" max="2056" width="1.54296875" style="219" customWidth="1"/>
    <col min="2057" max="2057" width="10.26953125" style="219"/>
    <col min="2058" max="2059" width="9.1796875" style="219" customWidth="1"/>
    <col min="2060" max="2060" width="10.26953125" style="219"/>
    <col min="2061" max="2061" width="9.1796875" style="219" customWidth="1"/>
    <col min="2062" max="2062" width="11.36328125" style="219" customWidth="1"/>
    <col min="2063" max="2063" width="9.1796875" style="219" customWidth="1"/>
    <col min="2064" max="2304" width="10.26953125" style="219"/>
    <col min="2305" max="2305" width="7" style="219" customWidth="1"/>
    <col min="2306" max="2306" width="24.453125" style="219" customWidth="1"/>
    <col min="2307" max="2307" width="9.1796875" style="219" customWidth="1"/>
    <col min="2308" max="2308" width="16.81640625" style="219" customWidth="1"/>
    <col min="2309" max="2309" width="9.1796875" style="219" customWidth="1"/>
    <col min="2310" max="2311" width="11.36328125" style="219" customWidth="1"/>
    <col min="2312" max="2312" width="1.54296875" style="219" customWidth="1"/>
    <col min="2313" max="2313" width="10.26953125" style="219"/>
    <col min="2314" max="2315" width="9.1796875" style="219" customWidth="1"/>
    <col min="2316" max="2316" width="10.26953125" style="219"/>
    <col min="2317" max="2317" width="9.1796875" style="219" customWidth="1"/>
    <col min="2318" max="2318" width="11.36328125" style="219" customWidth="1"/>
    <col min="2319" max="2319" width="9.1796875" style="219" customWidth="1"/>
    <col min="2320" max="2560" width="10.26953125" style="219"/>
    <col min="2561" max="2561" width="7" style="219" customWidth="1"/>
    <col min="2562" max="2562" width="24.453125" style="219" customWidth="1"/>
    <col min="2563" max="2563" width="9.1796875" style="219" customWidth="1"/>
    <col min="2564" max="2564" width="16.81640625" style="219" customWidth="1"/>
    <col min="2565" max="2565" width="9.1796875" style="219" customWidth="1"/>
    <col min="2566" max="2567" width="11.36328125" style="219" customWidth="1"/>
    <col min="2568" max="2568" width="1.54296875" style="219" customWidth="1"/>
    <col min="2569" max="2569" width="10.26953125" style="219"/>
    <col min="2570" max="2571" width="9.1796875" style="219" customWidth="1"/>
    <col min="2572" max="2572" width="10.26953125" style="219"/>
    <col min="2573" max="2573" width="9.1796875" style="219" customWidth="1"/>
    <col min="2574" max="2574" width="11.36328125" style="219" customWidth="1"/>
    <col min="2575" max="2575" width="9.1796875" style="219" customWidth="1"/>
    <col min="2576" max="2816" width="10.26953125" style="219"/>
    <col min="2817" max="2817" width="7" style="219" customWidth="1"/>
    <col min="2818" max="2818" width="24.453125" style="219" customWidth="1"/>
    <col min="2819" max="2819" width="9.1796875" style="219" customWidth="1"/>
    <col min="2820" max="2820" width="16.81640625" style="219" customWidth="1"/>
    <col min="2821" max="2821" width="9.1796875" style="219" customWidth="1"/>
    <col min="2822" max="2823" width="11.36328125" style="219" customWidth="1"/>
    <col min="2824" max="2824" width="1.54296875" style="219" customWidth="1"/>
    <col min="2825" max="2825" width="10.26953125" style="219"/>
    <col min="2826" max="2827" width="9.1796875" style="219" customWidth="1"/>
    <col min="2828" max="2828" width="10.26953125" style="219"/>
    <col min="2829" max="2829" width="9.1796875" style="219" customWidth="1"/>
    <col min="2830" max="2830" width="11.36328125" style="219" customWidth="1"/>
    <col min="2831" max="2831" width="9.1796875" style="219" customWidth="1"/>
    <col min="2832" max="3072" width="10.26953125" style="219"/>
    <col min="3073" max="3073" width="7" style="219" customWidth="1"/>
    <col min="3074" max="3074" width="24.453125" style="219" customWidth="1"/>
    <col min="3075" max="3075" width="9.1796875" style="219" customWidth="1"/>
    <col min="3076" max="3076" width="16.81640625" style="219" customWidth="1"/>
    <col min="3077" max="3077" width="9.1796875" style="219" customWidth="1"/>
    <col min="3078" max="3079" width="11.36328125" style="219" customWidth="1"/>
    <col min="3080" max="3080" width="1.54296875" style="219" customWidth="1"/>
    <col min="3081" max="3081" width="10.26953125" style="219"/>
    <col min="3082" max="3083" width="9.1796875" style="219" customWidth="1"/>
    <col min="3084" max="3084" width="10.26953125" style="219"/>
    <col min="3085" max="3085" width="9.1796875" style="219" customWidth="1"/>
    <col min="3086" max="3086" width="11.36328125" style="219" customWidth="1"/>
    <col min="3087" max="3087" width="9.1796875" style="219" customWidth="1"/>
    <col min="3088" max="3328" width="10.26953125" style="219"/>
    <col min="3329" max="3329" width="7" style="219" customWidth="1"/>
    <col min="3330" max="3330" width="24.453125" style="219" customWidth="1"/>
    <col min="3331" max="3331" width="9.1796875" style="219" customWidth="1"/>
    <col min="3332" max="3332" width="16.81640625" style="219" customWidth="1"/>
    <col min="3333" max="3333" width="9.1796875" style="219" customWidth="1"/>
    <col min="3334" max="3335" width="11.36328125" style="219" customWidth="1"/>
    <col min="3336" max="3336" width="1.54296875" style="219" customWidth="1"/>
    <col min="3337" max="3337" width="10.26953125" style="219"/>
    <col min="3338" max="3339" width="9.1796875" style="219" customWidth="1"/>
    <col min="3340" max="3340" width="10.26953125" style="219"/>
    <col min="3341" max="3341" width="9.1796875" style="219" customWidth="1"/>
    <col min="3342" max="3342" width="11.36328125" style="219" customWidth="1"/>
    <col min="3343" max="3343" width="9.1796875" style="219" customWidth="1"/>
    <col min="3344" max="3584" width="10.26953125" style="219"/>
    <col min="3585" max="3585" width="7" style="219" customWidth="1"/>
    <col min="3586" max="3586" width="24.453125" style="219" customWidth="1"/>
    <col min="3587" max="3587" width="9.1796875" style="219" customWidth="1"/>
    <col min="3588" max="3588" width="16.81640625" style="219" customWidth="1"/>
    <col min="3589" max="3589" width="9.1796875" style="219" customWidth="1"/>
    <col min="3590" max="3591" width="11.36328125" style="219" customWidth="1"/>
    <col min="3592" max="3592" width="1.54296875" style="219" customWidth="1"/>
    <col min="3593" max="3593" width="10.26953125" style="219"/>
    <col min="3594" max="3595" width="9.1796875" style="219" customWidth="1"/>
    <col min="3596" max="3596" width="10.26953125" style="219"/>
    <col min="3597" max="3597" width="9.1796875" style="219" customWidth="1"/>
    <col min="3598" max="3598" width="11.36328125" style="219" customWidth="1"/>
    <col min="3599" max="3599" width="9.1796875" style="219" customWidth="1"/>
    <col min="3600" max="3840" width="10.26953125" style="219"/>
    <col min="3841" max="3841" width="7" style="219" customWidth="1"/>
    <col min="3842" max="3842" width="24.453125" style="219" customWidth="1"/>
    <col min="3843" max="3843" width="9.1796875" style="219" customWidth="1"/>
    <col min="3844" max="3844" width="16.81640625" style="219" customWidth="1"/>
    <col min="3845" max="3845" width="9.1796875" style="219" customWidth="1"/>
    <col min="3846" max="3847" width="11.36328125" style="219" customWidth="1"/>
    <col min="3848" max="3848" width="1.54296875" style="219" customWidth="1"/>
    <col min="3849" max="3849" width="10.26953125" style="219"/>
    <col min="3850" max="3851" width="9.1796875" style="219" customWidth="1"/>
    <col min="3852" max="3852" width="10.26953125" style="219"/>
    <col min="3853" max="3853" width="9.1796875" style="219" customWidth="1"/>
    <col min="3854" max="3854" width="11.36328125" style="219" customWidth="1"/>
    <col min="3855" max="3855" width="9.1796875" style="219" customWidth="1"/>
    <col min="3856" max="4096" width="10.26953125" style="219"/>
    <col min="4097" max="4097" width="7" style="219" customWidth="1"/>
    <col min="4098" max="4098" width="24.453125" style="219" customWidth="1"/>
    <col min="4099" max="4099" width="9.1796875" style="219" customWidth="1"/>
    <col min="4100" max="4100" width="16.81640625" style="219" customWidth="1"/>
    <col min="4101" max="4101" width="9.1796875" style="219" customWidth="1"/>
    <col min="4102" max="4103" width="11.36328125" style="219" customWidth="1"/>
    <col min="4104" max="4104" width="1.54296875" style="219" customWidth="1"/>
    <col min="4105" max="4105" width="10.26953125" style="219"/>
    <col min="4106" max="4107" width="9.1796875" style="219" customWidth="1"/>
    <col min="4108" max="4108" width="10.26953125" style="219"/>
    <col min="4109" max="4109" width="9.1796875" style="219" customWidth="1"/>
    <col min="4110" max="4110" width="11.36328125" style="219" customWidth="1"/>
    <col min="4111" max="4111" width="9.1796875" style="219" customWidth="1"/>
    <col min="4112" max="4352" width="10.26953125" style="219"/>
    <col min="4353" max="4353" width="7" style="219" customWidth="1"/>
    <col min="4354" max="4354" width="24.453125" style="219" customWidth="1"/>
    <col min="4355" max="4355" width="9.1796875" style="219" customWidth="1"/>
    <col min="4356" max="4356" width="16.81640625" style="219" customWidth="1"/>
    <col min="4357" max="4357" width="9.1796875" style="219" customWidth="1"/>
    <col min="4358" max="4359" width="11.36328125" style="219" customWidth="1"/>
    <col min="4360" max="4360" width="1.54296875" style="219" customWidth="1"/>
    <col min="4361" max="4361" width="10.26953125" style="219"/>
    <col min="4362" max="4363" width="9.1796875" style="219" customWidth="1"/>
    <col min="4364" max="4364" width="10.26953125" style="219"/>
    <col min="4365" max="4365" width="9.1796875" style="219" customWidth="1"/>
    <col min="4366" max="4366" width="11.36328125" style="219" customWidth="1"/>
    <col min="4367" max="4367" width="9.1796875" style="219" customWidth="1"/>
    <col min="4368" max="4608" width="10.26953125" style="219"/>
    <col min="4609" max="4609" width="7" style="219" customWidth="1"/>
    <col min="4610" max="4610" width="24.453125" style="219" customWidth="1"/>
    <col min="4611" max="4611" width="9.1796875" style="219" customWidth="1"/>
    <col min="4612" max="4612" width="16.81640625" style="219" customWidth="1"/>
    <col min="4613" max="4613" width="9.1796875" style="219" customWidth="1"/>
    <col min="4614" max="4615" width="11.36328125" style="219" customWidth="1"/>
    <col min="4616" max="4616" width="1.54296875" style="219" customWidth="1"/>
    <col min="4617" max="4617" width="10.26953125" style="219"/>
    <col min="4618" max="4619" width="9.1796875" style="219" customWidth="1"/>
    <col min="4620" max="4620" width="10.26953125" style="219"/>
    <col min="4621" max="4621" width="9.1796875" style="219" customWidth="1"/>
    <col min="4622" max="4622" width="11.36328125" style="219" customWidth="1"/>
    <col min="4623" max="4623" width="9.1796875" style="219" customWidth="1"/>
    <col min="4624" max="4864" width="10.26953125" style="219"/>
    <col min="4865" max="4865" width="7" style="219" customWidth="1"/>
    <col min="4866" max="4866" width="24.453125" style="219" customWidth="1"/>
    <col min="4867" max="4867" width="9.1796875" style="219" customWidth="1"/>
    <col min="4868" max="4868" width="16.81640625" style="219" customWidth="1"/>
    <col min="4869" max="4869" width="9.1796875" style="219" customWidth="1"/>
    <col min="4870" max="4871" width="11.36328125" style="219" customWidth="1"/>
    <col min="4872" max="4872" width="1.54296875" style="219" customWidth="1"/>
    <col min="4873" max="4873" width="10.26953125" style="219"/>
    <col min="4874" max="4875" width="9.1796875" style="219" customWidth="1"/>
    <col min="4876" max="4876" width="10.26953125" style="219"/>
    <col min="4877" max="4877" width="9.1796875" style="219" customWidth="1"/>
    <col min="4878" max="4878" width="11.36328125" style="219" customWidth="1"/>
    <col min="4879" max="4879" width="9.1796875" style="219" customWidth="1"/>
    <col min="4880" max="5120" width="10.26953125" style="219"/>
    <col min="5121" max="5121" width="7" style="219" customWidth="1"/>
    <col min="5122" max="5122" width="24.453125" style="219" customWidth="1"/>
    <col min="5123" max="5123" width="9.1796875" style="219" customWidth="1"/>
    <col min="5124" max="5124" width="16.81640625" style="219" customWidth="1"/>
    <col min="5125" max="5125" width="9.1796875" style="219" customWidth="1"/>
    <col min="5126" max="5127" width="11.36328125" style="219" customWidth="1"/>
    <col min="5128" max="5128" width="1.54296875" style="219" customWidth="1"/>
    <col min="5129" max="5129" width="10.26953125" style="219"/>
    <col min="5130" max="5131" width="9.1796875" style="219" customWidth="1"/>
    <col min="5132" max="5132" width="10.26953125" style="219"/>
    <col min="5133" max="5133" width="9.1796875" style="219" customWidth="1"/>
    <col min="5134" max="5134" width="11.36328125" style="219" customWidth="1"/>
    <col min="5135" max="5135" width="9.1796875" style="219" customWidth="1"/>
    <col min="5136" max="5376" width="10.26953125" style="219"/>
    <col min="5377" max="5377" width="7" style="219" customWidth="1"/>
    <col min="5378" max="5378" width="24.453125" style="219" customWidth="1"/>
    <col min="5379" max="5379" width="9.1796875" style="219" customWidth="1"/>
    <col min="5380" max="5380" width="16.81640625" style="219" customWidth="1"/>
    <col min="5381" max="5381" width="9.1796875" style="219" customWidth="1"/>
    <col min="5382" max="5383" width="11.36328125" style="219" customWidth="1"/>
    <col min="5384" max="5384" width="1.54296875" style="219" customWidth="1"/>
    <col min="5385" max="5385" width="10.26953125" style="219"/>
    <col min="5386" max="5387" width="9.1796875" style="219" customWidth="1"/>
    <col min="5388" max="5388" width="10.26953125" style="219"/>
    <col min="5389" max="5389" width="9.1796875" style="219" customWidth="1"/>
    <col min="5390" max="5390" width="11.36328125" style="219" customWidth="1"/>
    <col min="5391" max="5391" width="9.1796875" style="219" customWidth="1"/>
    <col min="5392" max="5632" width="10.26953125" style="219"/>
    <col min="5633" max="5633" width="7" style="219" customWidth="1"/>
    <col min="5634" max="5634" width="24.453125" style="219" customWidth="1"/>
    <col min="5635" max="5635" width="9.1796875" style="219" customWidth="1"/>
    <col min="5636" max="5636" width="16.81640625" style="219" customWidth="1"/>
    <col min="5637" max="5637" width="9.1796875" style="219" customWidth="1"/>
    <col min="5638" max="5639" width="11.36328125" style="219" customWidth="1"/>
    <col min="5640" max="5640" width="1.54296875" style="219" customWidth="1"/>
    <col min="5641" max="5641" width="10.26953125" style="219"/>
    <col min="5642" max="5643" width="9.1796875" style="219" customWidth="1"/>
    <col min="5644" max="5644" width="10.26953125" style="219"/>
    <col min="5645" max="5645" width="9.1796875" style="219" customWidth="1"/>
    <col min="5646" max="5646" width="11.36328125" style="219" customWidth="1"/>
    <col min="5647" max="5647" width="9.1796875" style="219" customWidth="1"/>
    <col min="5648" max="5888" width="10.26953125" style="219"/>
    <col min="5889" max="5889" width="7" style="219" customWidth="1"/>
    <col min="5890" max="5890" width="24.453125" style="219" customWidth="1"/>
    <col min="5891" max="5891" width="9.1796875" style="219" customWidth="1"/>
    <col min="5892" max="5892" width="16.81640625" style="219" customWidth="1"/>
    <col min="5893" max="5893" width="9.1796875" style="219" customWidth="1"/>
    <col min="5894" max="5895" width="11.36328125" style="219" customWidth="1"/>
    <col min="5896" max="5896" width="1.54296875" style="219" customWidth="1"/>
    <col min="5897" max="5897" width="10.26953125" style="219"/>
    <col min="5898" max="5899" width="9.1796875" style="219" customWidth="1"/>
    <col min="5900" max="5900" width="10.26953125" style="219"/>
    <col min="5901" max="5901" width="9.1796875" style="219" customWidth="1"/>
    <col min="5902" max="5902" width="11.36328125" style="219" customWidth="1"/>
    <col min="5903" max="5903" width="9.1796875" style="219" customWidth="1"/>
    <col min="5904" max="6144" width="10.26953125" style="219"/>
    <col min="6145" max="6145" width="7" style="219" customWidth="1"/>
    <col min="6146" max="6146" width="24.453125" style="219" customWidth="1"/>
    <col min="6147" max="6147" width="9.1796875" style="219" customWidth="1"/>
    <col min="6148" max="6148" width="16.81640625" style="219" customWidth="1"/>
    <col min="6149" max="6149" width="9.1796875" style="219" customWidth="1"/>
    <col min="6150" max="6151" width="11.36328125" style="219" customWidth="1"/>
    <col min="6152" max="6152" width="1.54296875" style="219" customWidth="1"/>
    <col min="6153" max="6153" width="10.26953125" style="219"/>
    <col min="6154" max="6155" width="9.1796875" style="219" customWidth="1"/>
    <col min="6156" max="6156" width="10.26953125" style="219"/>
    <col min="6157" max="6157" width="9.1796875" style="219" customWidth="1"/>
    <col min="6158" max="6158" width="11.36328125" style="219" customWidth="1"/>
    <col min="6159" max="6159" width="9.1796875" style="219" customWidth="1"/>
    <col min="6160" max="6400" width="10.26953125" style="219"/>
    <col min="6401" max="6401" width="7" style="219" customWidth="1"/>
    <col min="6402" max="6402" width="24.453125" style="219" customWidth="1"/>
    <col min="6403" max="6403" width="9.1796875" style="219" customWidth="1"/>
    <col min="6404" max="6404" width="16.81640625" style="219" customWidth="1"/>
    <col min="6405" max="6405" width="9.1796875" style="219" customWidth="1"/>
    <col min="6406" max="6407" width="11.36328125" style="219" customWidth="1"/>
    <col min="6408" max="6408" width="1.54296875" style="219" customWidth="1"/>
    <col min="6409" max="6409" width="10.26953125" style="219"/>
    <col min="6410" max="6411" width="9.1796875" style="219" customWidth="1"/>
    <col min="6412" max="6412" width="10.26953125" style="219"/>
    <col min="6413" max="6413" width="9.1796875" style="219" customWidth="1"/>
    <col min="6414" max="6414" width="11.36328125" style="219" customWidth="1"/>
    <col min="6415" max="6415" width="9.1796875" style="219" customWidth="1"/>
    <col min="6416" max="6656" width="10.26953125" style="219"/>
    <col min="6657" max="6657" width="7" style="219" customWidth="1"/>
    <col min="6658" max="6658" width="24.453125" style="219" customWidth="1"/>
    <col min="6659" max="6659" width="9.1796875" style="219" customWidth="1"/>
    <col min="6660" max="6660" width="16.81640625" style="219" customWidth="1"/>
    <col min="6661" max="6661" width="9.1796875" style="219" customWidth="1"/>
    <col min="6662" max="6663" width="11.36328125" style="219" customWidth="1"/>
    <col min="6664" max="6664" width="1.54296875" style="219" customWidth="1"/>
    <col min="6665" max="6665" width="10.26953125" style="219"/>
    <col min="6666" max="6667" width="9.1796875" style="219" customWidth="1"/>
    <col min="6668" max="6668" width="10.26953125" style="219"/>
    <col min="6669" max="6669" width="9.1796875" style="219" customWidth="1"/>
    <col min="6670" max="6670" width="11.36328125" style="219" customWidth="1"/>
    <col min="6671" max="6671" width="9.1796875" style="219" customWidth="1"/>
    <col min="6672" max="6912" width="10.26953125" style="219"/>
    <col min="6913" max="6913" width="7" style="219" customWidth="1"/>
    <col min="6914" max="6914" width="24.453125" style="219" customWidth="1"/>
    <col min="6915" max="6915" width="9.1796875" style="219" customWidth="1"/>
    <col min="6916" max="6916" width="16.81640625" style="219" customWidth="1"/>
    <col min="6917" max="6917" width="9.1796875" style="219" customWidth="1"/>
    <col min="6918" max="6919" width="11.36328125" style="219" customWidth="1"/>
    <col min="6920" max="6920" width="1.54296875" style="219" customWidth="1"/>
    <col min="6921" max="6921" width="10.26953125" style="219"/>
    <col min="6922" max="6923" width="9.1796875" style="219" customWidth="1"/>
    <col min="6924" max="6924" width="10.26953125" style="219"/>
    <col min="6925" max="6925" width="9.1796875" style="219" customWidth="1"/>
    <col min="6926" max="6926" width="11.36328125" style="219" customWidth="1"/>
    <col min="6927" max="6927" width="9.1796875" style="219" customWidth="1"/>
    <col min="6928" max="7168" width="10.26953125" style="219"/>
    <col min="7169" max="7169" width="7" style="219" customWidth="1"/>
    <col min="7170" max="7170" width="24.453125" style="219" customWidth="1"/>
    <col min="7171" max="7171" width="9.1796875" style="219" customWidth="1"/>
    <col min="7172" max="7172" width="16.81640625" style="219" customWidth="1"/>
    <col min="7173" max="7173" width="9.1796875" style="219" customWidth="1"/>
    <col min="7174" max="7175" width="11.36328125" style="219" customWidth="1"/>
    <col min="7176" max="7176" width="1.54296875" style="219" customWidth="1"/>
    <col min="7177" max="7177" width="10.26953125" style="219"/>
    <col min="7178" max="7179" width="9.1796875" style="219" customWidth="1"/>
    <col min="7180" max="7180" width="10.26953125" style="219"/>
    <col min="7181" max="7181" width="9.1796875" style="219" customWidth="1"/>
    <col min="7182" max="7182" width="11.36328125" style="219" customWidth="1"/>
    <col min="7183" max="7183" width="9.1796875" style="219" customWidth="1"/>
    <col min="7184" max="7424" width="10.26953125" style="219"/>
    <col min="7425" max="7425" width="7" style="219" customWidth="1"/>
    <col min="7426" max="7426" width="24.453125" style="219" customWidth="1"/>
    <col min="7427" max="7427" width="9.1796875" style="219" customWidth="1"/>
    <col min="7428" max="7428" width="16.81640625" style="219" customWidth="1"/>
    <col min="7429" max="7429" width="9.1796875" style="219" customWidth="1"/>
    <col min="7430" max="7431" width="11.36328125" style="219" customWidth="1"/>
    <col min="7432" max="7432" width="1.54296875" style="219" customWidth="1"/>
    <col min="7433" max="7433" width="10.26953125" style="219"/>
    <col min="7434" max="7435" width="9.1796875" style="219" customWidth="1"/>
    <col min="7436" max="7436" width="10.26953125" style="219"/>
    <col min="7437" max="7437" width="9.1796875" style="219" customWidth="1"/>
    <col min="7438" max="7438" width="11.36328125" style="219" customWidth="1"/>
    <col min="7439" max="7439" width="9.1796875" style="219" customWidth="1"/>
    <col min="7440" max="7680" width="10.26953125" style="219"/>
    <col min="7681" max="7681" width="7" style="219" customWidth="1"/>
    <col min="7682" max="7682" width="24.453125" style="219" customWidth="1"/>
    <col min="7683" max="7683" width="9.1796875" style="219" customWidth="1"/>
    <col min="7684" max="7684" width="16.81640625" style="219" customWidth="1"/>
    <col min="7685" max="7685" width="9.1796875" style="219" customWidth="1"/>
    <col min="7686" max="7687" width="11.36328125" style="219" customWidth="1"/>
    <col min="7688" max="7688" width="1.54296875" style="219" customWidth="1"/>
    <col min="7689" max="7689" width="10.26953125" style="219"/>
    <col min="7690" max="7691" width="9.1796875" style="219" customWidth="1"/>
    <col min="7692" max="7692" width="10.26953125" style="219"/>
    <col min="7693" max="7693" width="9.1796875" style="219" customWidth="1"/>
    <col min="7694" max="7694" width="11.36328125" style="219" customWidth="1"/>
    <col min="7695" max="7695" width="9.1796875" style="219" customWidth="1"/>
    <col min="7696" max="7936" width="10.26953125" style="219"/>
    <col min="7937" max="7937" width="7" style="219" customWidth="1"/>
    <col min="7938" max="7938" width="24.453125" style="219" customWidth="1"/>
    <col min="7939" max="7939" width="9.1796875" style="219" customWidth="1"/>
    <col min="7940" max="7940" width="16.81640625" style="219" customWidth="1"/>
    <col min="7941" max="7941" width="9.1796875" style="219" customWidth="1"/>
    <col min="7942" max="7943" width="11.36328125" style="219" customWidth="1"/>
    <col min="7944" max="7944" width="1.54296875" style="219" customWidth="1"/>
    <col min="7945" max="7945" width="10.26953125" style="219"/>
    <col min="7946" max="7947" width="9.1796875" style="219" customWidth="1"/>
    <col min="7948" max="7948" width="10.26953125" style="219"/>
    <col min="7949" max="7949" width="9.1796875" style="219" customWidth="1"/>
    <col min="7950" max="7950" width="11.36328125" style="219" customWidth="1"/>
    <col min="7951" max="7951" width="9.1796875" style="219" customWidth="1"/>
    <col min="7952" max="8192" width="10.26953125" style="219"/>
    <col min="8193" max="8193" width="7" style="219" customWidth="1"/>
    <col min="8194" max="8194" width="24.453125" style="219" customWidth="1"/>
    <col min="8195" max="8195" width="9.1796875" style="219" customWidth="1"/>
    <col min="8196" max="8196" width="16.81640625" style="219" customWidth="1"/>
    <col min="8197" max="8197" width="9.1796875" style="219" customWidth="1"/>
    <col min="8198" max="8199" width="11.36328125" style="219" customWidth="1"/>
    <col min="8200" max="8200" width="1.54296875" style="219" customWidth="1"/>
    <col min="8201" max="8201" width="10.26953125" style="219"/>
    <col min="8202" max="8203" width="9.1796875" style="219" customWidth="1"/>
    <col min="8204" max="8204" width="10.26953125" style="219"/>
    <col min="8205" max="8205" width="9.1796875" style="219" customWidth="1"/>
    <col min="8206" max="8206" width="11.36328125" style="219" customWidth="1"/>
    <col min="8207" max="8207" width="9.1796875" style="219" customWidth="1"/>
    <col min="8208" max="8448" width="10.26953125" style="219"/>
    <col min="8449" max="8449" width="7" style="219" customWidth="1"/>
    <col min="8450" max="8450" width="24.453125" style="219" customWidth="1"/>
    <col min="8451" max="8451" width="9.1796875" style="219" customWidth="1"/>
    <col min="8452" max="8452" width="16.81640625" style="219" customWidth="1"/>
    <col min="8453" max="8453" width="9.1796875" style="219" customWidth="1"/>
    <col min="8454" max="8455" width="11.36328125" style="219" customWidth="1"/>
    <col min="8456" max="8456" width="1.54296875" style="219" customWidth="1"/>
    <col min="8457" max="8457" width="10.26953125" style="219"/>
    <col min="8458" max="8459" width="9.1796875" style="219" customWidth="1"/>
    <col min="8460" max="8460" width="10.26953125" style="219"/>
    <col min="8461" max="8461" width="9.1796875" style="219" customWidth="1"/>
    <col min="8462" max="8462" width="11.36328125" style="219" customWidth="1"/>
    <col min="8463" max="8463" width="9.1796875" style="219" customWidth="1"/>
    <col min="8464" max="8704" width="10.26953125" style="219"/>
    <col min="8705" max="8705" width="7" style="219" customWidth="1"/>
    <col min="8706" max="8706" width="24.453125" style="219" customWidth="1"/>
    <col min="8707" max="8707" width="9.1796875" style="219" customWidth="1"/>
    <col min="8708" max="8708" width="16.81640625" style="219" customWidth="1"/>
    <col min="8709" max="8709" width="9.1796875" style="219" customWidth="1"/>
    <col min="8710" max="8711" width="11.36328125" style="219" customWidth="1"/>
    <col min="8712" max="8712" width="1.54296875" style="219" customWidth="1"/>
    <col min="8713" max="8713" width="10.26953125" style="219"/>
    <col min="8714" max="8715" width="9.1796875" style="219" customWidth="1"/>
    <col min="8716" max="8716" width="10.26953125" style="219"/>
    <col min="8717" max="8717" width="9.1796875" style="219" customWidth="1"/>
    <col min="8718" max="8718" width="11.36328125" style="219" customWidth="1"/>
    <col min="8719" max="8719" width="9.1796875" style="219" customWidth="1"/>
    <col min="8720" max="8960" width="10.26953125" style="219"/>
    <col min="8961" max="8961" width="7" style="219" customWidth="1"/>
    <col min="8962" max="8962" width="24.453125" style="219" customWidth="1"/>
    <col min="8963" max="8963" width="9.1796875" style="219" customWidth="1"/>
    <col min="8964" max="8964" width="16.81640625" style="219" customWidth="1"/>
    <col min="8965" max="8965" width="9.1796875" style="219" customWidth="1"/>
    <col min="8966" max="8967" width="11.36328125" style="219" customWidth="1"/>
    <col min="8968" max="8968" width="1.54296875" style="219" customWidth="1"/>
    <col min="8969" max="8969" width="10.26953125" style="219"/>
    <col min="8970" max="8971" width="9.1796875" style="219" customWidth="1"/>
    <col min="8972" max="8972" width="10.26953125" style="219"/>
    <col min="8973" max="8973" width="9.1796875" style="219" customWidth="1"/>
    <col min="8974" max="8974" width="11.36328125" style="219" customWidth="1"/>
    <col min="8975" max="8975" width="9.1796875" style="219" customWidth="1"/>
    <col min="8976" max="9216" width="10.26953125" style="219"/>
    <col min="9217" max="9217" width="7" style="219" customWidth="1"/>
    <col min="9218" max="9218" width="24.453125" style="219" customWidth="1"/>
    <col min="9219" max="9219" width="9.1796875" style="219" customWidth="1"/>
    <col min="9220" max="9220" width="16.81640625" style="219" customWidth="1"/>
    <col min="9221" max="9221" width="9.1796875" style="219" customWidth="1"/>
    <col min="9222" max="9223" width="11.36328125" style="219" customWidth="1"/>
    <col min="9224" max="9224" width="1.54296875" style="219" customWidth="1"/>
    <col min="9225" max="9225" width="10.26953125" style="219"/>
    <col min="9226" max="9227" width="9.1796875" style="219" customWidth="1"/>
    <col min="9228" max="9228" width="10.26953125" style="219"/>
    <col min="9229" max="9229" width="9.1796875" style="219" customWidth="1"/>
    <col min="9230" max="9230" width="11.36328125" style="219" customWidth="1"/>
    <col min="9231" max="9231" width="9.1796875" style="219" customWidth="1"/>
    <col min="9232" max="9472" width="10.26953125" style="219"/>
    <col min="9473" max="9473" width="7" style="219" customWidth="1"/>
    <col min="9474" max="9474" width="24.453125" style="219" customWidth="1"/>
    <col min="9475" max="9475" width="9.1796875" style="219" customWidth="1"/>
    <col min="9476" max="9476" width="16.81640625" style="219" customWidth="1"/>
    <col min="9477" max="9477" width="9.1796875" style="219" customWidth="1"/>
    <col min="9478" max="9479" width="11.36328125" style="219" customWidth="1"/>
    <col min="9480" max="9480" width="1.54296875" style="219" customWidth="1"/>
    <col min="9481" max="9481" width="10.26953125" style="219"/>
    <col min="9482" max="9483" width="9.1796875" style="219" customWidth="1"/>
    <col min="9484" max="9484" width="10.26953125" style="219"/>
    <col min="9485" max="9485" width="9.1796875" style="219" customWidth="1"/>
    <col min="9486" max="9486" width="11.36328125" style="219" customWidth="1"/>
    <col min="9487" max="9487" width="9.1796875" style="219" customWidth="1"/>
    <col min="9488" max="9728" width="10.26953125" style="219"/>
    <col min="9729" max="9729" width="7" style="219" customWidth="1"/>
    <col min="9730" max="9730" width="24.453125" style="219" customWidth="1"/>
    <col min="9731" max="9731" width="9.1796875" style="219" customWidth="1"/>
    <col min="9732" max="9732" width="16.81640625" style="219" customWidth="1"/>
    <col min="9733" max="9733" width="9.1796875" style="219" customWidth="1"/>
    <col min="9734" max="9735" width="11.36328125" style="219" customWidth="1"/>
    <col min="9736" max="9736" width="1.54296875" style="219" customWidth="1"/>
    <col min="9737" max="9737" width="10.26953125" style="219"/>
    <col min="9738" max="9739" width="9.1796875" style="219" customWidth="1"/>
    <col min="9740" max="9740" width="10.26953125" style="219"/>
    <col min="9741" max="9741" width="9.1796875" style="219" customWidth="1"/>
    <col min="9742" max="9742" width="11.36328125" style="219" customWidth="1"/>
    <col min="9743" max="9743" width="9.1796875" style="219" customWidth="1"/>
    <col min="9744" max="9984" width="10.26953125" style="219"/>
    <col min="9985" max="9985" width="7" style="219" customWidth="1"/>
    <col min="9986" max="9986" width="24.453125" style="219" customWidth="1"/>
    <col min="9987" max="9987" width="9.1796875" style="219" customWidth="1"/>
    <col min="9988" max="9988" width="16.81640625" style="219" customWidth="1"/>
    <col min="9989" max="9989" width="9.1796875" style="219" customWidth="1"/>
    <col min="9990" max="9991" width="11.36328125" style="219" customWidth="1"/>
    <col min="9992" max="9992" width="1.54296875" style="219" customWidth="1"/>
    <col min="9993" max="9993" width="10.26953125" style="219"/>
    <col min="9994" max="9995" width="9.1796875" style="219" customWidth="1"/>
    <col min="9996" max="9996" width="10.26953125" style="219"/>
    <col min="9997" max="9997" width="9.1796875" style="219" customWidth="1"/>
    <col min="9998" max="9998" width="11.36328125" style="219" customWidth="1"/>
    <col min="9999" max="9999" width="9.1796875" style="219" customWidth="1"/>
    <col min="10000" max="10240" width="10.26953125" style="219"/>
    <col min="10241" max="10241" width="7" style="219" customWidth="1"/>
    <col min="10242" max="10242" width="24.453125" style="219" customWidth="1"/>
    <col min="10243" max="10243" width="9.1796875" style="219" customWidth="1"/>
    <col min="10244" max="10244" width="16.81640625" style="219" customWidth="1"/>
    <col min="10245" max="10245" width="9.1796875" style="219" customWidth="1"/>
    <col min="10246" max="10247" width="11.36328125" style="219" customWidth="1"/>
    <col min="10248" max="10248" width="1.54296875" style="219" customWidth="1"/>
    <col min="10249" max="10249" width="10.26953125" style="219"/>
    <col min="10250" max="10251" width="9.1796875" style="219" customWidth="1"/>
    <col min="10252" max="10252" width="10.26953125" style="219"/>
    <col min="10253" max="10253" width="9.1796875" style="219" customWidth="1"/>
    <col min="10254" max="10254" width="11.36328125" style="219" customWidth="1"/>
    <col min="10255" max="10255" width="9.1796875" style="219" customWidth="1"/>
    <col min="10256" max="10496" width="10.26953125" style="219"/>
    <col min="10497" max="10497" width="7" style="219" customWidth="1"/>
    <col min="10498" max="10498" width="24.453125" style="219" customWidth="1"/>
    <col min="10499" max="10499" width="9.1796875" style="219" customWidth="1"/>
    <col min="10500" max="10500" width="16.81640625" style="219" customWidth="1"/>
    <col min="10501" max="10501" width="9.1796875" style="219" customWidth="1"/>
    <col min="10502" max="10503" width="11.36328125" style="219" customWidth="1"/>
    <col min="10504" max="10504" width="1.54296875" style="219" customWidth="1"/>
    <col min="10505" max="10505" width="10.26953125" style="219"/>
    <col min="10506" max="10507" width="9.1796875" style="219" customWidth="1"/>
    <col min="10508" max="10508" width="10.26953125" style="219"/>
    <col min="10509" max="10509" width="9.1796875" style="219" customWidth="1"/>
    <col min="10510" max="10510" width="11.36328125" style="219" customWidth="1"/>
    <col min="10511" max="10511" width="9.1796875" style="219" customWidth="1"/>
    <col min="10512" max="10752" width="10.26953125" style="219"/>
    <col min="10753" max="10753" width="7" style="219" customWidth="1"/>
    <col min="10754" max="10754" width="24.453125" style="219" customWidth="1"/>
    <col min="10755" max="10755" width="9.1796875" style="219" customWidth="1"/>
    <col min="10756" max="10756" width="16.81640625" style="219" customWidth="1"/>
    <col min="10757" max="10757" width="9.1796875" style="219" customWidth="1"/>
    <col min="10758" max="10759" width="11.36328125" style="219" customWidth="1"/>
    <col min="10760" max="10760" width="1.54296875" style="219" customWidth="1"/>
    <col min="10761" max="10761" width="10.26953125" style="219"/>
    <col min="10762" max="10763" width="9.1796875" style="219" customWidth="1"/>
    <col min="10764" max="10764" width="10.26953125" style="219"/>
    <col min="10765" max="10765" width="9.1796875" style="219" customWidth="1"/>
    <col min="10766" max="10766" width="11.36328125" style="219" customWidth="1"/>
    <col min="10767" max="10767" width="9.1796875" style="219" customWidth="1"/>
    <col min="10768" max="11008" width="10.26953125" style="219"/>
    <col min="11009" max="11009" width="7" style="219" customWidth="1"/>
    <col min="11010" max="11010" width="24.453125" style="219" customWidth="1"/>
    <col min="11011" max="11011" width="9.1796875" style="219" customWidth="1"/>
    <col min="11012" max="11012" width="16.81640625" style="219" customWidth="1"/>
    <col min="11013" max="11013" width="9.1796875" style="219" customWidth="1"/>
    <col min="11014" max="11015" width="11.36328125" style="219" customWidth="1"/>
    <col min="11016" max="11016" width="1.54296875" style="219" customWidth="1"/>
    <col min="11017" max="11017" width="10.26953125" style="219"/>
    <col min="11018" max="11019" width="9.1796875" style="219" customWidth="1"/>
    <col min="11020" max="11020" width="10.26953125" style="219"/>
    <col min="11021" max="11021" width="9.1796875" style="219" customWidth="1"/>
    <col min="11022" max="11022" width="11.36328125" style="219" customWidth="1"/>
    <col min="11023" max="11023" width="9.1796875" style="219" customWidth="1"/>
    <col min="11024" max="11264" width="10.26953125" style="219"/>
    <col min="11265" max="11265" width="7" style="219" customWidth="1"/>
    <col min="11266" max="11266" width="24.453125" style="219" customWidth="1"/>
    <col min="11267" max="11267" width="9.1796875" style="219" customWidth="1"/>
    <col min="11268" max="11268" width="16.81640625" style="219" customWidth="1"/>
    <col min="11269" max="11269" width="9.1796875" style="219" customWidth="1"/>
    <col min="11270" max="11271" width="11.36328125" style="219" customWidth="1"/>
    <col min="11272" max="11272" width="1.54296875" style="219" customWidth="1"/>
    <col min="11273" max="11273" width="10.26953125" style="219"/>
    <col min="11274" max="11275" width="9.1796875" style="219" customWidth="1"/>
    <col min="11276" max="11276" width="10.26953125" style="219"/>
    <col min="11277" max="11277" width="9.1796875" style="219" customWidth="1"/>
    <col min="11278" max="11278" width="11.36328125" style="219" customWidth="1"/>
    <col min="11279" max="11279" width="9.1796875" style="219" customWidth="1"/>
    <col min="11280" max="11520" width="10.26953125" style="219"/>
    <col min="11521" max="11521" width="7" style="219" customWidth="1"/>
    <col min="11522" max="11522" width="24.453125" style="219" customWidth="1"/>
    <col min="11523" max="11523" width="9.1796875" style="219" customWidth="1"/>
    <col min="11524" max="11524" width="16.81640625" style="219" customWidth="1"/>
    <col min="11525" max="11525" width="9.1796875" style="219" customWidth="1"/>
    <col min="11526" max="11527" width="11.36328125" style="219" customWidth="1"/>
    <col min="11528" max="11528" width="1.54296875" style="219" customWidth="1"/>
    <col min="11529" max="11529" width="10.26953125" style="219"/>
    <col min="11530" max="11531" width="9.1796875" style="219" customWidth="1"/>
    <col min="11532" max="11532" width="10.26953125" style="219"/>
    <col min="11533" max="11533" width="9.1796875" style="219" customWidth="1"/>
    <col min="11534" max="11534" width="11.36328125" style="219" customWidth="1"/>
    <col min="11535" max="11535" width="9.1796875" style="219" customWidth="1"/>
    <col min="11536" max="11776" width="10.26953125" style="219"/>
    <col min="11777" max="11777" width="7" style="219" customWidth="1"/>
    <col min="11778" max="11778" width="24.453125" style="219" customWidth="1"/>
    <col min="11779" max="11779" width="9.1796875" style="219" customWidth="1"/>
    <col min="11780" max="11780" width="16.81640625" style="219" customWidth="1"/>
    <col min="11781" max="11781" width="9.1796875" style="219" customWidth="1"/>
    <col min="11782" max="11783" width="11.36328125" style="219" customWidth="1"/>
    <col min="11784" max="11784" width="1.54296875" style="219" customWidth="1"/>
    <col min="11785" max="11785" width="10.26953125" style="219"/>
    <col min="11786" max="11787" width="9.1796875" style="219" customWidth="1"/>
    <col min="11788" max="11788" width="10.26953125" style="219"/>
    <col min="11789" max="11789" width="9.1796875" style="219" customWidth="1"/>
    <col min="11790" max="11790" width="11.36328125" style="219" customWidth="1"/>
    <col min="11791" max="11791" width="9.1796875" style="219" customWidth="1"/>
    <col min="11792" max="12032" width="10.26953125" style="219"/>
    <col min="12033" max="12033" width="7" style="219" customWidth="1"/>
    <col min="12034" max="12034" width="24.453125" style="219" customWidth="1"/>
    <col min="12035" max="12035" width="9.1796875" style="219" customWidth="1"/>
    <col min="12036" max="12036" width="16.81640625" style="219" customWidth="1"/>
    <col min="12037" max="12037" width="9.1796875" style="219" customWidth="1"/>
    <col min="12038" max="12039" width="11.36328125" style="219" customWidth="1"/>
    <col min="12040" max="12040" width="1.54296875" style="219" customWidth="1"/>
    <col min="12041" max="12041" width="10.26953125" style="219"/>
    <col min="12042" max="12043" width="9.1796875" style="219" customWidth="1"/>
    <col min="12044" max="12044" width="10.26953125" style="219"/>
    <col min="12045" max="12045" width="9.1796875" style="219" customWidth="1"/>
    <col min="12046" max="12046" width="11.36328125" style="219" customWidth="1"/>
    <col min="12047" max="12047" width="9.1796875" style="219" customWidth="1"/>
    <col min="12048" max="12288" width="10.26953125" style="219"/>
    <col min="12289" max="12289" width="7" style="219" customWidth="1"/>
    <col min="12290" max="12290" width="24.453125" style="219" customWidth="1"/>
    <col min="12291" max="12291" width="9.1796875" style="219" customWidth="1"/>
    <col min="12292" max="12292" width="16.81640625" style="219" customWidth="1"/>
    <col min="12293" max="12293" width="9.1796875" style="219" customWidth="1"/>
    <col min="12294" max="12295" width="11.36328125" style="219" customWidth="1"/>
    <col min="12296" max="12296" width="1.54296875" style="219" customWidth="1"/>
    <col min="12297" max="12297" width="10.26953125" style="219"/>
    <col min="12298" max="12299" width="9.1796875" style="219" customWidth="1"/>
    <col min="12300" max="12300" width="10.26953125" style="219"/>
    <col min="12301" max="12301" width="9.1796875" style="219" customWidth="1"/>
    <col min="12302" max="12302" width="11.36328125" style="219" customWidth="1"/>
    <col min="12303" max="12303" width="9.1796875" style="219" customWidth="1"/>
    <col min="12304" max="12544" width="10.26953125" style="219"/>
    <col min="12545" max="12545" width="7" style="219" customWidth="1"/>
    <col min="12546" max="12546" width="24.453125" style="219" customWidth="1"/>
    <col min="12547" max="12547" width="9.1796875" style="219" customWidth="1"/>
    <col min="12548" max="12548" width="16.81640625" style="219" customWidth="1"/>
    <col min="12549" max="12549" width="9.1796875" style="219" customWidth="1"/>
    <col min="12550" max="12551" width="11.36328125" style="219" customWidth="1"/>
    <col min="12552" max="12552" width="1.54296875" style="219" customWidth="1"/>
    <col min="12553" max="12553" width="10.26953125" style="219"/>
    <col min="12554" max="12555" width="9.1796875" style="219" customWidth="1"/>
    <col min="12556" max="12556" width="10.26953125" style="219"/>
    <col min="12557" max="12557" width="9.1796875" style="219" customWidth="1"/>
    <col min="12558" max="12558" width="11.36328125" style="219" customWidth="1"/>
    <col min="12559" max="12559" width="9.1796875" style="219" customWidth="1"/>
    <col min="12560" max="12800" width="10.26953125" style="219"/>
    <col min="12801" max="12801" width="7" style="219" customWidth="1"/>
    <col min="12802" max="12802" width="24.453125" style="219" customWidth="1"/>
    <col min="12803" max="12803" width="9.1796875" style="219" customWidth="1"/>
    <col min="12804" max="12804" width="16.81640625" style="219" customWidth="1"/>
    <col min="12805" max="12805" width="9.1796875" style="219" customWidth="1"/>
    <col min="12806" max="12807" width="11.36328125" style="219" customWidth="1"/>
    <col min="12808" max="12808" width="1.54296875" style="219" customWidth="1"/>
    <col min="12809" max="12809" width="10.26953125" style="219"/>
    <col min="12810" max="12811" width="9.1796875" style="219" customWidth="1"/>
    <col min="12812" max="12812" width="10.26953125" style="219"/>
    <col min="12813" max="12813" width="9.1796875" style="219" customWidth="1"/>
    <col min="12814" max="12814" width="11.36328125" style="219" customWidth="1"/>
    <col min="12815" max="12815" width="9.1796875" style="219" customWidth="1"/>
    <col min="12816" max="13056" width="10.26953125" style="219"/>
    <col min="13057" max="13057" width="7" style="219" customWidth="1"/>
    <col min="13058" max="13058" width="24.453125" style="219" customWidth="1"/>
    <col min="13059" max="13059" width="9.1796875" style="219" customWidth="1"/>
    <col min="13060" max="13060" width="16.81640625" style="219" customWidth="1"/>
    <col min="13061" max="13061" width="9.1796875" style="219" customWidth="1"/>
    <col min="13062" max="13063" width="11.36328125" style="219" customWidth="1"/>
    <col min="13064" max="13064" width="1.54296875" style="219" customWidth="1"/>
    <col min="13065" max="13065" width="10.26953125" style="219"/>
    <col min="13066" max="13067" width="9.1796875" style="219" customWidth="1"/>
    <col min="13068" max="13068" width="10.26953125" style="219"/>
    <col min="13069" max="13069" width="9.1796875" style="219" customWidth="1"/>
    <col min="13070" max="13070" width="11.36328125" style="219" customWidth="1"/>
    <col min="13071" max="13071" width="9.1796875" style="219" customWidth="1"/>
    <col min="13072" max="13312" width="10.26953125" style="219"/>
    <col min="13313" max="13313" width="7" style="219" customWidth="1"/>
    <col min="13314" max="13314" width="24.453125" style="219" customWidth="1"/>
    <col min="13315" max="13315" width="9.1796875" style="219" customWidth="1"/>
    <col min="13316" max="13316" width="16.81640625" style="219" customWidth="1"/>
    <col min="13317" max="13317" width="9.1796875" style="219" customWidth="1"/>
    <col min="13318" max="13319" width="11.36328125" style="219" customWidth="1"/>
    <col min="13320" max="13320" width="1.54296875" style="219" customWidth="1"/>
    <col min="13321" max="13321" width="10.26953125" style="219"/>
    <col min="13322" max="13323" width="9.1796875" style="219" customWidth="1"/>
    <col min="13324" max="13324" width="10.26953125" style="219"/>
    <col min="13325" max="13325" width="9.1796875" style="219" customWidth="1"/>
    <col min="13326" max="13326" width="11.36328125" style="219" customWidth="1"/>
    <col min="13327" max="13327" width="9.1796875" style="219" customWidth="1"/>
    <col min="13328" max="13568" width="10.26953125" style="219"/>
    <col min="13569" max="13569" width="7" style="219" customWidth="1"/>
    <col min="13570" max="13570" width="24.453125" style="219" customWidth="1"/>
    <col min="13571" max="13571" width="9.1796875" style="219" customWidth="1"/>
    <col min="13572" max="13572" width="16.81640625" style="219" customWidth="1"/>
    <col min="13573" max="13573" width="9.1796875" style="219" customWidth="1"/>
    <col min="13574" max="13575" width="11.36328125" style="219" customWidth="1"/>
    <col min="13576" max="13576" width="1.54296875" style="219" customWidth="1"/>
    <col min="13577" max="13577" width="10.26953125" style="219"/>
    <col min="13578" max="13579" width="9.1796875" style="219" customWidth="1"/>
    <col min="13580" max="13580" width="10.26953125" style="219"/>
    <col min="13581" max="13581" width="9.1796875" style="219" customWidth="1"/>
    <col min="13582" max="13582" width="11.36328125" style="219" customWidth="1"/>
    <col min="13583" max="13583" width="9.1796875" style="219" customWidth="1"/>
    <col min="13584" max="13824" width="10.26953125" style="219"/>
    <col min="13825" max="13825" width="7" style="219" customWidth="1"/>
    <col min="13826" max="13826" width="24.453125" style="219" customWidth="1"/>
    <col min="13827" max="13827" width="9.1796875" style="219" customWidth="1"/>
    <col min="13828" max="13828" width="16.81640625" style="219" customWidth="1"/>
    <col min="13829" max="13829" width="9.1796875" style="219" customWidth="1"/>
    <col min="13830" max="13831" width="11.36328125" style="219" customWidth="1"/>
    <col min="13832" max="13832" width="1.54296875" style="219" customWidth="1"/>
    <col min="13833" max="13833" width="10.26953125" style="219"/>
    <col min="13834" max="13835" width="9.1796875" style="219" customWidth="1"/>
    <col min="13836" max="13836" width="10.26953125" style="219"/>
    <col min="13837" max="13837" width="9.1796875" style="219" customWidth="1"/>
    <col min="13838" max="13838" width="11.36328125" style="219" customWidth="1"/>
    <col min="13839" max="13839" width="9.1796875" style="219" customWidth="1"/>
    <col min="13840" max="14080" width="10.26953125" style="219"/>
    <col min="14081" max="14081" width="7" style="219" customWidth="1"/>
    <col min="14082" max="14082" width="24.453125" style="219" customWidth="1"/>
    <col min="14083" max="14083" width="9.1796875" style="219" customWidth="1"/>
    <col min="14084" max="14084" width="16.81640625" style="219" customWidth="1"/>
    <col min="14085" max="14085" width="9.1796875" style="219" customWidth="1"/>
    <col min="14086" max="14087" width="11.36328125" style="219" customWidth="1"/>
    <col min="14088" max="14088" width="1.54296875" style="219" customWidth="1"/>
    <col min="14089" max="14089" width="10.26953125" style="219"/>
    <col min="14090" max="14091" width="9.1796875" style="219" customWidth="1"/>
    <col min="14092" max="14092" width="10.26953125" style="219"/>
    <col min="14093" max="14093" width="9.1796875" style="219" customWidth="1"/>
    <col min="14094" max="14094" width="11.36328125" style="219" customWidth="1"/>
    <col min="14095" max="14095" width="9.1796875" style="219" customWidth="1"/>
    <col min="14096" max="14336" width="10.26953125" style="219"/>
    <col min="14337" max="14337" width="7" style="219" customWidth="1"/>
    <col min="14338" max="14338" width="24.453125" style="219" customWidth="1"/>
    <col min="14339" max="14339" width="9.1796875" style="219" customWidth="1"/>
    <col min="14340" max="14340" width="16.81640625" style="219" customWidth="1"/>
    <col min="14341" max="14341" width="9.1796875" style="219" customWidth="1"/>
    <col min="14342" max="14343" width="11.36328125" style="219" customWidth="1"/>
    <col min="14344" max="14344" width="1.54296875" style="219" customWidth="1"/>
    <col min="14345" max="14345" width="10.26953125" style="219"/>
    <col min="14346" max="14347" width="9.1796875" style="219" customWidth="1"/>
    <col min="14348" max="14348" width="10.26953125" style="219"/>
    <col min="14349" max="14349" width="9.1796875" style="219" customWidth="1"/>
    <col min="14350" max="14350" width="11.36328125" style="219" customWidth="1"/>
    <col min="14351" max="14351" width="9.1796875" style="219" customWidth="1"/>
    <col min="14352" max="14592" width="10.26953125" style="219"/>
    <col min="14593" max="14593" width="7" style="219" customWidth="1"/>
    <col min="14594" max="14594" width="24.453125" style="219" customWidth="1"/>
    <col min="14595" max="14595" width="9.1796875" style="219" customWidth="1"/>
    <col min="14596" max="14596" width="16.81640625" style="219" customWidth="1"/>
    <col min="14597" max="14597" width="9.1796875" style="219" customWidth="1"/>
    <col min="14598" max="14599" width="11.36328125" style="219" customWidth="1"/>
    <col min="14600" max="14600" width="1.54296875" style="219" customWidth="1"/>
    <col min="14601" max="14601" width="10.26953125" style="219"/>
    <col min="14602" max="14603" width="9.1796875" style="219" customWidth="1"/>
    <col min="14604" max="14604" width="10.26953125" style="219"/>
    <col min="14605" max="14605" width="9.1796875" style="219" customWidth="1"/>
    <col min="14606" max="14606" width="11.36328125" style="219" customWidth="1"/>
    <col min="14607" max="14607" width="9.1796875" style="219" customWidth="1"/>
    <col min="14608" max="14848" width="10.26953125" style="219"/>
    <col min="14849" max="14849" width="7" style="219" customWidth="1"/>
    <col min="14850" max="14850" width="24.453125" style="219" customWidth="1"/>
    <col min="14851" max="14851" width="9.1796875" style="219" customWidth="1"/>
    <col min="14852" max="14852" width="16.81640625" style="219" customWidth="1"/>
    <col min="14853" max="14853" width="9.1796875" style="219" customWidth="1"/>
    <col min="14854" max="14855" width="11.36328125" style="219" customWidth="1"/>
    <col min="14856" max="14856" width="1.54296875" style="219" customWidth="1"/>
    <col min="14857" max="14857" width="10.26953125" style="219"/>
    <col min="14858" max="14859" width="9.1796875" style="219" customWidth="1"/>
    <col min="14860" max="14860" width="10.26953125" style="219"/>
    <col min="14861" max="14861" width="9.1796875" style="219" customWidth="1"/>
    <col min="14862" max="14862" width="11.36328125" style="219" customWidth="1"/>
    <col min="14863" max="14863" width="9.1796875" style="219" customWidth="1"/>
    <col min="14864" max="15104" width="10.26953125" style="219"/>
    <col min="15105" max="15105" width="7" style="219" customWidth="1"/>
    <col min="15106" max="15106" width="24.453125" style="219" customWidth="1"/>
    <col min="15107" max="15107" width="9.1796875" style="219" customWidth="1"/>
    <col min="15108" max="15108" width="16.81640625" style="219" customWidth="1"/>
    <col min="15109" max="15109" width="9.1796875" style="219" customWidth="1"/>
    <col min="15110" max="15111" width="11.36328125" style="219" customWidth="1"/>
    <col min="15112" max="15112" width="1.54296875" style="219" customWidth="1"/>
    <col min="15113" max="15113" width="10.26953125" style="219"/>
    <col min="15114" max="15115" width="9.1796875" style="219" customWidth="1"/>
    <col min="15116" max="15116" width="10.26953125" style="219"/>
    <col min="15117" max="15117" width="9.1796875" style="219" customWidth="1"/>
    <col min="15118" max="15118" width="11.36328125" style="219" customWidth="1"/>
    <col min="15119" max="15119" width="9.1796875" style="219" customWidth="1"/>
    <col min="15120" max="15360" width="10.26953125" style="219"/>
    <col min="15361" max="15361" width="7" style="219" customWidth="1"/>
    <col min="15362" max="15362" width="24.453125" style="219" customWidth="1"/>
    <col min="15363" max="15363" width="9.1796875" style="219" customWidth="1"/>
    <col min="15364" max="15364" width="16.81640625" style="219" customWidth="1"/>
    <col min="15365" max="15365" width="9.1796875" style="219" customWidth="1"/>
    <col min="15366" max="15367" width="11.36328125" style="219" customWidth="1"/>
    <col min="15368" max="15368" width="1.54296875" style="219" customWidth="1"/>
    <col min="15369" max="15369" width="10.26953125" style="219"/>
    <col min="15370" max="15371" width="9.1796875" style="219" customWidth="1"/>
    <col min="15372" max="15372" width="10.26953125" style="219"/>
    <col min="15373" max="15373" width="9.1796875" style="219" customWidth="1"/>
    <col min="15374" max="15374" width="11.36328125" style="219" customWidth="1"/>
    <col min="15375" max="15375" width="9.1796875" style="219" customWidth="1"/>
    <col min="15376" max="15616" width="10.26953125" style="219"/>
    <col min="15617" max="15617" width="7" style="219" customWidth="1"/>
    <col min="15618" max="15618" width="24.453125" style="219" customWidth="1"/>
    <col min="15619" max="15619" width="9.1796875" style="219" customWidth="1"/>
    <col min="15620" max="15620" width="16.81640625" style="219" customWidth="1"/>
    <col min="15621" max="15621" width="9.1796875" style="219" customWidth="1"/>
    <col min="15622" max="15623" width="11.36328125" style="219" customWidth="1"/>
    <col min="15624" max="15624" width="1.54296875" style="219" customWidth="1"/>
    <col min="15625" max="15625" width="10.26953125" style="219"/>
    <col min="15626" max="15627" width="9.1796875" style="219" customWidth="1"/>
    <col min="15628" max="15628" width="10.26953125" style="219"/>
    <col min="15629" max="15629" width="9.1796875" style="219" customWidth="1"/>
    <col min="15630" max="15630" width="11.36328125" style="219" customWidth="1"/>
    <col min="15631" max="15631" width="9.1796875" style="219" customWidth="1"/>
    <col min="15632" max="15872" width="10.26953125" style="219"/>
    <col min="15873" max="15873" width="7" style="219" customWidth="1"/>
    <col min="15874" max="15874" width="24.453125" style="219" customWidth="1"/>
    <col min="15875" max="15875" width="9.1796875" style="219" customWidth="1"/>
    <col min="15876" max="15876" width="16.81640625" style="219" customWidth="1"/>
    <col min="15877" max="15877" width="9.1796875" style="219" customWidth="1"/>
    <col min="15878" max="15879" width="11.36328125" style="219" customWidth="1"/>
    <col min="15880" max="15880" width="1.54296875" style="219" customWidth="1"/>
    <col min="15881" max="15881" width="10.26953125" style="219"/>
    <col min="15882" max="15883" width="9.1796875" style="219" customWidth="1"/>
    <col min="15884" max="15884" width="10.26953125" style="219"/>
    <col min="15885" max="15885" width="9.1796875" style="219" customWidth="1"/>
    <col min="15886" max="15886" width="11.36328125" style="219" customWidth="1"/>
    <col min="15887" max="15887" width="9.1796875" style="219" customWidth="1"/>
    <col min="15888" max="16128" width="10.26953125" style="219"/>
    <col min="16129" max="16129" width="7" style="219" customWidth="1"/>
    <col min="16130" max="16130" width="24.453125" style="219" customWidth="1"/>
    <col min="16131" max="16131" width="9.1796875" style="219" customWidth="1"/>
    <col min="16132" max="16132" width="16.81640625" style="219" customWidth="1"/>
    <col min="16133" max="16133" width="9.1796875" style="219" customWidth="1"/>
    <col min="16134" max="16135" width="11.36328125" style="219" customWidth="1"/>
    <col min="16136" max="16136" width="1.54296875" style="219" customWidth="1"/>
    <col min="16137" max="16137" width="10.26953125" style="219"/>
    <col min="16138" max="16139" width="9.1796875" style="219" customWidth="1"/>
    <col min="16140" max="16140" width="10.26953125" style="219"/>
    <col min="16141" max="16141" width="9.1796875" style="219" customWidth="1"/>
    <col min="16142" max="16142" width="11.36328125" style="219" customWidth="1"/>
    <col min="16143" max="16143" width="9.1796875" style="219" customWidth="1"/>
    <col min="16144" max="16384" width="10.26953125" style="219"/>
  </cols>
  <sheetData>
    <row r="1" spans="1:8">
      <c r="A1" s="218" t="s">
        <v>433</v>
      </c>
    </row>
    <row r="2" spans="1:8" ht="13.5" thickBot="1"/>
    <row r="3" spans="1:8">
      <c r="A3" s="222"/>
      <c r="B3" s="223"/>
      <c r="C3" s="224" t="s">
        <v>434</v>
      </c>
      <c r="D3" s="225" t="s">
        <v>435</v>
      </c>
      <c r="E3" s="224" t="s">
        <v>436</v>
      </c>
      <c r="F3" s="224" t="s">
        <v>437</v>
      </c>
      <c r="G3" s="226" t="s">
        <v>438</v>
      </c>
      <c r="H3" s="227"/>
    </row>
    <row r="4" spans="1:8">
      <c r="A4" s="228" t="s">
        <v>439</v>
      </c>
      <c r="B4" s="229" t="s">
        <v>440</v>
      </c>
      <c r="C4" s="230" t="s">
        <v>441</v>
      </c>
      <c r="D4" s="231"/>
      <c r="E4" s="230"/>
      <c r="F4" s="230" t="s">
        <v>442</v>
      </c>
      <c r="G4" s="232"/>
      <c r="H4" s="227"/>
    </row>
    <row r="5" spans="1:8" ht="13.5" thickBot="1">
      <c r="A5" s="233"/>
      <c r="B5" s="234"/>
      <c r="C5" s="235" t="s">
        <v>443</v>
      </c>
      <c r="D5" s="236" t="s">
        <v>444</v>
      </c>
      <c r="E5" s="235" t="s">
        <v>445</v>
      </c>
      <c r="F5" s="235"/>
      <c r="G5" s="237" t="s">
        <v>446</v>
      </c>
      <c r="H5" s="227"/>
    </row>
    <row r="6" spans="1:8">
      <c r="A6" s="238">
        <v>1950</v>
      </c>
      <c r="B6" s="239" t="s">
        <v>447</v>
      </c>
      <c r="C6" s="240" t="s">
        <v>448</v>
      </c>
      <c r="D6" s="241">
        <v>100</v>
      </c>
      <c r="E6" s="242">
        <v>3.5</v>
      </c>
      <c r="F6" s="240" t="s">
        <v>449</v>
      </c>
      <c r="G6" s="243">
        <v>19.11</v>
      </c>
      <c r="H6" s="227"/>
    </row>
    <row r="7" spans="1:8">
      <c r="A7" s="244">
        <v>1951</v>
      </c>
      <c r="B7" s="245" t="s">
        <v>450</v>
      </c>
      <c r="C7" s="246" t="s">
        <v>451</v>
      </c>
      <c r="D7" s="247">
        <v>300</v>
      </c>
      <c r="E7" s="248">
        <v>3.5</v>
      </c>
      <c r="F7" s="246" t="s">
        <v>452</v>
      </c>
      <c r="G7" s="249">
        <v>25.01</v>
      </c>
      <c r="H7" s="227"/>
    </row>
    <row r="8" spans="1:8">
      <c r="A8" s="244">
        <v>1952</v>
      </c>
      <c r="B8" s="245" t="s">
        <v>453</v>
      </c>
      <c r="C8" s="246" t="s">
        <v>454</v>
      </c>
      <c r="D8" s="247">
        <v>250</v>
      </c>
      <c r="E8" s="248">
        <v>3.5</v>
      </c>
      <c r="F8" s="246" t="s">
        <v>455</v>
      </c>
      <c r="G8" s="249">
        <v>25</v>
      </c>
      <c r="H8" s="227"/>
    </row>
    <row r="9" spans="1:8">
      <c r="A9" s="244">
        <v>1954</v>
      </c>
      <c r="B9" s="245" t="s">
        <v>456</v>
      </c>
      <c r="C9" s="246" t="s">
        <v>457</v>
      </c>
      <c r="D9" s="247">
        <v>200</v>
      </c>
      <c r="E9" s="248">
        <v>3</v>
      </c>
      <c r="F9" s="246" t="s">
        <v>458</v>
      </c>
      <c r="G9" s="249">
        <v>25</v>
      </c>
      <c r="H9" s="227"/>
    </row>
    <row r="10" spans="1:8">
      <c r="A10" s="244">
        <v>1959</v>
      </c>
      <c r="B10" s="245" t="s">
        <v>459</v>
      </c>
      <c r="C10" s="246" t="s">
        <v>460</v>
      </c>
      <c r="D10" s="247">
        <v>500</v>
      </c>
      <c r="E10" s="248">
        <v>3.5</v>
      </c>
      <c r="F10" s="246" t="s">
        <v>461</v>
      </c>
      <c r="G10" s="249">
        <v>25.01</v>
      </c>
      <c r="H10" s="227"/>
    </row>
    <row r="11" spans="1:8">
      <c r="A11" s="244">
        <v>1960</v>
      </c>
      <c r="B11" s="245" t="s">
        <v>462</v>
      </c>
      <c r="C11" s="246" t="s">
        <v>463</v>
      </c>
      <c r="D11" s="247">
        <v>500</v>
      </c>
      <c r="E11" s="248">
        <v>3.5</v>
      </c>
      <c r="F11" s="246" t="s">
        <v>461</v>
      </c>
      <c r="G11" s="249">
        <v>25.01</v>
      </c>
      <c r="H11" s="227"/>
    </row>
    <row r="12" spans="1:8">
      <c r="A12" s="244">
        <v>1961</v>
      </c>
      <c r="B12" s="245" t="s">
        <v>462</v>
      </c>
      <c r="C12" s="246" t="s">
        <v>464</v>
      </c>
      <c r="D12" s="247">
        <v>500</v>
      </c>
      <c r="E12" s="248">
        <v>3.5</v>
      </c>
      <c r="F12" s="246" t="s">
        <v>465</v>
      </c>
      <c r="G12" s="249">
        <v>24.03</v>
      </c>
      <c r="H12" s="227"/>
    </row>
    <row r="13" spans="1:8">
      <c r="A13" s="244">
        <v>1962</v>
      </c>
      <c r="B13" s="245" t="s">
        <v>459</v>
      </c>
      <c r="C13" s="246" t="s">
        <v>466</v>
      </c>
      <c r="D13" s="247">
        <v>1000</v>
      </c>
      <c r="E13" s="248">
        <v>3.5</v>
      </c>
      <c r="F13" s="246" t="s">
        <v>467</v>
      </c>
      <c r="G13" s="249">
        <v>21.04</v>
      </c>
      <c r="H13" s="227"/>
    </row>
    <row r="14" spans="1:8">
      <c r="A14" s="244">
        <v>1963</v>
      </c>
      <c r="B14" s="245" t="s">
        <v>468</v>
      </c>
      <c r="C14" s="246" t="s">
        <v>469</v>
      </c>
      <c r="D14" s="247">
        <v>1000</v>
      </c>
      <c r="E14" s="248">
        <v>3.5</v>
      </c>
      <c r="F14" s="246" t="s">
        <v>470</v>
      </c>
      <c r="G14" s="249">
        <v>21.03</v>
      </c>
      <c r="H14" s="227"/>
    </row>
    <row r="15" spans="1:8">
      <c r="A15" s="244">
        <v>1965</v>
      </c>
      <c r="B15" s="245" t="s">
        <v>471</v>
      </c>
      <c r="C15" s="246" t="s">
        <v>472</v>
      </c>
      <c r="D15" s="247">
        <v>600</v>
      </c>
      <c r="E15" s="248">
        <v>3.5</v>
      </c>
      <c r="F15" s="246" t="s">
        <v>473</v>
      </c>
      <c r="G15" s="249">
        <v>20.02</v>
      </c>
      <c r="H15" s="227"/>
    </row>
    <row r="16" spans="1:8">
      <c r="A16" s="244">
        <v>1966</v>
      </c>
      <c r="B16" s="245" t="s">
        <v>471</v>
      </c>
      <c r="C16" s="246" t="s">
        <v>474</v>
      </c>
      <c r="D16" s="247">
        <v>500</v>
      </c>
      <c r="E16" s="248">
        <v>3.5</v>
      </c>
      <c r="F16" s="246" t="s">
        <v>475</v>
      </c>
      <c r="G16" s="249">
        <v>20.02</v>
      </c>
      <c r="H16" s="227"/>
    </row>
    <row r="17" spans="1:8">
      <c r="A17" s="244">
        <v>1967</v>
      </c>
      <c r="B17" s="245" t="s">
        <v>476</v>
      </c>
      <c r="C17" s="246" t="s">
        <v>477</v>
      </c>
      <c r="D17" s="247">
        <v>1000</v>
      </c>
      <c r="E17" s="248">
        <v>5</v>
      </c>
      <c r="F17" s="246" t="s">
        <v>478</v>
      </c>
      <c r="G17" s="249">
        <v>14.11</v>
      </c>
      <c r="H17" s="227"/>
    </row>
    <row r="18" spans="1:8">
      <c r="A18" s="244">
        <v>1969</v>
      </c>
      <c r="B18" s="245" t="s">
        <v>479</v>
      </c>
      <c r="C18" s="246" t="s">
        <v>480</v>
      </c>
      <c r="D18" s="247">
        <v>1000</v>
      </c>
      <c r="E18" s="248">
        <v>5</v>
      </c>
      <c r="F18" s="246" t="s">
        <v>481</v>
      </c>
      <c r="G18" s="249">
        <v>14.06</v>
      </c>
      <c r="H18" s="227"/>
    </row>
    <row r="19" spans="1:8">
      <c r="A19" s="244">
        <v>1971</v>
      </c>
      <c r="B19" s="245" t="s">
        <v>479</v>
      </c>
      <c r="C19" s="246" t="s">
        <v>482</v>
      </c>
      <c r="D19" s="247">
        <v>2500</v>
      </c>
      <c r="E19" s="248">
        <v>5</v>
      </c>
      <c r="F19" s="246" t="s">
        <v>483</v>
      </c>
      <c r="G19" s="249">
        <v>14.01</v>
      </c>
      <c r="H19" s="227"/>
    </row>
    <row r="20" spans="1:8">
      <c r="A20" s="244">
        <v>1973</v>
      </c>
      <c r="B20" s="245" t="s">
        <v>479</v>
      </c>
      <c r="C20" s="246" t="s">
        <v>484</v>
      </c>
      <c r="D20" s="247">
        <v>3000</v>
      </c>
      <c r="E20" s="248">
        <v>5</v>
      </c>
      <c r="F20" s="246" t="s">
        <v>485</v>
      </c>
      <c r="G20" s="249">
        <v>14</v>
      </c>
      <c r="H20" s="227"/>
    </row>
    <row r="21" spans="1:8">
      <c r="A21" s="244">
        <v>1974</v>
      </c>
      <c r="B21" s="245" t="s">
        <v>486</v>
      </c>
      <c r="C21" s="246" t="s">
        <v>487</v>
      </c>
      <c r="D21" s="247">
        <v>5000</v>
      </c>
      <c r="E21" s="248">
        <v>7.5</v>
      </c>
      <c r="F21" s="246" t="s">
        <v>488</v>
      </c>
      <c r="G21" s="249">
        <v>14.03</v>
      </c>
      <c r="H21" s="227"/>
    </row>
    <row r="22" spans="1:8">
      <c r="A22" s="244">
        <v>1975</v>
      </c>
      <c r="B22" s="245" t="s">
        <v>489</v>
      </c>
      <c r="C22" s="246" t="s">
        <v>490</v>
      </c>
      <c r="D22" s="247">
        <v>5000</v>
      </c>
      <c r="E22" s="248">
        <v>10</v>
      </c>
      <c r="F22" s="246" t="s">
        <v>491</v>
      </c>
      <c r="G22" s="249">
        <v>8</v>
      </c>
      <c r="H22" s="227"/>
    </row>
    <row r="23" spans="1:8">
      <c r="A23" s="244">
        <v>1975</v>
      </c>
      <c r="B23" s="245" t="s">
        <v>489</v>
      </c>
      <c r="C23" s="246" t="s">
        <v>492</v>
      </c>
      <c r="D23" s="247">
        <v>5000</v>
      </c>
      <c r="E23" s="248">
        <v>7.5</v>
      </c>
      <c r="F23" s="246" t="s">
        <v>493</v>
      </c>
      <c r="G23" s="249">
        <v>9</v>
      </c>
      <c r="H23" s="227"/>
    </row>
    <row r="24" spans="1:8">
      <c r="A24" s="244">
        <v>1975</v>
      </c>
      <c r="B24" s="245" t="s">
        <v>494</v>
      </c>
      <c r="C24" s="246" t="s">
        <v>495</v>
      </c>
      <c r="D24" s="247">
        <v>2000</v>
      </c>
      <c r="E24" s="248">
        <v>7.5</v>
      </c>
      <c r="F24" s="246" t="s">
        <v>496</v>
      </c>
      <c r="G24" s="249">
        <v>14.04</v>
      </c>
      <c r="H24" s="227"/>
    </row>
    <row r="25" spans="1:8">
      <c r="A25" s="244">
        <v>1975</v>
      </c>
      <c r="B25" s="245" t="s">
        <v>497</v>
      </c>
      <c r="C25" s="246" t="s">
        <v>495</v>
      </c>
      <c r="D25" s="247">
        <v>5000</v>
      </c>
      <c r="E25" s="248">
        <v>7.5</v>
      </c>
      <c r="F25" s="246" t="s">
        <v>498</v>
      </c>
      <c r="G25" s="249">
        <v>5.04</v>
      </c>
      <c r="H25" s="227"/>
    </row>
    <row r="26" spans="1:8">
      <c r="A26" s="244">
        <v>1976</v>
      </c>
      <c r="B26" s="245" t="s">
        <v>499</v>
      </c>
      <c r="C26" s="246" t="s">
        <v>500</v>
      </c>
      <c r="D26" s="247">
        <v>11000</v>
      </c>
      <c r="E26" s="248">
        <v>10</v>
      </c>
      <c r="F26" s="246" t="s">
        <v>501</v>
      </c>
      <c r="G26" s="249">
        <v>8</v>
      </c>
      <c r="H26" s="227"/>
    </row>
    <row r="27" spans="1:8">
      <c r="A27" s="244">
        <v>1991</v>
      </c>
      <c r="B27" s="245" t="s">
        <v>499</v>
      </c>
      <c r="C27" s="246" t="s">
        <v>502</v>
      </c>
      <c r="D27" s="247">
        <v>76196</v>
      </c>
      <c r="E27" s="248">
        <v>16</v>
      </c>
      <c r="F27" s="246" t="s">
        <v>503</v>
      </c>
      <c r="G27" s="249">
        <v>5</v>
      </c>
      <c r="H27" s="227"/>
    </row>
    <row r="28" spans="1:8">
      <c r="A28" s="244">
        <v>1992</v>
      </c>
      <c r="B28" s="245" t="s">
        <v>499</v>
      </c>
      <c r="C28" s="246" t="s">
        <v>504</v>
      </c>
      <c r="D28" s="247">
        <v>12754</v>
      </c>
      <c r="E28" s="248">
        <v>13</v>
      </c>
      <c r="F28" s="246" t="s">
        <v>505</v>
      </c>
      <c r="G28" s="249">
        <v>5</v>
      </c>
      <c r="H28" s="227"/>
    </row>
    <row r="29" spans="1:8">
      <c r="A29" s="244">
        <v>1993</v>
      </c>
      <c r="B29" s="245" t="s">
        <v>499</v>
      </c>
      <c r="C29" s="246" t="s">
        <v>506</v>
      </c>
      <c r="D29" s="247">
        <v>64383</v>
      </c>
      <c r="E29" s="248">
        <v>13</v>
      </c>
      <c r="F29" s="246" t="s">
        <v>505</v>
      </c>
      <c r="G29" s="249">
        <v>4.1100000000000003</v>
      </c>
      <c r="H29" s="227"/>
    </row>
    <row r="30" spans="1:8">
      <c r="A30" s="244">
        <v>1993</v>
      </c>
      <c r="B30" s="245" t="s">
        <v>499</v>
      </c>
      <c r="C30" s="246" t="s">
        <v>507</v>
      </c>
      <c r="D30" s="247">
        <v>217593</v>
      </c>
      <c r="E30" s="248">
        <v>12.5</v>
      </c>
      <c r="F30" s="246" t="s">
        <v>508</v>
      </c>
      <c r="G30" s="249">
        <v>4.1100000000000003</v>
      </c>
      <c r="H30" s="227"/>
    </row>
    <row r="31" spans="1:8">
      <c r="A31" s="250">
        <v>1993</v>
      </c>
      <c r="B31" s="245" t="s">
        <v>499</v>
      </c>
      <c r="C31" s="251" t="s">
        <v>509</v>
      </c>
      <c r="D31" s="247">
        <v>203026</v>
      </c>
      <c r="E31" s="252">
        <v>11.875</v>
      </c>
      <c r="F31" s="251" t="s">
        <v>510</v>
      </c>
      <c r="G31" s="249">
        <v>7</v>
      </c>
      <c r="H31" s="227"/>
    </row>
    <row r="32" spans="1:8">
      <c r="A32" s="250">
        <v>1993</v>
      </c>
      <c r="B32" s="253" t="s">
        <v>499</v>
      </c>
      <c r="C32" s="251" t="s">
        <v>511</v>
      </c>
      <c r="D32" s="254">
        <v>258346</v>
      </c>
      <c r="E32" s="252">
        <v>10.625</v>
      </c>
      <c r="F32" s="251" t="s">
        <v>512</v>
      </c>
      <c r="G32" s="255">
        <v>9.11</v>
      </c>
      <c r="H32" s="227"/>
    </row>
    <row r="33" spans="1:7">
      <c r="A33" s="256">
        <v>1994</v>
      </c>
      <c r="B33" s="253" t="s">
        <v>499</v>
      </c>
      <c r="C33" s="257" t="s">
        <v>506</v>
      </c>
      <c r="D33" s="3">
        <v>211900</v>
      </c>
      <c r="E33" s="258">
        <v>9.6690000000000005</v>
      </c>
      <c r="F33" s="257" t="s">
        <v>513</v>
      </c>
      <c r="G33" s="259">
        <v>3</v>
      </c>
    </row>
    <row r="34" spans="1:7">
      <c r="A34" s="256">
        <v>1994</v>
      </c>
      <c r="B34" s="253" t="s">
        <v>499</v>
      </c>
      <c r="C34" s="260" t="s">
        <v>514</v>
      </c>
      <c r="D34" s="3">
        <v>143000</v>
      </c>
      <c r="E34" s="258">
        <v>8.375</v>
      </c>
      <c r="F34" s="257" t="s">
        <v>515</v>
      </c>
      <c r="G34" s="259">
        <v>5</v>
      </c>
    </row>
    <row r="35" spans="1:7">
      <c r="A35" s="256">
        <v>1994</v>
      </c>
      <c r="B35" s="253" t="s">
        <v>499</v>
      </c>
      <c r="C35" s="260" t="s">
        <v>506</v>
      </c>
      <c r="D35" s="3">
        <v>122300</v>
      </c>
      <c r="E35" s="258">
        <v>8.875</v>
      </c>
      <c r="F35" s="257" t="s">
        <v>516</v>
      </c>
      <c r="G35" s="259">
        <v>10</v>
      </c>
    </row>
    <row r="36" spans="1:7">
      <c r="A36" s="256">
        <v>1994</v>
      </c>
      <c r="B36" s="253" t="s">
        <v>499</v>
      </c>
      <c r="C36" s="260" t="s">
        <v>517</v>
      </c>
      <c r="D36" s="3">
        <v>200000</v>
      </c>
      <c r="E36" s="258" t="s">
        <v>518</v>
      </c>
      <c r="F36" s="257" t="s">
        <v>519</v>
      </c>
      <c r="G36" s="259">
        <v>5</v>
      </c>
    </row>
    <row r="37" spans="1:7">
      <c r="A37" s="256">
        <v>1995</v>
      </c>
      <c r="B37" s="253" t="s">
        <v>499</v>
      </c>
      <c r="C37" s="257" t="s">
        <v>520</v>
      </c>
      <c r="D37" s="3">
        <v>382200</v>
      </c>
      <c r="E37" s="258">
        <v>11.709</v>
      </c>
      <c r="F37" s="257" t="s">
        <v>521</v>
      </c>
      <c r="G37" s="259">
        <v>4</v>
      </c>
    </row>
    <row r="38" spans="1:7">
      <c r="A38" s="256">
        <v>1995</v>
      </c>
      <c r="B38" s="253" t="s">
        <v>499</v>
      </c>
      <c r="C38" s="257" t="s">
        <v>522</v>
      </c>
      <c r="D38" s="3">
        <v>129900</v>
      </c>
      <c r="E38" s="258">
        <v>11.875</v>
      </c>
      <c r="F38" s="257" t="s">
        <v>523</v>
      </c>
      <c r="G38" s="259">
        <v>4.1100000000000003</v>
      </c>
    </row>
    <row r="39" spans="1:7">
      <c r="A39" s="256">
        <v>1995</v>
      </c>
      <c r="B39" s="253" t="s">
        <v>499</v>
      </c>
      <c r="C39" s="257" t="s">
        <v>524</v>
      </c>
      <c r="D39" s="3">
        <v>220700</v>
      </c>
      <c r="E39" s="258">
        <v>11.875</v>
      </c>
      <c r="F39" s="261" t="s">
        <v>525</v>
      </c>
      <c r="G39" s="259">
        <v>10</v>
      </c>
    </row>
    <row r="40" spans="1:7" ht="13.5" thickBot="1">
      <c r="A40" s="262">
        <v>1995</v>
      </c>
      <c r="B40" s="263" t="s">
        <v>499</v>
      </c>
      <c r="C40" s="264" t="s">
        <v>526</v>
      </c>
      <c r="D40" s="265">
        <v>511500</v>
      </c>
      <c r="E40" s="266" t="s">
        <v>518</v>
      </c>
      <c r="F40" s="264" t="s">
        <v>527</v>
      </c>
      <c r="G40" s="267">
        <v>6.1</v>
      </c>
    </row>
  </sheetData>
  <printOptions horizontalCentered="1" verticalCentered="1"/>
  <pageMargins left="0.19685039370078741" right="0.19685039370078741" top="0" bottom="0" header="0.51181102362204722" footer="0.51181102362204722"/>
  <pageSetup paperSize="9" scale="93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AA9B-25B6-4BB3-A76F-2EF44D4B7306}">
  <sheetPr syncVertical="1" syncRef="A1" transitionEvaluation="1">
    <pageSetUpPr fitToPage="1"/>
  </sheetPr>
  <dimension ref="A1:H64"/>
  <sheetViews>
    <sheetView showGridLines="0" workbookViewId="0">
      <selection activeCell="A2" sqref="A2"/>
    </sheetView>
  </sheetViews>
  <sheetFormatPr defaultColWidth="10.26953125" defaultRowHeight="13"/>
  <cols>
    <col min="1" max="1" width="7" style="219" customWidth="1"/>
    <col min="2" max="2" width="24.453125" style="219" customWidth="1"/>
    <col min="3" max="3" width="9.1796875" style="219" customWidth="1"/>
    <col min="4" max="4" width="16.81640625" style="219" customWidth="1"/>
    <col min="5" max="5" width="9.1796875" style="219" customWidth="1"/>
    <col min="6" max="7" width="11.36328125" style="219" customWidth="1"/>
    <col min="8" max="8" width="1.54296875" style="219" customWidth="1"/>
    <col min="9" max="9" width="10.26953125" style="219"/>
    <col min="10" max="11" width="9.1796875" style="219" customWidth="1"/>
    <col min="12" max="12" width="10.26953125" style="219" customWidth="1"/>
    <col min="13" max="13" width="9.1796875" style="219" customWidth="1"/>
    <col min="14" max="14" width="11.36328125" style="219" customWidth="1"/>
    <col min="15" max="15" width="9.1796875" style="219" customWidth="1"/>
    <col min="16" max="256" width="10.26953125" style="219"/>
    <col min="257" max="257" width="7" style="219" customWidth="1"/>
    <col min="258" max="258" width="24.453125" style="219" customWidth="1"/>
    <col min="259" max="259" width="9.1796875" style="219" customWidth="1"/>
    <col min="260" max="260" width="16.81640625" style="219" customWidth="1"/>
    <col min="261" max="261" width="9.1796875" style="219" customWidth="1"/>
    <col min="262" max="263" width="11.36328125" style="219" customWidth="1"/>
    <col min="264" max="264" width="1.54296875" style="219" customWidth="1"/>
    <col min="265" max="265" width="10.26953125" style="219"/>
    <col min="266" max="267" width="9.1796875" style="219" customWidth="1"/>
    <col min="268" max="268" width="10.26953125" style="219"/>
    <col min="269" max="269" width="9.1796875" style="219" customWidth="1"/>
    <col min="270" max="270" width="11.36328125" style="219" customWidth="1"/>
    <col min="271" max="271" width="9.1796875" style="219" customWidth="1"/>
    <col min="272" max="512" width="10.26953125" style="219"/>
    <col min="513" max="513" width="7" style="219" customWidth="1"/>
    <col min="514" max="514" width="24.453125" style="219" customWidth="1"/>
    <col min="515" max="515" width="9.1796875" style="219" customWidth="1"/>
    <col min="516" max="516" width="16.81640625" style="219" customWidth="1"/>
    <col min="517" max="517" width="9.1796875" style="219" customWidth="1"/>
    <col min="518" max="519" width="11.36328125" style="219" customWidth="1"/>
    <col min="520" max="520" width="1.54296875" style="219" customWidth="1"/>
    <col min="521" max="521" width="10.26953125" style="219"/>
    <col min="522" max="523" width="9.1796875" style="219" customWidth="1"/>
    <col min="524" max="524" width="10.26953125" style="219"/>
    <col min="525" max="525" width="9.1796875" style="219" customWidth="1"/>
    <col min="526" max="526" width="11.36328125" style="219" customWidth="1"/>
    <col min="527" max="527" width="9.1796875" style="219" customWidth="1"/>
    <col min="528" max="768" width="10.26953125" style="219"/>
    <col min="769" max="769" width="7" style="219" customWidth="1"/>
    <col min="770" max="770" width="24.453125" style="219" customWidth="1"/>
    <col min="771" max="771" width="9.1796875" style="219" customWidth="1"/>
    <col min="772" max="772" width="16.81640625" style="219" customWidth="1"/>
    <col min="773" max="773" width="9.1796875" style="219" customWidth="1"/>
    <col min="774" max="775" width="11.36328125" style="219" customWidth="1"/>
    <col min="776" max="776" width="1.54296875" style="219" customWidth="1"/>
    <col min="777" max="777" width="10.26953125" style="219"/>
    <col min="778" max="779" width="9.1796875" style="219" customWidth="1"/>
    <col min="780" max="780" width="10.26953125" style="219"/>
    <col min="781" max="781" width="9.1796875" style="219" customWidth="1"/>
    <col min="782" max="782" width="11.36328125" style="219" customWidth="1"/>
    <col min="783" max="783" width="9.1796875" style="219" customWidth="1"/>
    <col min="784" max="1024" width="10.26953125" style="219"/>
    <col min="1025" max="1025" width="7" style="219" customWidth="1"/>
    <col min="1026" max="1026" width="24.453125" style="219" customWidth="1"/>
    <col min="1027" max="1027" width="9.1796875" style="219" customWidth="1"/>
    <col min="1028" max="1028" width="16.81640625" style="219" customWidth="1"/>
    <col min="1029" max="1029" width="9.1796875" style="219" customWidth="1"/>
    <col min="1030" max="1031" width="11.36328125" style="219" customWidth="1"/>
    <col min="1032" max="1032" width="1.54296875" style="219" customWidth="1"/>
    <col min="1033" max="1033" width="10.26953125" style="219"/>
    <col min="1034" max="1035" width="9.1796875" style="219" customWidth="1"/>
    <col min="1036" max="1036" width="10.26953125" style="219"/>
    <col min="1037" max="1037" width="9.1796875" style="219" customWidth="1"/>
    <col min="1038" max="1038" width="11.36328125" style="219" customWidth="1"/>
    <col min="1039" max="1039" width="9.1796875" style="219" customWidth="1"/>
    <col min="1040" max="1280" width="10.26953125" style="219"/>
    <col min="1281" max="1281" width="7" style="219" customWidth="1"/>
    <col min="1282" max="1282" width="24.453125" style="219" customWidth="1"/>
    <col min="1283" max="1283" width="9.1796875" style="219" customWidth="1"/>
    <col min="1284" max="1284" width="16.81640625" style="219" customWidth="1"/>
    <col min="1285" max="1285" width="9.1796875" style="219" customWidth="1"/>
    <col min="1286" max="1287" width="11.36328125" style="219" customWidth="1"/>
    <col min="1288" max="1288" width="1.54296875" style="219" customWidth="1"/>
    <col min="1289" max="1289" width="10.26953125" style="219"/>
    <col min="1290" max="1291" width="9.1796875" style="219" customWidth="1"/>
    <col min="1292" max="1292" width="10.26953125" style="219"/>
    <col min="1293" max="1293" width="9.1796875" style="219" customWidth="1"/>
    <col min="1294" max="1294" width="11.36328125" style="219" customWidth="1"/>
    <col min="1295" max="1295" width="9.1796875" style="219" customWidth="1"/>
    <col min="1296" max="1536" width="10.26953125" style="219"/>
    <col min="1537" max="1537" width="7" style="219" customWidth="1"/>
    <col min="1538" max="1538" width="24.453125" style="219" customWidth="1"/>
    <col min="1539" max="1539" width="9.1796875" style="219" customWidth="1"/>
    <col min="1540" max="1540" width="16.81640625" style="219" customWidth="1"/>
    <col min="1541" max="1541" width="9.1796875" style="219" customWidth="1"/>
    <col min="1542" max="1543" width="11.36328125" style="219" customWidth="1"/>
    <col min="1544" max="1544" width="1.54296875" style="219" customWidth="1"/>
    <col min="1545" max="1545" width="10.26953125" style="219"/>
    <col min="1546" max="1547" width="9.1796875" style="219" customWidth="1"/>
    <col min="1548" max="1548" width="10.26953125" style="219"/>
    <col min="1549" max="1549" width="9.1796875" style="219" customWidth="1"/>
    <col min="1550" max="1550" width="11.36328125" style="219" customWidth="1"/>
    <col min="1551" max="1551" width="9.1796875" style="219" customWidth="1"/>
    <col min="1552" max="1792" width="10.26953125" style="219"/>
    <col min="1793" max="1793" width="7" style="219" customWidth="1"/>
    <col min="1794" max="1794" width="24.453125" style="219" customWidth="1"/>
    <col min="1795" max="1795" width="9.1796875" style="219" customWidth="1"/>
    <col min="1796" max="1796" width="16.81640625" style="219" customWidth="1"/>
    <col min="1797" max="1797" width="9.1796875" style="219" customWidth="1"/>
    <col min="1798" max="1799" width="11.36328125" style="219" customWidth="1"/>
    <col min="1800" max="1800" width="1.54296875" style="219" customWidth="1"/>
    <col min="1801" max="1801" width="10.26953125" style="219"/>
    <col min="1802" max="1803" width="9.1796875" style="219" customWidth="1"/>
    <col min="1804" max="1804" width="10.26953125" style="219"/>
    <col min="1805" max="1805" width="9.1796875" style="219" customWidth="1"/>
    <col min="1806" max="1806" width="11.36328125" style="219" customWidth="1"/>
    <col min="1807" max="1807" width="9.1796875" style="219" customWidth="1"/>
    <col min="1808" max="2048" width="10.26953125" style="219"/>
    <col min="2049" max="2049" width="7" style="219" customWidth="1"/>
    <col min="2050" max="2050" width="24.453125" style="219" customWidth="1"/>
    <col min="2051" max="2051" width="9.1796875" style="219" customWidth="1"/>
    <col min="2052" max="2052" width="16.81640625" style="219" customWidth="1"/>
    <col min="2053" max="2053" width="9.1796875" style="219" customWidth="1"/>
    <col min="2054" max="2055" width="11.36328125" style="219" customWidth="1"/>
    <col min="2056" max="2056" width="1.54296875" style="219" customWidth="1"/>
    <col min="2057" max="2057" width="10.26953125" style="219"/>
    <col min="2058" max="2059" width="9.1796875" style="219" customWidth="1"/>
    <col min="2060" max="2060" width="10.26953125" style="219"/>
    <col min="2061" max="2061" width="9.1796875" style="219" customWidth="1"/>
    <col min="2062" max="2062" width="11.36328125" style="219" customWidth="1"/>
    <col min="2063" max="2063" width="9.1796875" style="219" customWidth="1"/>
    <col min="2064" max="2304" width="10.26953125" style="219"/>
    <col min="2305" max="2305" width="7" style="219" customWidth="1"/>
    <col min="2306" max="2306" width="24.453125" style="219" customWidth="1"/>
    <col min="2307" max="2307" width="9.1796875" style="219" customWidth="1"/>
    <col min="2308" max="2308" width="16.81640625" style="219" customWidth="1"/>
    <col min="2309" max="2309" width="9.1796875" style="219" customWidth="1"/>
    <col min="2310" max="2311" width="11.36328125" style="219" customWidth="1"/>
    <col min="2312" max="2312" width="1.54296875" style="219" customWidth="1"/>
    <col min="2313" max="2313" width="10.26953125" style="219"/>
    <col min="2314" max="2315" width="9.1796875" style="219" customWidth="1"/>
    <col min="2316" max="2316" width="10.26953125" style="219"/>
    <col min="2317" max="2317" width="9.1796875" style="219" customWidth="1"/>
    <col min="2318" max="2318" width="11.36328125" style="219" customWidth="1"/>
    <col min="2319" max="2319" width="9.1796875" style="219" customWidth="1"/>
    <col min="2320" max="2560" width="10.26953125" style="219"/>
    <col min="2561" max="2561" width="7" style="219" customWidth="1"/>
    <col min="2562" max="2562" width="24.453125" style="219" customWidth="1"/>
    <col min="2563" max="2563" width="9.1796875" style="219" customWidth="1"/>
    <col min="2564" max="2564" width="16.81640625" style="219" customWidth="1"/>
    <col min="2565" max="2565" width="9.1796875" style="219" customWidth="1"/>
    <col min="2566" max="2567" width="11.36328125" style="219" customWidth="1"/>
    <col min="2568" max="2568" width="1.54296875" style="219" customWidth="1"/>
    <col min="2569" max="2569" width="10.26953125" style="219"/>
    <col min="2570" max="2571" width="9.1796875" style="219" customWidth="1"/>
    <col min="2572" max="2572" width="10.26953125" style="219"/>
    <col min="2573" max="2573" width="9.1796875" style="219" customWidth="1"/>
    <col min="2574" max="2574" width="11.36328125" style="219" customWidth="1"/>
    <col min="2575" max="2575" width="9.1796875" style="219" customWidth="1"/>
    <col min="2576" max="2816" width="10.26953125" style="219"/>
    <col min="2817" max="2817" width="7" style="219" customWidth="1"/>
    <col min="2818" max="2818" width="24.453125" style="219" customWidth="1"/>
    <col min="2819" max="2819" width="9.1796875" style="219" customWidth="1"/>
    <col min="2820" max="2820" width="16.81640625" style="219" customWidth="1"/>
    <col min="2821" max="2821" width="9.1796875" style="219" customWidth="1"/>
    <col min="2822" max="2823" width="11.36328125" style="219" customWidth="1"/>
    <col min="2824" max="2824" width="1.54296875" style="219" customWidth="1"/>
    <col min="2825" max="2825" width="10.26953125" style="219"/>
    <col min="2826" max="2827" width="9.1796875" style="219" customWidth="1"/>
    <col min="2828" max="2828" width="10.26953125" style="219"/>
    <col min="2829" max="2829" width="9.1796875" style="219" customWidth="1"/>
    <col min="2830" max="2830" width="11.36328125" style="219" customWidth="1"/>
    <col min="2831" max="2831" width="9.1796875" style="219" customWidth="1"/>
    <col min="2832" max="3072" width="10.26953125" style="219"/>
    <col min="3073" max="3073" width="7" style="219" customWidth="1"/>
    <col min="3074" max="3074" width="24.453125" style="219" customWidth="1"/>
    <col min="3075" max="3075" width="9.1796875" style="219" customWidth="1"/>
    <col min="3076" max="3076" width="16.81640625" style="219" customWidth="1"/>
    <col min="3077" max="3077" width="9.1796875" style="219" customWidth="1"/>
    <col min="3078" max="3079" width="11.36328125" style="219" customWidth="1"/>
    <col min="3080" max="3080" width="1.54296875" style="219" customWidth="1"/>
    <col min="3081" max="3081" width="10.26953125" style="219"/>
    <col min="3082" max="3083" width="9.1796875" style="219" customWidth="1"/>
    <col min="3084" max="3084" width="10.26953125" style="219"/>
    <col min="3085" max="3085" width="9.1796875" style="219" customWidth="1"/>
    <col min="3086" max="3086" width="11.36328125" style="219" customWidth="1"/>
    <col min="3087" max="3087" width="9.1796875" style="219" customWidth="1"/>
    <col min="3088" max="3328" width="10.26953125" style="219"/>
    <col min="3329" max="3329" width="7" style="219" customWidth="1"/>
    <col min="3330" max="3330" width="24.453125" style="219" customWidth="1"/>
    <col min="3331" max="3331" width="9.1796875" style="219" customWidth="1"/>
    <col min="3332" max="3332" width="16.81640625" style="219" customWidth="1"/>
    <col min="3333" max="3333" width="9.1796875" style="219" customWidth="1"/>
    <col min="3334" max="3335" width="11.36328125" style="219" customWidth="1"/>
    <col min="3336" max="3336" width="1.54296875" style="219" customWidth="1"/>
    <col min="3337" max="3337" width="10.26953125" style="219"/>
    <col min="3338" max="3339" width="9.1796875" style="219" customWidth="1"/>
    <col min="3340" max="3340" width="10.26953125" style="219"/>
    <col min="3341" max="3341" width="9.1796875" style="219" customWidth="1"/>
    <col min="3342" max="3342" width="11.36328125" style="219" customWidth="1"/>
    <col min="3343" max="3343" width="9.1796875" style="219" customWidth="1"/>
    <col min="3344" max="3584" width="10.26953125" style="219"/>
    <col min="3585" max="3585" width="7" style="219" customWidth="1"/>
    <col min="3586" max="3586" width="24.453125" style="219" customWidth="1"/>
    <col min="3587" max="3587" width="9.1796875" style="219" customWidth="1"/>
    <col min="3588" max="3588" width="16.81640625" style="219" customWidth="1"/>
    <col min="3589" max="3589" width="9.1796875" style="219" customWidth="1"/>
    <col min="3590" max="3591" width="11.36328125" style="219" customWidth="1"/>
    <col min="3592" max="3592" width="1.54296875" style="219" customWidth="1"/>
    <col min="3593" max="3593" width="10.26953125" style="219"/>
    <col min="3594" max="3595" width="9.1796875" style="219" customWidth="1"/>
    <col min="3596" max="3596" width="10.26953125" style="219"/>
    <col min="3597" max="3597" width="9.1796875" style="219" customWidth="1"/>
    <col min="3598" max="3598" width="11.36328125" style="219" customWidth="1"/>
    <col min="3599" max="3599" width="9.1796875" style="219" customWidth="1"/>
    <col min="3600" max="3840" width="10.26953125" style="219"/>
    <col min="3841" max="3841" width="7" style="219" customWidth="1"/>
    <col min="3842" max="3842" width="24.453125" style="219" customWidth="1"/>
    <col min="3843" max="3843" width="9.1796875" style="219" customWidth="1"/>
    <col min="3844" max="3844" width="16.81640625" style="219" customWidth="1"/>
    <col min="3845" max="3845" width="9.1796875" style="219" customWidth="1"/>
    <col min="3846" max="3847" width="11.36328125" style="219" customWidth="1"/>
    <col min="3848" max="3848" width="1.54296875" style="219" customWidth="1"/>
    <col min="3849" max="3849" width="10.26953125" style="219"/>
    <col min="3850" max="3851" width="9.1796875" style="219" customWidth="1"/>
    <col min="3852" max="3852" width="10.26953125" style="219"/>
    <col min="3853" max="3853" width="9.1796875" style="219" customWidth="1"/>
    <col min="3854" max="3854" width="11.36328125" style="219" customWidth="1"/>
    <col min="3855" max="3855" width="9.1796875" style="219" customWidth="1"/>
    <col min="3856" max="4096" width="10.26953125" style="219"/>
    <col min="4097" max="4097" width="7" style="219" customWidth="1"/>
    <col min="4098" max="4098" width="24.453125" style="219" customWidth="1"/>
    <col min="4099" max="4099" width="9.1796875" style="219" customWidth="1"/>
    <col min="4100" max="4100" width="16.81640625" style="219" customWidth="1"/>
    <col min="4101" max="4101" width="9.1796875" style="219" customWidth="1"/>
    <col min="4102" max="4103" width="11.36328125" style="219" customWidth="1"/>
    <col min="4104" max="4104" width="1.54296875" style="219" customWidth="1"/>
    <col min="4105" max="4105" width="10.26953125" style="219"/>
    <col min="4106" max="4107" width="9.1796875" style="219" customWidth="1"/>
    <col min="4108" max="4108" width="10.26953125" style="219"/>
    <col min="4109" max="4109" width="9.1796875" style="219" customWidth="1"/>
    <col min="4110" max="4110" width="11.36328125" style="219" customWidth="1"/>
    <col min="4111" max="4111" width="9.1796875" style="219" customWidth="1"/>
    <col min="4112" max="4352" width="10.26953125" style="219"/>
    <col min="4353" max="4353" width="7" style="219" customWidth="1"/>
    <col min="4354" max="4354" width="24.453125" style="219" customWidth="1"/>
    <col min="4355" max="4355" width="9.1796875" style="219" customWidth="1"/>
    <col min="4356" max="4356" width="16.81640625" style="219" customWidth="1"/>
    <col min="4357" max="4357" width="9.1796875" style="219" customWidth="1"/>
    <col min="4358" max="4359" width="11.36328125" style="219" customWidth="1"/>
    <col min="4360" max="4360" width="1.54296875" style="219" customWidth="1"/>
    <col min="4361" max="4361" width="10.26953125" style="219"/>
    <col min="4362" max="4363" width="9.1796875" style="219" customWidth="1"/>
    <col min="4364" max="4364" width="10.26953125" style="219"/>
    <col min="4365" max="4365" width="9.1796875" style="219" customWidth="1"/>
    <col min="4366" max="4366" width="11.36328125" style="219" customWidth="1"/>
    <col min="4367" max="4367" width="9.1796875" style="219" customWidth="1"/>
    <col min="4368" max="4608" width="10.26953125" style="219"/>
    <col min="4609" max="4609" width="7" style="219" customWidth="1"/>
    <col min="4610" max="4610" width="24.453125" style="219" customWidth="1"/>
    <col min="4611" max="4611" width="9.1796875" style="219" customWidth="1"/>
    <col min="4612" max="4612" width="16.81640625" style="219" customWidth="1"/>
    <col min="4613" max="4613" width="9.1796875" style="219" customWidth="1"/>
    <col min="4614" max="4615" width="11.36328125" style="219" customWidth="1"/>
    <col min="4616" max="4616" width="1.54296875" style="219" customWidth="1"/>
    <col min="4617" max="4617" width="10.26953125" style="219"/>
    <col min="4618" max="4619" width="9.1796875" style="219" customWidth="1"/>
    <col min="4620" max="4620" width="10.26953125" style="219"/>
    <col min="4621" max="4621" width="9.1796875" style="219" customWidth="1"/>
    <col min="4622" max="4622" width="11.36328125" style="219" customWidth="1"/>
    <col min="4623" max="4623" width="9.1796875" style="219" customWidth="1"/>
    <col min="4624" max="4864" width="10.26953125" style="219"/>
    <col min="4865" max="4865" width="7" style="219" customWidth="1"/>
    <col min="4866" max="4866" width="24.453125" style="219" customWidth="1"/>
    <col min="4867" max="4867" width="9.1796875" style="219" customWidth="1"/>
    <col min="4868" max="4868" width="16.81640625" style="219" customWidth="1"/>
    <col min="4869" max="4869" width="9.1796875" style="219" customWidth="1"/>
    <col min="4870" max="4871" width="11.36328125" style="219" customWidth="1"/>
    <col min="4872" max="4872" width="1.54296875" style="219" customWidth="1"/>
    <col min="4873" max="4873" width="10.26953125" style="219"/>
    <col min="4874" max="4875" width="9.1796875" style="219" customWidth="1"/>
    <col min="4876" max="4876" width="10.26953125" style="219"/>
    <col min="4877" max="4877" width="9.1796875" style="219" customWidth="1"/>
    <col min="4878" max="4878" width="11.36328125" style="219" customWidth="1"/>
    <col min="4879" max="4879" width="9.1796875" style="219" customWidth="1"/>
    <col min="4880" max="5120" width="10.26953125" style="219"/>
    <col min="5121" max="5121" width="7" style="219" customWidth="1"/>
    <col min="5122" max="5122" width="24.453125" style="219" customWidth="1"/>
    <col min="5123" max="5123" width="9.1796875" style="219" customWidth="1"/>
    <col min="5124" max="5124" width="16.81640625" style="219" customWidth="1"/>
    <col min="5125" max="5125" width="9.1796875" style="219" customWidth="1"/>
    <col min="5126" max="5127" width="11.36328125" style="219" customWidth="1"/>
    <col min="5128" max="5128" width="1.54296875" style="219" customWidth="1"/>
    <col min="5129" max="5129" width="10.26953125" style="219"/>
    <col min="5130" max="5131" width="9.1796875" style="219" customWidth="1"/>
    <col min="5132" max="5132" width="10.26953125" style="219"/>
    <col min="5133" max="5133" width="9.1796875" style="219" customWidth="1"/>
    <col min="5134" max="5134" width="11.36328125" style="219" customWidth="1"/>
    <col min="5135" max="5135" width="9.1796875" style="219" customWidth="1"/>
    <col min="5136" max="5376" width="10.26953125" style="219"/>
    <col min="5377" max="5377" width="7" style="219" customWidth="1"/>
    <col min="5378" max="5378" width="24.453125" style="219" customWidth="1"/>
    <col min="5379" max="5379" width="9.1796875" style="219" customWidth="1"/>
    <col min="5380" max="5380" width="16.81640625" style="219" customWidth="1"/>
    <col min="5381" max="5381" width="9.1796875" style="219" customWidth="1"/>
    <col min="5382" max="5383" width="11.36328125" style="219" customWidth="1"/>
    <col min="5384" max="5384" width="1.54296875" style="219" customWidth="1"/>
    <col min="5385" max="5385" width="10.26953125" style="219"/>
    <col min="5386" max="5387" width="9.1796875" style="219" customWidth="1"/>
    <col min="5388" max="5388" width="10.26953125" style="219"/>
    <col min="5389" max="5389" width="9.1796875" style="219" customWidth="1"/>
    <col min="5390" max="5390" width="11.36328125" style="219" customWidth="1"/>
    <col min="5391" max="5391" width="9.1796875" style="219" customWidth="1"/>
    <col min="5392" max="5632" width="10.26953125" style="219"/>
    <col min="5633" max="5633" width="7" style="219" customWidth="1"/>
    <col min="5634" max="5634" width="24.453125" style="219" customWidth="1"/>
    <col min="5635" max="5635" width="9.1796875" style="219" customWidth="1"/>
    <col min="5636" max="5636" width="16.81640625" style="219" customWidth="1"/>
    <col min="5637" max="5637" width="9.1796875" style="219" customWidth="1"/>
    <col min="5638" max="5639" width="11.36328125" style="219" customWidth="1"/>
    <col min="5640" max="5640" width="1.54296875" style="219" customWidth="1"/>
    <col min="5641" max="5641" width="10.26953125" style="219"/>
    <col min="5642" max="5643" width="9.1796875" style="219" customWidth="1"/>
    <col min="5644" max="5644" width="10.26953125" style="219"/>
    <col min="5645" max="5645" width="9.1796875" style="219" customWidth="1"/>
    <col min="5646" max="5646" width="11.36328125" style="219" customWidth="1"/>
    <col min="5647" max="5647" width="9.1796875" style="219" customWidth="1"/>
    <col min="5648" max="5888" width="10.26953125" style="219"/>
    <col min="5889" max="5889" width="7" style="219" customWidth="1"/>
    <col min="5890" max="5890" width="24.453125" style="219" customWidth="1"/>
    <col min="5891" max="5891" width="9.1796875" style="219" customWidth="1"/>
    <col min="5892" max="5892" width="16.81640625" style="219" customWidth="1"/>
    <col min="5893" max="5893" width="9.1796875" style="219" customWidth="1"/>
    <col min="5894" max="5895" width="11.36328125" style="219" customWidth="1"/>
    <col min="5896" max="5896" width="1.54296875" style="219" customWidth="1"/>
    <col min="5897" max="5897" width="10.26953125" style="219"/>
    <col min="5898" max="5899" width="9.1796875" style="219" customWidth="1"/>
    <col min="5900" max="5900" width="10.26953125" style="219"/>
    <col min="5901" max="5901" width="9.1796875" style="219" customWidth="1"/>
    <col min="5902" max="5902" width="11.36328125" style="219" customWidth="1"/>
    <col min="5903" max="5903" width="9.1796875" style="219" customWidth="1"/>
    <col min="5904" max="6144" width="10.26953125" style="219"/>
    <col min="6145" max="6145" width="7" style="219" customWidth="1"/>
    <col min="6146" max="6146" width="24.453125" style="219" customWidth="1"/>
    <col min="6147" max="6147" width="9.1796875" style="219" customWidth="1"/>
    <col min="6148" max="6148" width="16.81640625" style="219" customWidth="1"/>
    <col min="6149" max="6149" width="9.1796875" style="219" customWidth="1"/>
    <col min="6150" max="6151" width="11.36328125" style="219" customWidth="1"/>
    <col min="6152" max="6152" width="1.54296875" style="219" customWidth="1"/>
    <col min="6153" max="6153" width="10.26953125" style="219"/>
    <col min="6154" max="6155" width="9.1796875" style="219" customWidth="1"/>
    <col min="6156" max="6156" width="10.26953125" style="219"/>
    <col min="6157" max="6157" width="9.1796875" style="219" customWidth="1"/>
    <col min="6158" max="6158" width="11.36328125" style="219" customWidth="1"/>
    <col min="6159" max="6159" width="9.1796875" style="219" customWidth="1"/>
    <col min="6160" max="6400" width="10.26953125" style="219"/>
    <col min="6401" max="6401" width="7" style="219" customWidth="1"/>
    <col min="6402" max="6402" width="24.453125" style="219" customWidth="1"/>
    <col min="6403" max="6403" width="9.1796875" style="219" customWidth="1"/>
    <col min="6404" max="6404" width="16.81640625" style="219" customWidth="1"/>
    <col min="6405" max="6405" width="9.1796875" style="219" customWidth="1"/>
    <col min="6406" max="6407" width="11.36328125" style="219" customWidth="1"/>
    <col min="6408" max="6408" width="1.54296875" style="219" customWidth="1"/>
    <col min="6409" max="6409" width="10.26953125" style="219"/>
    <col min="6410" max="6411" width="9.1796875" style="219" customWidth="1"/>
    <col min="6412" max="6412" width="10.26953125" style="219"/>
    <col min="6413" max="6413" width="9.1796875" style="219" customWidth="1"/>
    <col min="6414" max="6414" width="11.36328125" style="219" customWidth="1"/>
    <col min="6415" max="6415" width="9.1796875" style="219" customWidth="1"/>
    <col min="6416" max="6656" width="10.26953125" style="219"/>
    <col min="6657" max="6657" width="7" style="219" customWidth="1"/>
    <col min="6658" max="6658" width="24.453125" style="219" customWidth="1"/>
    <col min="6659" max="6659" width="9.1796875" style="219" customWidth="1"/>
    <col min="6660" max="6660" width="16.81640625" style="219" customWidth="1"/>
    <col min="6661" max="6661" width="9.1796875" style="219" customWidth="1"/>
    <col min="6662" max="6663" width="11.36328125" style="219" customWidth="1"/>
    <col min="6664" max="6664" width="1.54296875" style="219" customWidth="1"/>
    <col min="6665" max="6665" width="10.26953125" style="219"/>
    <col min="6666" max="6667" width="9.1796875" style="219" customWidth="1"/>
    <col min="6668" max="6668" width="10.26953125" style="219"/>
    <col min="6669" max="6669" width="9.1796875" style="219" customWidth="1"/>
    <col min="6670" max="6670" width="11.36328125" style="219" customWidth="1"/>
    <col min="6671" max="6671" width="9.1796875" style="219" customWidth="1"/>
    <col min="6672" max="6912" width="10.26953125" style="219"/>
    <col min="6913" max="6913" width="7" style="219" customWidth="1"/>
    <col min="6914" max="6914" width="24.453125" style="219" customWidth="1"/>
    <col min="6915" max="6915" width="9.1796875" style="219" customWidth="1"/>
    <col min="6916" max="6916" width="16.81640625" style="219" customWidth="1"/>
    <col min="6917" max="6917" width="9.1796875" style="219" customWidth="1"/>
    <col min="6918" max="6919" width="11.36328125" style="219" customWidth="1"/>
    <col min="6920" max="6920" width="1.54296875" style="219" customWidth="1"/>
    <col min="6921" max="6921" width="10.26953125" style="219"/>
    <col min="6922" max="6923" width="9.1796875" style="219" customWidth="1"/>
    <col min="6924" max="6924" width="10.26953125" style="219"/>
    <col min="6925" max="6925" width="9.1796875" style="219" customWidth="1"/>
    <col min="6926" max="6926" width="11.36328125" style="219" customWidth="1"/>
    <col min="6927" max="6927" width="9.1796875" style="219" customWidth="1"/>
    <col min="6928" max="7168" width="10.26953125" style="219"/>
    <col min="7169" max="7169" width="7" style="219" customWidth="1"/>
    <col min="7170" max="7170" width="24.453125" style="219" customWidth="1"/>
    <col min="7171" max="7171" width="9.1796875" style="219" customWidth="1"/>
    <col min="7172" max="7172" width="16.81640625" style="219" customWidth="1"/>
    <col min="7173" max="7173" width="9.1796875" style="219" customWidth="1"/>
    <col min="7174" max="7175" width="11.36328125" style="219" customWidth="1"/>
    <col min="7176" max="7176" width="1.54296875" style="219" customWidth="1"/>
    <col min="7177" max="7177" width="10.26953125" style="219"/>
    <col min="7178" max="7179" width="9.1796875" style="219" customWidth="1"/>
    <col min="7180" max="7180" width="10.26953125" style="219"/>
    <col min="7181" max="7181" width="9.1796875" style="219" customWidth="1"/>
    <col min="7182" max="7182" width="11.36328125" style="219" customWidth="1"/>
    <col min="7183" max="7183" width="9.1796875" style="219" customWidth="1"/>
    <col min="7184" max="7424" width="10.26953125" style="219"/>
    <col min="7425" max="7425" width="7" style="219" customWidth="1"/>
    <col min="7426" max="7426" width="24.453125" style="219" customWidth="1"/>
    <col min="7427" max="7427" width="9.1796875" style="219" customWidth="1"/>
    <col min="7428" max="7428" width="16.81640625" style="219" customWidth="1"/>
    <col min="7429" max="7429" width="9.1796875" style="219" customWidth="1"/>
    <col min="7430" max="7431" width="11.36328125" style="219" customWidth="1"/>
    <col min="7432" max="7432" width="1.54296875" style="219" customWidth="1"/>
    <col min="7433" max="7433" width="10.26953125" style="219"/>
    <col min="7434" max="7435" width="9.1796875" style="219" customWidth="1"/>
    <col min="7436" max="7436" width="10.26953125" style="219"/>
    <col min="7437" max="7437" width="9.1796875" style="219" customWidth="1"/>
    <col min="7438" max="7438" width="11.36328125" style="219" customWidth="1"/>
    <col min="7439" max="7439" width="9.1796875" style="219" customWidth="1"/>
    <col min="7440" max="7680" width="10.26953125" style="219"/>
    <col min="7681" max="7681" width="7" style="219" customWidth="1"/>
    <col min="7682" max="7682" width="24.453125" style="219" customWidth="1"/>
    <col min="7683" max="7683" width="9.1796875" style="219" customWidth="1"/>
    <col min="7684" max="7684" width="16.81640625" style="219" customWidth="1"/>
    <col min="7685" max="7685" width="9.1796875" style="219" customWidth="1"/>
    <col min="7686" max="7687" width="11.36328125" style="219" customWidth="1"/>
    <col min="7688" max="7688" width="1.54296875" style="219" customWidth="1"/>
    <col min="7689" max="7689" width="10.26953125" style="219"/>
    <col min="7690" max="7691" width="9.1796875" style="219" customWidth="1"/>
    <col min="7692" max="7692" width="10.26953125" style="219"/>
    <col min="7693" max="7693" width="9.1796875" style="219" customWidth="1"/>
    <col min="7694" max="7694" width="11.36328125" style="219" customWidth="1"/>
    <col min="7695" max="7695" width="9.1796875" style="219" customWidth="1"/>
    <col min="7696" max="7936" width="10.26953125" style="219"/>
    <col min="7937" max="7937" width="7" style="219" customWidth="1"/>
    <col min="7938" max="7938" width="24.453125" style="219" customWidth="1"/>
    <col min="7939" max="7939" width="9.1796875" style="219" customWidth="1"/>
    <col min="7940" max="7940" width="16.81640625" style="219" customWidth="1"/>
    <col min="7941" max="7941" width="9.1796875" style="219" customWidth="1"/>
    <col min="7942" max="7943" width="11.36328125" style="219" customWidth="1"/>
    <col min="7944" max="7944" width="1.54296875" style="219" customWidth="1"/>
    <col min="7945" max="7945" width="10.26953125" style="219"/>
    <col min="7946" max="7947" width="9.1796875" style="219" customWidth="1"/>
    <col min="7948" max="7948" width="10.26953125" style="219"/>
    <col min="7949" max="7949" width="9.1796875" style="219" customWidth="1"/>
    <col min="7950" max="7950" width="11.36328125" style="219" customWidth="1"/>
    <col min="7951" max="7951" width="9.1796875" style="219" customWidth="1"/>
    <col min="7952" max="8192" width="10.26953125" style="219"/>
    <col min="8193" max="8193" width="7" style="219" customWidth="1"/>
    <col min="8194" max="8194" width="24.453125" style="219" customWidth="1"/>
    <col min="8195" max="8195" width="9.1796875" style="219" customWidth="1"/>
    <col min="8196" max="8196" width="16.81640625" style="219" customWidth="1"/>
    <col min="8197" max="8197" width="9.1796875" style="219" customWidth="1"/>
    <col min="8198" max="8199" width="11.36328125" style="219" customWidth="1"/>
    <col min="8200" max="8200" width="1.54296875" style="219" customWidth="1"/>
    <col min="8201" max="8201" width="10.26953125" style="219"/>
    <col min="8202" max="8203" width="9.1796875" style="219" customWidth="1"/>
    <col min="8204" max="8204" width="10.26953125" style="219"/>
    <col min="8205" max="8205" width="9.1796875" style="219" customWidth="1"/>
    <col min="8206" max="8206" width="11.36328125" style="219" customWidth="1"/>
    <col min="8207" max="8207" width="9.1796875" style="219" customWidth="1"/>
    <col min="8208" max="8448" width="10.26953125" style="219"/>
    <col min="8449" max="8449" width="7" style="219" customWidth="1"/>
    <col min="8450" max="8450" width="24.453125" style="219" customWidth="1"/>
    <col min="8451" max="8451" width="9.1796875" style="219" customWidth="1"/>
    <col min="8452" max="8452" width="16.81640625" style="219" customWidth="1"/>
    <col min="8453" max="8453" width="9.1796875" style="219" customWidth="1"/>
    <col min="8454" max="8455" width="11.36328125" style="219" customWidth="1"/>
    <col min="8456" max="8456" width="1.54296875" style="219" customWidth="1"/>
    <col min="8457" max="8457" width="10.26953125" style="219"/>
    <col min="8458" max="8459" width="9.1796875" style="219" customWidth="1"/>
    <col min="8460" max="8460" width="10.26953125" style="219"/>
    <col min="8461" max="8461" width="9.1796875" style="219" customWidth="1"/>
    <col min="8462" max="8462" width="11.36328125" style="219" customWidth="1"/>
    <col min="8463" max="8463" width="9.1796875" style="219" customWidth="1"/>
    <col min="8464" max="8704" width="10.26953125" style="219"/>
    <col min="8705" max="8705" width="7" style="219" customWidth="1"/>
    <col min="8706" max="8706" width="24.453125" style="219" customWidth="1"/>
    <col min="8707" max="8707" width="9.1796875" style="219" customWidth="1"/>
    <col min="8708" max="8708" width="16.81640625" style="219" customWidth="1"/>
    <col min="8709" max="8709" width="9.1796875" style="219" customWidth="1"/>
    <col min="8710" max="8711" width="11.36328125" style="219" customWidth="1"/>
    <col min="8712" max="8712" width="1.54296875" style="219" customWidth="1"/>
    <col min="8713" max="8713" width="10.26953125" style="219"/>
    <col min="8714" max="8715" width="9.1796875" style="219" customWidth="1"/>
    <col min="8716" max="8716" width="10.26953125" style="219"/>
    <col min="8717" max="8717" width="9.1796875" style="219" customWidth="1"/>
    <col min="8718" max="8718" width="11.36328125" style="219" customWidth="1"/>
    <col min="8719" max="8719" width="9.1796875" style="219" customWidth="1"/>
    <col min="8720" max="8960" width="10.26953125" style="219"/>
    <col min="8961" max="8961" width="7" style="219" customWidth="1"/>
    <col min="8962" max="8962" width="24.453125" style="219" customWidth="1"/>
    <col min="8963" max="8963" width="9.1796875" style="219" customWidth="1"/>
    <col min="8964" max="8964" width="16.81640625" style="219" customWidth="1"/>
    <col min="8965" max="8965" width="9.1796875" style="219" customWidth="1"/>
    <col min="8966" max="8967" width="11.36328125" style="219" customWidth="1"/>
    <col min="8968" max="8968" width="1.54296875" style="219" customWidth="1"/>
    <col min="8969" max="8969" width="10.26953125" style="219"/>
    <col min="8970" max="8971" width="9.1796875" style="219" customWidth="1"/>
    <col min="8972" max="8972" width="10.26953125" style="219"/>
    <col min="8973" max="8973" width="9.1796875" style="219" customWidth="1"/>
    <col min="8974" max="8974" width="11.36328125" style="219" customWidth="1"/>
    <col min="8975" max="8975" width="9.1796875" style="219" customWidth="1"/>
    <col min="8976" max="9216" width="10.26953125" style="219"/>
    <col min="9217" max="9217" width="7" style="219" customWidth="1"/>
    <col min="9218" max="9218" width="24.453125" style="219" customWidth="1"/>
    <col min="9219" max="9219" width="9.1796875" style="219" customWidth="1"/>
    <col min="9220" max="9220" width="16.81640625" style="219" customWidth="1"/>
    <col min="9221" max="9221" width="9.1796875" style="219" customWidth="1"/>
    <col min="9222" max="9223" width="11.36328125" style="219" customWidth="1"/>
    <col min="9224" max="9224" width="1.54296875" style="219" customWidth="1"/>
    <col min="9225" max="9225" width="10.26953125" style="219"/>
    <col min="9226" max="9227" width="9.1796875" style="219" customWidth="1"/>
    <col min="9228" max="9228" width="10.26953125" style="219"/>
    <col min="9229" max="9229" width="9.1796875" style="219" customWidth="1"/>
    <col min="9230" max="9230" width="11.36328125" style="219" customWidth="1"/>
    <col min="9231" max="9231" width="9.1796875" style="219" customWidth="1"/>
    <col min="9232" max="9472" width="10.26953125" style="219"/>
    <col min="9473" max="9473" width="7" style="219" customWidth="1"/>
    <col min="9474" max="9474" width="24.453125" style="219" customWidth="1"/>
    <col min="9475" max="9475" width="9.1796875" style="219" customWidth="1"/>
    <col min="9476" max="9476" width="16.81640625" style="219" customWidth="1"/>
    <col min="9477" max="9477" width="9.1796875" style="219" customWidth="1"/>
    <col min="9478" max="9479" width="11.36328125" style="219" customWidth="1"/>
    <col min="9480" max="9480" width="1.54296875" style="219" customWidth="1"/>
    <col min="9481" max="9481" width="10.26953125" style="219"/>
    <col min="9482" max="9483" width="9.1796875" style="219" customWidth="1"/>
    <col min="9484" max="9484" width="10.26953125" style="219"/>
    <col min="9485" max="9485" width="9.1796875" style="219" customWidth="1"/>
    <col min="9486" max="9486" width="11.36328125" style="219" customWidth="1"/>
    <col min="9487" max="9487" width="9.1796875" style="219" customWidth="1"/>
    <col min="9488" max="9728" width="10.26953125" style="219"/>
    <col min="9729" max="9729" width="7" style="219" customWidth="1"/>
    <col min="9730" max="9730" width="24.453125" style="219" customWidth="1"/>
    <col min="9731" max="9731" width="9.1796875" style="219" customWidth="1"/>
    <col min="9732" max="9732" width="16.81640625" style="219" customWidth="1"/>
    <col min="9733" max="9733" width="9.1796875" style="219" customWidth="1"/>
    <col min="9734" max="9735" width="11.36328125" style="219" customWidth="1"/>
    <col min="9736" max="9736" width="1.54296875" style="219" customWidth="1"/>
    <col min="9737" max="9737" width="10.26953125" style="219"/>
    <col min="9738" max="9739" width="9.1796875" style="219" customWidth="1"/>
    <col min="9740" max="9740" width="10.26953125" style="219"/>
    <col min="9741" max="9741" width="9.1796875" style="219" customWidth="1"/>
    <col min="9742" max="9742" width="11.36328125" style="219" customWidth="1"/>
    <col min="9743" max="9743" width="9.1796875" style="219" customWidth="1"/>
    <col min="9744" max="9984" width="10.26953125" style="219"/>
    <col min="9985" max="9985" width="7" style="219" customWidth="1"/>
    <col min="9986" max="9986" width="24.453125" style="219" customWidth="1"/>
    <col min="9987" max="9987" width="9.1796875" style="219" customWidth="1"/>
    <col min="9988" max="9988" width="16.81640625" style="219" customWidth="1"/>
    <col min="9989" max="9989" width="9.1796875" style="219" customWidth="1"/>
    <col min="9990" max="9991" width="11.36328125" style="219" customWidth="1"/>
    <col min="9992" max="9992" width="1.54296875" style="219" customWidth="1"/>
    <col min="9993" max="9993" width="10.26953125" style="219"/>
    <col min="9994" max="9995" width="9.1796875" style="219" customWidth="1"/>
    <col min="9996" max="9996" width="10.26953125" style="219"/>
    <col min="9997" max="9997" width="9.1796875" style="219" customWidth="1"/>
    <col min="9998" max="9998" width="11.36328125" style="219" customWidth="1"/>
    <col min="9999" max="9999" width="9.1796875" style="219" customWidth="1"/>
    <col min="10000" max="10240" width="10.26953125" style="219"/>
    <col min="10241" max="10241" width="7" style="219" customWidth="1"/>
    <col min="10242" max="10242" width="24.453125" style="219" customWidth="1"/>
    <col min="10243" max="10243" width="9.1796875" style="219" customWidth="1"/>
    <col min="10244" max="10244" width="16.81640625" style="219" customWidth="1"/>
    <col min="10245" max="10245" width="9.1796875" style="219" customWidth="1"/>
    <col min="10246" max="10247" width="11.36328125" style="219" customWidth="1"/>
    <col min="10248" max="10248" width="1.54296875" style="219" customWidth="1"/>
    <col min="10249" max="10249" width="10.26953125" style="219"/>
    <col min="10250" max="10251" width="9.1796875" style="219" customWidth="1"/>
    <col min="10252" max="10252" width="10.26953125" style="219"/>
    <col min="10253" max="10253" width="9.1796875" style="219" customWidth="1"/>
    <col min="10254" max="10254" width="11.36328125" style="219" customWidth="1"/>
    <col min="10255" max="10255" width="9.1796875" style="219" customWidth="1"/>
    <col min="10256" max="10496" width="10.26953125" style="219"/>
    <col min="10497" max="10497" width="7" style="219" customWidth="1"/>
    <col min="10498" max="10498" width="24.453125" style="219" customWidth="1"/>
    <col min="10499" max="10499" width="9.1796875" style="219" customWidth="1"/>
    <col min="10500" max="10500" width="16.81640625" style="219" customWidth="1"/>
    <col min="10501" max="10501" width="9.1796875" style="219" customWidth="1"/>
    <col min="10502" max="10503" width="11.36328125" style="219" customWidth="1"/>
    <col min="10504" max="10504" width="1.54296875" style="219" customWidth="1"/>
    <col min="10505" max="10505" width="10.26953125" style="219"/>
    <col min="10506" max="10507" width="9.1796875" style="219" customWidth="1"/>
    <col min="10508" max="10508" width="10.26953125" style="219"/>
    <col min="10509" max="10509" width="9.1796875" style="219" customWidth="1"/>
    <col min="10510" max="10510" width="11.36328125" style="219" customWidth="1"/>
    <col min="10511" max="10511" width="9.1796875" style="219" customWidth="1"/>
    <col min="10512" max="10752" width="10.26953125" style="219"/>
    <col min="10753" max="10753" width="7" style="219" customWidth="1"/>
    <col min="10754" max="10754" width="24.453125" style="219" customWidth="1"/>
    <col min="10755" max="10755" width="9.1796875" style="219" customWidth="1"/>
    <col min="10756" max="10756" width="16.81640625" style="219" customWidth="1"/>
    <col min="10757" max="10757" width="9.1796875" style="219" customWidth="1"/>
    <col min="10758" max="10759" width="11.36328125" style="219" customWidth="1"/>
    <col min="10760" max="10760" width="1.54296875" style="219" customWidth="1"/>
    <col min="10761" max="10761" width="10.26953125" style="219"/>
    <col min="10762" max="10763" width="9.1796875" style="219" customWidth="1"/>
    <col min="10764" max="10764" width="10.26953125" style="219"/>
    <col min="10765" max="10765" width="9.1796875" style="219" customWidth="1"/>
    <col min="10766" max="10766" width="11.36328125" style="219" customWidth="1"/>
    <col min="10767" max="10767" width="9.1796875" style="219" customWidth="1"/>
    <col min="10768" max="11008" width="10.26953125" style="219"/>
    <col min="11009" max="11009" width="7" style="219" customWidth="1"/>
    <col min="11010" max="11010" width="24.453125" style="219" customWidth="1"/>
    <col min="11011" max="11011" width="9.1796875" style="219" customWidth="1"/>
    <col min="11012" max="11012" width="16.81640625" style="219" customWidth="1"/>
    <col min="11013" max="11013" width="9.1796875" style="219" customWidth="1"/>
    <col min="11014" max="11015" width="11.36328125" style="219" customWidth="1"/>
    <col min="11016" max="11016" width="1.54296875" style="219" customWidth="1"/>
    <col min="11017" max="11017" width="10.26953125" style="219"/>
    <col min="11018" max="11019" width="9.1796875" style="219" customWidth="1"/>
    <col min="11020" max="11020" width="10.26953125" style="219"/>
    <col min="11021" max="11021" width="9.1796875" style="219" customWidth="1"/>
    <col min="11022" max="11022" width="11.36328125" style="219" customWidth="1"/>
    <col min="11023" max="11023" width="9.1796875" style="219" customWidth="1"/>
    <col min="11024" max="11264" width="10.26953125" style="219"/>
    <col min="11265" max="11265" width="7" style="219" customWidth="1"/>
    <col min="11266" max="11266" width="24.453125" style="219" customWidth="1"/>
    <col min="11267" max="11267" width="9.1796875" style="219" customWidth="1"/>
    <col min="11268" max="11268" width="16.81640625" style="219" customWidth="1"/>
    <col min="11269" max="11269" width="9.1796875" style="219" customWidth="1"/>
    <col min="11270" max="11271" width="11.36328125" style="219" customWidth="1"/>
    <col min="11272" max="11272" width="1.54296875" style="219" customWidth="1"/>
    <col min="11273" max="11273" width="10.26953125" style="219"/>
    <col min="11274" max="11275" width="9.1796875" style="219" customWidth="1"/>
    <col min="11276" max="11276" width="10.26953125" style="219"/>
    <col min="11277" max="11277" width="9.1796875" style="219" customWidth="1"/>
    <col min="11278" max="11278" width="11.36328125" style="219" customWidth="1"/>
    <col min="11279" max="11279" width="9.1796875" style="219" customWidth="1"/>
    <col min="11280" max="11520" width="10.26953125" style="219"/>
    <col min="11521" max="11521" width="7" style="219" customWidth="1"/>
    <col min="11522" max="11522" width="24.453125" style="219" customWidth="1"/>
    <col min="11523" max="11523" width="9.1796875" style="219" customWidth="1"/>
    <col min="11524" max="11524" width="16.81640625" style="219" customWidth="1"/>
    <col min="11525" max="11525" width="9.1796875" style="219" customWidth="1"/>
    <col min="11526" max="11527" width="11.36328125" style="219" customWidth="1"/>
    <col min="11528" max="11528" width="1.54296875" style="219" customWidth="1"/>
    <col min="11529" max="11529" width="10.26953125" style="219"/>
    <col min="11530" max="11531" width="9.1796875" style="219" customWidth="1"/>
    <col min="11532" max="11532" width="10.26953125" style="219"/>
    <col min="11533" max="11533" width="9.1796875" style="219" customWidth="1"/>
    <col min="11534" max="11534" width="11.36328125" style="219" customWidth="1"/>
    <col min="11535" max="11535" width="9.1796875" style="219" customWidth="1"/>
    <col min="11536" max="11776" width="10.26953125" style="219"/>
    <col min="11777" max="11777" width="7" style="219" customWidth="1"/>
    <col min="11778" max="11778" width="24.453125" style="219" customWidth="1"/>
    <col min="11779" max="11779" width="9.1796875" style="219" customWidth="1"/>
    <col min="11780" max="11780" width="16.81640625" style="219" customWidth="1"/>
    <col min="11781" max="11781" width="9.1796875" style="219" customWidth="1"/>
    <col min="11782" max="11783" width="11.36328125" style="219" customWidth="1"/>
    <col min="11784" max="11784" width="1.54296875" style="219" customWidth="1"/>
    <col min="11785" max="11785" width="10.26953125" style="219"/>
    <col min="11786" max="11787" width="9.1796875" style="219" customWidth="1"/>
    <col min="11788" max="11788" width="10.26953125" style="219"/>
    <col min="11789" max="11789" width="9.1796875" style="219" customWidth="1"/>
    <col min="11790" max="11790" width="11.36328125" style="219" customWidth="1"/>
    <col min="11791" max="11791" width="9.1796875" style="219" customWidth="1"/>
    <col min="11792" max="12032" width="10.26953125" style="219"/>
    <col min="12033" max="12033" width="7" style="219" customWidth="1"/>
    <col min="12034" max="12034" width="24.453125" style="219" customWidth="1"/>
    <col min="12035" max="12035" width="9.1796875" style="219" customWidth="1"/>
    <col min="12036" max="12036" width="16.81640625" style="219" customWidth="1"/>
    <col min="12037" max="12037" width="9.1796875" style="219" customWidth="1"/>
    <col min="12038" max="12039" width="11.36328125" style="219" customWidth="1"/>
    <col min="12040" max="12040" width="1.54296875" style="219" customWidth="1"/>
    <col min="12041" max="12041" width="10.26953125" style="219"/>
    <col min="12042" max="12043" width="9.1796875" style="219" customWidth="1"/>
    <col min="12044" max="12044" width="10.26953125" style="219"/>
    <col min="12045" max="12045" width="9.1796875" style="219" customWidth="1"/>
    <col min="12046" max="12046" width="11.36328125" style="219" customWidth="1"/>
    <col min="12047" max="12047" width="9.1796875" style="219" customWidth="1"/>
    <col min="12048" max="12288" width="10.26953125" style="219"/>
    <col min="12289" max="12289" width="7" style="219" customWidth="1"/>
    <col min="12290" max="12290" width="24.453125" style="219" customWidth="1"/>
    <col min="12291" max="12291" width="9.1796875" style="219" customWidth="1"/>
    <col min="12292" max="12292" width="16.81640625" style="219" customWidth="1"/>
    <col min="12293" max="12293" width="9.1796875" style="219" customWidth="1"/>
    <col min="12294" max="12295" width="11.36328125" style="219" customWidth="1"/>
    <col min="12296" max="12296" width="1.54296875" style="219" customWidth="1"/>
    <col min="12297" max="12297" width="10.26953125" style="219"/>
    <col min="12298" max="12299" width="9.1796875" style="219" customWidth="1"/>
    <col min="12300" max="12300" width="10.26953125" style="219"/>
    <col min="12301" max="12301" width="9.1796875" style="219" customWidth="1"/>
    <col min="12302" max="12302" width="11.36328125" style="219" customWidth="1"/>
    <col min="12303" max="12303" width="9.1796875" style="219" customWidth="1"/>
    <col min="12304" max="12544" width="10.26953125" style="219"/>
    <col min="12545" max="12545" width="7" style="219" customWidth="1"/>
    <col min="12546" max="12546" width="24.453125" style="219" customWidth="1"/>
    <col min="12547" max="12547" width="9.1796875" style="219" customWidth="1"/>
    <col min="12548" max="12548" width="16.81640625" style="219" customWidth="1"/>
    <col min="12549" max="12549" width="9.1796875" style="219" customWidth="1"/>
    <col min="12550" max="12551" width="11.36328125" style="219" customWidth="1"/>
    <col min="12552" max="12552" width="1.54296875" style="219" customWidth="1"/>
    <col min="12553" max="12553" width="10.26953125" style="219"/>
    <col min="12554" max="12555" width="9.1796875" style="219" customWidth="1"/>
    <col min="12556" max="12556" width="10.26953125" style="219"/>
    <col min="12557" max="12557" width="9.1796875" style="219" customWidth="1"/>
    <col min="12558" max="12558" width="11.36328125" style="219" customWidth="1"/>
    <col min="12559" max="12559" width="9.1796875" style="219" customWidth="1"/>
    <col min="12560" max="12800" width="10.26953125" style="219"/>
    <col min="12801" max="12801" width="7" style="219" customWidth="1"/>
    <col min="12802" max="12802" width="24.453125" style="219" customWidth="1"/>
    <col min="12803" max="12803" width="9.1796875" style="219" customWidth="1"/>
    <col min="12804" max="12804" width="16.81640625" style="219" customWidth="1"/>
    <col min="12805" max="12805" width="9.1796875" style="219" customWidth="1"/>
    <col min="12806" max="12807" width="11.36328125" style="219" customWidth="1"/>
    <col min="12808" max="12808" width="1.54296875" style="219" customWidth="1"/>
    <col min="12809" max="12809" width="10.26953125" style="219"/>
    <col min="12810" max="12811" width="9.1796875" style="219" customWidth="1"/>
    <col min="12812" max="12812" width="10.26953125" style="219"/>
    <col min="12813" max="12813" width="9.1796875" style="219" customWidth="1"/>
    <col min="12814" max="12814" width="11.36328125" style="219" customWidth="1"/>
    <col min="12815" max="12815" width="9.1796875" style="219" customWidth="1"/>
    <col min="12816" max="13056" width="10.26953125" style="219"/>
    <col min="13057" max="13057" width="7" style="219" customWidth="1"/>
    <col min="13058" max="13058" width="24.453125" style="219" customWidth="1"/>
    <col min="13059" max="13059" width="9.1796875" style="219" customWidth="1"/>
    <col min="13060" max="13060" width="16.81640625" style="219" customWidth="1"/>
    <col min="13061" max="13061" width="9.1796875" style="219" customWidth="1"/>
    <col min="13062" max="13063" width="11.36328125" style="219" customWidth="1"/>
    <col min="13064" max="13064" width="1.54296875" style="219" customWidth="1"/>
    <col min="13065" max="13065" width="10.26953125" style="219"/>
    <col min="13066" max="13067" width="9.1796875" style="219" customWidth="1"/>
    <col min="13068" max="13068" width="10.26953125" style="219"/>
    <col min="13069" max="13069" width="9.1796875" style="219" customWidth="1"/>
    <col min="13070" max="13070" width="11.36328125" style="219" customWidth="1"/>
    <col min="13071" max="13071" width="9.1796875" style="219" customWidth="1"/>
    <col min="13072" max="13312" width="10.26953125" style="219"/>
    <col min="13313" max="13313" width="7" style="219" customWidth="1"/>
    <col min="13314" max="13314" width="24.453125" style="219" customWidth="1"/>
    <col min="13315" max="13315" width="9.1796875" style="219" customWidth="1"/>
    <col min="13316" max="13316" width="16.81640625" style="219" customWidth="1"/>
    <col min="13317" max="13317" width="9.1796875" style="219" customWidth="1"/>
    <col min="13318" max="13319" width="11.36328125" style="219" customWidth="1"/>
    <col min="13320" max="13320" width="1.54296875" style="219" customWidth="1"/>
    <col min="13321" max="13321" width="10.26953125" style="219"/>
    <col min="13322" max="13323" width="9.1796875" style="219" customWidth="1"/>
    <col min="13324" max="13324" width="10.26953125" style="219"/>
    <col min="13325" max="13325" width="9.1796875" style="219" customWidth="1"/>
    <col min="13326" max="13326" width="11.36328125" style="219" customWidth="1"/>
    <col min="13327" max="13327" width="9.1796875" style="219" customWidth="1"/>
    <col min="13328" max="13568" width="10.26953125" style="219"/>
    <col min="13569" max="13569" width="7" style="219" customWidth="1"/>
    <col min="13570" max="13570" width="24.453125" style="219" customWidth="1"/>
    <col min="13571" max="13571" width="9.1796875" style="219" customWidth="1"/>
    <col min="13572" max="13572" width="16.81640625" style="219" customWidth="1"/>
    <col min="13573" max="13573" width="9.1796875" style="219" customWidth="1"/>
    <col min="13574" max="13575" width="11.36328125" style="219" customWidth="1"/>
    <col min="13576" max="13576" width="1.54296875" style="219" customWidth="1"/>
    <col min="13577" max="13577" width="10.26953125" style="219"/>
    <col min="13578" max="13579" width="9.1796875" style="219" customWidth="1"/>
    <col min="13580" max="13580" width="10.26953125" style="219"/>
    <col min="13581" max="13581" width="9.1796875" style="219" customWidth="1"/>
    <col min="13582" max="13582" width="11.36328125" style="219" customWidth="1"/>
    <col min="13583" max="13583" width="9.1796875" style="219" customWidth="1"/>
    <col min="13584" max="13824" width="10.26953125" style="219"/>
    <col min="13825" max="13825" width="7" style="219" customWidth="1"/>
    <col min="13826" max="13826" width="24.453125" style="219" customWidth="1"/>
    <col min="13827" max="13827" width="9.1796875" style="219" customWidth="1"/>
    <col min="13828" max="13828" width="16.81640625" style="219" customWidth="1"/>
    <col min="13829" max="13829" width="9.1796875" style="219" customWidth="1"/>
    <col min="13830" max="13831" width="11.36328125" style="219" customWidth="1"/>
    <col min="13832" max="13832" width="1.54296875" style="219" customWidth="1"/>
    <col min="13833" max="13833" width="10.26953125" style="219"/>
    <col min="13834" max="13835" width="9.1796875" style="219" customWidth="1"/>
    <col min="13836" max="13836" width="10.26953125" style="219"/>
    <col min="13837" max="13837" width="9.1796875" style="219" customWidth="1"/>
    <col min="13838" max="13838" width="11.36328125" style="219" customWidth="1"/>
    <col min="13839" max="13839" width="9.1796875" style="219" customWidth="1"/>
    <col min="13840" max="14080" width="10.26953125" style="219"/>
    <col min="14081" max="14081" width="7" style="219" customWidth="1"/>
    <col min="14082" max="14082" width="24.453125" style="219" customWidth="1"/>
    <col min="14083" max="14083" width="9.1796875" style="219" customWidth="1"/>
    <col min="14084" max="14084" width="16.81640625" style="219" customWidth="1"/>
    <col min="14085" max="14085" width="9.1796875" style="219" customWidth="1"/>
    <col min="14086" max="14087" width="11.36328125" style="219" customWidth="1"/>
    <col min="14088" max="14088" width="1.54296875" style="219" customWidth="1"/>
    <col min="14089" max="14089" width="10.26953125" style="219"/>
    <col min="14090" max="14091" width="9.1796875" style="219" customWidth="1"/>
    <col min="14092" max="14092" width="10.26953125" style="219"/>
    <col min="14093" max="14093" width="9.1796875" style="219" customWidth="1"/>
    <col min="14094" max="14094" width="11.36328125" style="219" customWidth="1"/>
    <col min="14095" max="14095" width="9.1796875" style="219" customWidth="1"/>
    <col min="14096" max="14336" width="10.26953125" style="219"/>
    <col min="14337" max="14337" width="7" style="219" customWidth="1"/>
    <col min="14338" max="14338" width="24.453125" style="219" customWidth="1"/>
    <col min="14339" max="14339" width="9.1796875" style="219" customWidth="1"/>
    <col min="14340" max="14340" width="16.81640625" style="219" customWidth="1"/>
    <col min="14341" max="14341" width="9.1796875" style="219" customWidth="1"/>
    <col min="14342" max="14343" width="11.36328125" style="219" customWidth="1"/>
    <col min="14344" max="14344" width="1.54296875" style="219" customWidth="1"/>
    <col min="14345" max="14345" width="10.26953125" style="219"/>
    <col min="14346" max="14347" width="9.1796875" style="219" customWidth="1"/>
    <col min="14348" max="14348" width="10.26953125" style="219"/>
    <col min="14349" max="14349" width="9.1796875" style="219" customWidth="1"/>
    <col min="14350" max="14350" width="11.36328125" style="219" customWidth="1"/>
    <col min="14351" max="14351" width="9.1796875" style="219" customWidth="1"/>
    <col min="14352" max="14592" width="10.26953125" style="219"/>
    <col min="14593" max="14593" width="7" style="219" customWidth="1"/>
    <col min="14594" max="14594" width="24.453125" style="219" customWidth="1"/>
    <col min="14595" max="14595" width="9.1796875" style="219" customWidth="1"/>
    <col min="14596" max="14596" width="16.81640625" style="219" customWidth="1"/>
    <col min="14597" max="14597" width="9.1796875" style="219" customWidth="1"/>
    <col min="14598" max="14599" width="11.36328125" style="219" customWidth="1"/>
    <col min="14600" max="14600" width="1.54296875" style="219" customWidth="1"/>
    <col min="14601" max="14601" width="10.26953125" style="219"/>
    <col min="14602" max="14603" width="9.1796875" style="219" customWidth="1"/>
    <col min="14604" max="14604" width="10.26953125" style="219"/>
    <col min="14605" max="14605" width="9.1796875" style="219" customWidth="1"/>
    <col min="14606" max="14606" width="11.36328125" style="219" customWidth="1"/>
    <col min="14607" max="14607" width="9.1796875" style="219" customWidth="1"/>
    <col min="14608" max="14848" width="10.26953125" style="219"/>
    <col min="14849" max="14849" width="7" style="219" customWidth="1"/>
    <col min="14850" max="14850" width="24.453125" style="219" customWidth="1"/>
    <col min="14851" max="14851" width="9.1796875" style="219" customWidth="1"/>
    <col min="14852" max="14852" width="16.81640625" style="219" customWidth="1"/>
    <col min="14853" max="14853" width="9.1796875" style="219" customWidth="1"/>
    <col min="14854" max="14855" width="11.36328125" style="219" customWidth="1"/>
    <col min="14856" max="14856" width="1.54296875" style="219" customWidth="1"/>
    <col min="14857" max="14857" width="10.26953125" style="219"/>
    <col min="14858" max="14859" width="9.1796875" style="219" customWidth="1"/>
    <col min="14860" max="14860" width="10.26953125" style="219"/>
    <col min="14861" max="14861" width="9.1796875" style="219" customWidth="1"/>
    <col min="14862" max="14862" width="11.36328125" style="219" customWidth="1"/>
    <col min="14863" max="14863" width="9.1796875" style="219" customWidth="1"/>
    <col min="14864" max="15104" width="10.26953125" style="219"/>
    <col min="15105" max="15105" width="7" style="219" customWidth="1"/>
    <col min="15106" max="15106" width="24.453125" style="219" customWidth="1"/>
    <col min="15107" max="15107" width="9.1796875" style="219" customWidth="1"/>
    <col min="15108" max="15108" width="16.81640625" style="219" customWidth="1"/>
    <col min="15109" max="15109" width="9.1796875" style="219" customWidth="1"/>
    <col min="15110" max="15111" width="11.36328125" style="219" customWidth="1"/>
    <col min="15112" max="15112" width="1.54296875" style="219" customWidth="1"/>
    <col min="15113" max="15113" width="10.26953125" style="219"/>
    <col min="15114" max="15115" width="9.1796875" style="219" customWidth="1"/>
    <col min="15116" max="15116" width="10.26953125" style="219"/>
    <col min="15117" max="15117" width="9.1796875" style="219" customWidth="1"/>
    <col min="15118" max="15118" width="11.36328125" style="219" customWidth="1"/>
    <col min="15119" max="15119" width="9.1796875" style="219" customWidth="1"/>
    <col min="15120" max="15360" width="10.26953125" style="219"/>
    <col min="15361" max="15361" width="7" style="219" customWidth="1"/>
    <col min="15362" max="15362" width="24.453125" style="219" customWidth="1"/>
    <col min="15363" max="15363" width="9.1796875" style="219" customWidth="1"/>
    <col min="15364" max="15364" width="16.81640625" style="219" customWidth="1"/>
    <col min="15365" max="15365" width="9.1796875" style="219" customWidth="1"/>
    <col min="15366" max="15367" width="11.36328125" style="219" customWidth="1"/>
    <col min="15368" max="15368" width="1.54296875" style="219" customWidth="1"/>
    <col min="15369" max="15369" width="10.26953125" style="219"/>
    <col min="15370" max="15371" width="9.1796875" style="219" customWidth="1"/>
    <col min="15372" max="15372" width="10.26953125" style="219"/>
    <col min="15373" max="15373" width="9.1796875" style="219" customWidth="1"/>
    <col min="15374" max="15374" width="11.36328125" style="219" customWidth="1"/>
    <col min="15375" max="15375" width="9.1796875" style="219" customWidth="1"/>
    <col min="15376" max="15616" width="10.26953125" style="219"/>
    <col min="15617" max="15617" width="7" style="219" customWidth="1"/>
    <col min="15618" max="15618" width="24.453125" style="219" customWidth="1"/>
    <col min="15619" max="15619" width="9.1796875" style="219" customWidth="1"/>
    <col min="15620" max="15620" width="16.81640625" style="219" customWidth="1"/>
    <col min="15621" max="15621" width="9.1796875" style="219" customWidth="1"/>
    <col min="15622" max="15623" width="11.36328125" style="219" customWidth="1"/>
    <col min="15624" max="15624" width="1.54296875" style="219" customWidth="1"/>
    <col min="15625" max="15625" width="10.26953125" style="219"/>
    <col min="15626" max="15627" width="9.1796875" style="219" customWidth="1"/>
    <col min="15628" max="15628" width="10.26953125" style="219"/>
    <col min="15629" max="15629" width="9.1796875" style="219" customWidth="1"/>
    <col min="15630" max="15630" width="11.36328125" style="219" customWidth="1"/>
    <col min="15631" max="15631" width="9.1796875" style="219" customWidth="1"/>
    <col min="15632" max="15872" width="10.26953125" style="219"/>
    <col min="15873" max="15873" width="7" style="219" customWidth="1"/>
    <col min="15874" max="15874" width="24.453125" style="219" customWidth="1"/>
    <col min="15875" max="15875" width="9.1796875" style="219" customWidth="1"/>
    <col min="15876" max="15876" width="16.81640625" style="219" customWidth="1"/>
    <col min="15877" max="15877" width="9.1796875" style="219" customWidth="1"/>
    <col min="15878" max="15879" width="11.36328125" style="219" customWidth="1"/>
    <col min="15880" max="15880" width="1.54296875" style="219" customWidth="1"/>
    <col min="15881" max="15881" width="10.26953125" style="219"/>
    <col min="15882" max="15883" width="9.1796875" style="219" customWidth="1"/>
    <col min="15884" max="15884" width="10.26953125" style="219"/>
    <col min="15885" max="15885" width="9.1796875" style="219" customWidth="1"/>
    <col min="15886" max="15886" width="11.36328125" style="219" customWidth="1"/>
    <col min="15887" max="15887" width="9.1796875" style="219" customWidth="1"/>
    <col min="15888" max="16128" width="10.26953125" style="219"/>
    <col min="16129" max="16129" width="7" style="219" customWidth="1"/>
    <col min="16130" max="16130" width="24.453125" style="219" customWidth="1"/>
    <col min="16131" max="16131" width="9.1796875" style="219" customWidth="1"/>
    <col min="16132" max="16132" width="16.81640625" style="219" customWidth="1"/>
    <col min="16133" max="16133" width="9.1796875" style="219" customWidth="1"/>
    <col min="16134" max="16135" width="11.36328125" style="219" customWidth="1"/>
    <col min="16136" max="16136" width="1.54296875" style="219" customWidth="1"/>
    <col min="16137" max="16137" width="10.26953125" style="219"/>
    <col min="16138" max="16139" width="9.1796875" style="219" customWidth="1"/>
    <col min="16140" max="16140" width="10.26953125" style="219"/>
    <col min="16141" max="16141" width="9.1796875" style="219" customWidth="1"/>
    <col min="16142" max="16142" width="11.36328125" style="219" customWidth="1"/>
    <col min="16143" max="16143" width="9.1796875" style="219" customWidth="1"/>
    <col min="16144" max="16384" width="10.26953125" style="219"/>
  </cols>
  <sheetData>
    <row r="1" spans="1:8">
      <c r="A1" s="218" t="s">
        <v>528</v>
      </c>
    </row>
    <row r="2" spans="1:8" ht="13.5" thickBot="1"/>
    <row r="3" spans="1:8">
      <c r="A3" s="268"/>
      <c r="B3" s="238"/>
      <c r="C3" s="240" t="s">
        <v>434</v>
      </c>
      <c r="D3" s="240" t="s">
        <v>435</v>
      </c>
      <c r="E3" s="240" t="s">
        <v>436</v>
      </c>
      <c r="F3" s="240" t="s">
        <v>437</v>
      </c>
      <c r="G3" s="269" t="s">
        <v>438</v>
      </c>
      <c r="H3" s="270"/>
    </row>
    <row r="4" spans="1:8">
      <c r="A4" s="250" t="s">
        <v>439</v>
      </c>
      <c r="B4" s="244" t="s">
        <v>440</v>
      </c>
      <c r="C4" s="246" t="s">
        <v>441</v>
      </c>
      <c r="D4" s="246"/>
      <c r="E4" s="246"/>
      <c r="F4" s="246" t="s">
        <v>442</v>
      </c>
      <c r="G4" s="271"/>
      <c r="H4" s="270"/>
    </row>
    <row r="5" spans="1:8" ht="13.5" thickBot="1">
      <c r="A5" s="272"/>
      <c r="B5" s="273"/>
      <c r="C5" s="274" t="s">
        <v>443</v>
      </c>
      <c r="D5" s="274" t="s">
        <v>444</v>
      </c>
      <c r="E5" s="274" t="s">
        <v>445</v>
      </c>
      <c r="F5" s="274"/>
      <c r="G5" s="275" t="s">
        <v>446</v>
      </c>
      <c r="H5" s="270"/>
    </row>
    <row r="6" spans="1:8">
      <c r="A6" s="276">
        <v>1947</v>
      </c>
      <c r="B6" s="239" t="s">
        <v>529</v>
      </c>
      <c r="C6" s="240" t="s">
        <v>530</v>
      </c>
      <c r="D6" s="277">
        <v>300</v>
      </c>
      <c r="E6" s="242">
        <v>2.75</v>
      </c>
      <c r="F6" s="240" t="s">
        <v>531</v>
      </c>
      <c r="G6" s="243">
        <v>24.05</v>
      </c>
      <c r="H6" s="270"/>
    </row>
    <row r="7" spans="1:8">
      <c r="A7" s="250">
        <v>1948</v>
      </c>
      <c r="B7" s="245" t="s">
        <v>529</v>
      </c>
      <c r="C7" s="246" t="s">
        <v>532</v>
      </c>
      <c r="D7" s="278">
        <v>50</v>
      </c>
      <c r="E7" s="248">
        <v>2.75</v>
      </c>
      <c r="F7" s="246" t="s">
        <v>533</v>
      </c>
      <c r="G7" s="249">
        <v>24.07</v>
      </c>
      <c r="H7" s="270"/>
    </row>
    <row r="8" spans="1:8">
      <c r="A8" s="250">
        <v>1949</v>
      </c>
      <c r="B8" s="245" t="s">
        <v>529</v>
      </c>
      <c r="C8" s="246" t="s">
        <v>534</v>
      </c>
      <c r="D8" s="278">
        <v>65</v>
      </c>
      <c r="E8" s="248">
        <v>2.75</v>
      </c>
      <c r="F8" s="246" t="s">
        <v>535</v>
      </c>
      <c r="G8" s="249">
        <v>24.01</v>
      </c>
      <c r="H8" s="270"/>
    </row>
    <row r="9" spans="1:8">
      <c r="A9" s="250">
        <v>1950</v>
      </c>
      <c r="B9" s="245" t="s">
        <v>529</v>
      </c>
      <c r="C9" s="246" t="s">
        <v>536</v>
      </c>
      <c r="D9" s="278">
        <f>565-415</f>
        <v>150</v>
      </c>
      <c r="E9" s="248">
        <v>2.75</v>
      </c>
      <c r="F9" s="246" t="s">
        <v>537</v>
      </c>
      <c r="G9" s="249">
        <v>24.07</v>
      </c>
      <c r="H9" s="270"/>
    </row>
    <row r="10" spans="1:8">
      <c r="A10" s="250">
        <v>1951</v>
      </c>
      <c r="B10" s="245" t="s">
        <v>529</v>
      </c>
      <c r="C10" s="246" t="s">
        <v>538</v>
      </c>
      <c r="D10" s="278">
        <f>755-565</f>
        <v>190</v>
      </c>
      <c r="E10" s="248">
        <v>2.75</v>
      </c>
      <c r="F10" s="246" t="s">
        <v>539</v>
      </c>
      <c r="G10" s="249">
        <v>24.04</v>
      </c>
      <c r="H10" s="270"/>
    </row>
    <row r="11" spans="1:8">
      <c r="A11" s="250">
        <v>1953</v>
      </c>
      <c r="B11" s="245" t="s">
        <v>529</v>
      </c>
      <c r="C11" s="246" t="s">
        <v>540</v>
      </c>
      <c r="D11" s="278">
        <f>865-755</f>
        <v>110</v>
      </c>
      <c r="E11" s="248">
        <v>2.75</v>
      </c>
      <c r="F11" s="246" t="s">
        <v>541</v>
      </c>
      <c r="G11" s="249">
        <v>23.07</v>
      </c>
      <c r="H11" s="270"/>
    </row>
    <row r="12" spans="1:8">
      <c r="A12" s="250">
        <v>1953</v>
      </c>
      <c r="B12" s="245" t="s">
        <v>542</v>
      </c>
      <c r="C12" s="246" t="s">
        <v>543</v>
      </c>
      <c r="D12" s="278">
        <v>50</v>
      </c>
      <c r="E12" s="248">
        <v>3.75</v>
      </c>
      <c r="F12" s="246" t="s">
        <v>544</v>
      </c>
      <c r="G12" s="249">
        <v>14.05</v>
      </c>
      <c r="H12" s="270"/>
    </row>
    <row r="13" spans="1:8">
      <c r="A13" s="250">
        <v>1954</v>
      </c>
      <c r="B13" s="245" t="s">
        <v>542</v>
      </c>
      <c r="C13" s="246" t="s">
        <v>545</v>
      </c>
      <c r="D13" s="278">
        <v>50</v>
      </c>
      <c r="E13" s="248">
        <v>3.75</v>
      </c>
      <c r="F13" s="246" t="s">
        <v>546</v>
      </c>
      <c r="G13" s="249">
        <v>14.02</v>
      </c>
      <c r="H13" s="270"/>
    </row>
    <row r="14" spans="1:8">
      <c r="A14" s="250">
        <v>1955</v>
      </c>
      <c r="B14" s="245" t="s">
        <v>542</v>
      </c>
      <c r="C14" s="246" t="s">
        <v>547</v>
      </c>
      <c r="D14" s="278">
        <v>50</v>
      </c>
      <c r="E14" s="248">
        <v>3.75</v>
      </c>
      <c r="F14" s="246" t="s">
        <v>548</v>
      </c>
      <c r="G14" s="249">
        <v>14.05</v>
      </c>
      <c r="H14" s="270"/>
    </row>
    <row r="15" spans="1:8">
      <c r="A15" s="250">
        <v>1956</v>
      </c>
      <c r="B15" s="245" t="s">
        <v>542</v>
      </c>
      <c r="C15" s="246" t="s">
        <v>549</v>
      </c>
      <c r="D15" s="278">
        <v>50</v>
      </c>
      <c r="E15" s="248">
        <v>3.75</v>
      </c>
      <c r="F15" s="246" t="s">
        <v>550</v>
      </c>
      <c r="G15" s="249">
        <v>14.01</v>
      </c>
      <c r="H15" s="270"/>
    </row>
    <row r="16" spans="1:8">
      <c r="A16" s="250">
        <v>1957</v>
      </c>
      <c r="B16" s="245" t="s">
        <v>542</v>
      </c>
      <c r="C16" s="246" t="s">
        <v>551</v>
      </c>
      <c r="D16" s="278">
        <v>50</v>
      </c>
      <c r="E16" s="248">
        <v>3.75</v>
      </c>
      <c r="F16" s="246" t="s">
        <v>531</v>
      </c>
      <c r="G16" s="249">
        <v>14.05</v>
      </c>
      <c r="H16" s="270"/>
    </row>
    <row r="17" spans="1:8">
      <c r="A17" s="250">
        <v>1958</v>
      </c>
      <c r="B17" s="245" t="s">
        <v>542</v>
      </c>
      <c r="C17" s="246" t="s">
        <v>552</v>
      </c>
      <c r="D17" s="278">
        <v>50</v>
      </c>
      <c r="E17" s="248">
        <v>3.75</v>
      </c>
      <c r="F17" s="246" t="s">
        <v>553</v>
      </c>
      <c r="G17" s="249">
        <v>14.04</v>
      </c>
      <c r="H17" s="270"/>
    </row>
    <row r="18" spans="1:8">
      <c r="A18" s="250">
        <v>1959</v>
      </c>
      <c r="B18" s="245" t="s">
        <v>554</v>
      </c>
      <c r="C18" s="246" t="s">
        <v>555</v>
      </c>
      <c r="D18" s="278">
        <v>100</v>
      </c>
      <c r="E18" s="248">
        <v>3</v>
      </c>
      <c r="F18" s="246" t="s">
        <v>556</v>
      </c>
      <c r="G18" s="249">
        <v>24.05</v>
      </c>
      <c r="H18" s="270"/>
    </row>
    <row r="19" spans="1:8">
      <c r="A19" s="250">
        <v>1959</v>
      </c>
      <c r="B19" s="245" t="s">
        <v>557</v>
      </c>
      <c r="C19" s="246" t="s">
        <v>555</v>
      </c>
      <c r="D19" s="278">
        <v>50</v>
      </c>
      <c r="E19" s="248">
        <v>4</v>
      </c>
      <c r="F19" s="246" t="s">
        <v>558</v>
      </c>
      <c r="G19" s="249">
        <v>14.05</v>
      </c>
      <c r="H19" s="270"/>
    </row>
    <row r="20" spans="1:8">
      <c r="A20" s="250">
        <v>1960</v>
      </c>
      <c r="B20" s="245" t="s">
        <v>554</v>
      </c>
      <c r="C20" s="246" t="s">
        <v>559</v>
      </c>
      <c r="D20" s="278">
        <v>100</v>
      </c>
      <c r="E20" s="248">
        <v>3</v>
      </c>
      <c r="F20" s="246" t="s">
        <v>556</v>
      </c>
      <c r="G20" s="249">
        <v>24</v>
      </c>
      <c r="H20" s="270"/>
    </row>
    <row r="21" spans="1:8">
      <c r="A21" s="250">
        <v>1960</v>
      </c>
      <c r="B21" s="245" t="s">
        <v>557</v>
      </c>
      <c r="C21" s="246" t="s">
        <v>560</v>
      </c>
      <c r="D21" s="278">
        <v>74</v>
      </c>
      <c r="E21" s="248">
        <v>4</v>
      </c>
      <c r="F21" s="246" t="s">
        <v>558</v>
      </c>
      <c r="G21" s="249">
        <v>14</v>
      </c>
      <c r="H21" s="270"/>
    </row>
    <row r="22" spans="1:8">
      <c r="A22" s="250">
        <v>1961</v>
      </c>
      <c r="B22" s="245" t="s">
        <v>554</v>
      </c>
      <c r="C22" s="246" t="s">
        <v>561</v>
      </c>
      <c r="D22" s="278">
        <v>100</v>
      </c>
      <c r="E22" s="248">
        <v>3</v>
      </c>
      <c r="F22" s="246" t="s">
        <v>562</v>
      </c>
      <c r="G22" s="249">
        <v>24.03</v>
      </c>
      <c r="H22" s="270"/>
    </row>
    <row r="23" spans="1:8">
      <c r="A23" s="250">
        <v>1961</v>
      </c>
      <c r="B23" s="245" t="s">
        <v>557</v>
      </c>
      <c r="C23" s="246" t="s">
        <v>563</v>
      </c>
      <c r="D23" s="278">
        <f>198-124</f>
        <v>74</v>
      </c>
      <c r="E23" s="248">
        <v>4</v>
      </c>
      <c r="F23" s="246" t="s">
        <v>564</v>
      </c>
      <c r="G23" s="249">
        <v>14.03</v>
      </c>
      <c r="H23" s="270"/>
    </row>
    <row r="24" spans="1:8">
      <c r="A24" s="250">
        <v>1962</v>
      </c>
      <c r="B24" s="245" t="s">
        <v>554</v>
      </c>
      <c r="C24" s="246" t="s">
        <v>565</v>
      </c>
      <c r="D24" s="278">
        <v>100</v>
      </c>
      <c r="E24" s="248">
        <v>3</v>
      </c>
      <c r="F24" s="246" t="s">
        <v>562</v>
      </c>
      <c r="G24" s="249">
        <v>23.02</v>
      </c>
      <c r="H24" s="270"/>
    </row>
    <row r="25" spans="1:8">
      <c r="A25" s="250">
        <v>1962</v>
      </c>
      <c r="B25" s="245" t="s">
        <v>557</v>
      </c>
      <c r="C25" s="246" t="s">
        <v>561</v>
      </c>
      <c r="D25" s="278">
        <f>272-50-74-74</f>
        <v>74</v>
      </c>
      <c r="E25" s="248">
        <v>4</v>
      </c>
      <c r="F25" s="246" t="s">
        <v>564</v>
      </c>
      <c r="G25" s="249">
        <v>13.03</v>
      </c>
      <c r="H25" s="270"/>
    </row>
    <row r="26" spans="1:8">
      <c r="A26" s="250">
        <v>1962</v>
      </c>
      <c r="B26" s="245" t="s">
        <v>557</v>
      </c>
      <c r="C26" s="246" t="s">
        <v>566</v>
      </c>
      <c r="D26" s="278">
        <v>98</v>
      </c>
      <c r="E26" s="248">
        <v>4</v>
      </c>
      <c r="F26" s="246" t="s">
        <v>567</v>
      </c>
      <c r="G26" s="249">
        <v>14.11</v>
      </c>
      <c r="H26" s="270"/>
    </row>
    <row r="27" spans="1:8">
      <c r="A27" s="250">
        <v>1963</v>
      </c>
      <c r="B27" s="245" t="s">
        <v>554</v>
      </c>
      <c r="C27" s="246" t="s">
        <v>568</v>
      </c>
      <c r="D27" s="278">
        <v>85</v>
      </c>
      <c r="E27" s="248">
        <v>3</v>
      </c>
      <c r="F27" s="246" t="s">
        <v>562</v>
      </c>
      <c r="G27" s="249">
        <f>85-63</f>
        <v>22</v>
      </c>
      <c r="H27" s="270"/>
    </row>
    <row r="28" spans="1:8">
      <c r="A28" s="250">
        <v>1964</v>
      </c>
      <c r="B28" s="245" t="s">
        <v>557</v>
      </c>
      <c r="C28" s="246" t="s">
        <v>569</v>
      </c>
      <c r="D28" s="278">
        <v>74</v>
      </c>
      <c r="E28" s="248">
        <v>4</v>
      </c>
      <c r="F28" s="246" t="s">
        <v>570</v>
      </c>
      <c r="G28" s="249">
        <v>14.07</v>
      </c>
      <c r="H28" s="270"/>
    </row>
    <row r="29" spans="1:8">
      <c r="A29" s="250">
        <v>1965</v>
      </c>
      <c r="B29" s="245" t="s">
        <v>571</v>
      </c>
      <c r="C29" s="246" t="s">
        <v>572</v>
      </c>
      <c r="D29" s="278">
        <v>148</v>
      </c>
      <c r="E29" s="248">
        <v>4</v>
      </c>
      <c r="F29" s="246" t="s">
        <v>573</v>
      </c>
      <c r="G29" s="249">
        <v>14.04</v>
      </c>
      <c r="H29" s="270"/>
    </row>
    <row r="30" spans="1:8">
      <c r="A30" s="250">
        <v>1966</v>
      </c>
      <c r="B30" s="245" t="s">
        <v>574</v>
      </c>
      <c r="C30" s="246" t="s">
        <v>561</v>
      </c>
      <c r="D30" s="278">
        <v>30</v>
      </c>
      <c r="E30" s="248">
        <v>4.5</v>
      </c>
      <c r="F30" s="246" t="s">
        <v>575</v>
      </c>
      <c r="G30" s="249">
        <v>20.059999999999999</v>
      </c>
      <c r="H30" s="270"/>
    </row>
    <row r="31" spans="1:8">
      <c r="A31" s="250">
        <v>1966</v>
      </c>
      <c r="B31" s="245" t="s">
        <v>571</v>
      </c>
      <c r="C31" s="246" t="s">
        <v>504</v>
      </c>
      <c r="D31" s="278">
        <f>202-148</f>
        <v>54</v>
      </c>
      <c r="E31" s="248">
        <v>4</v>
      </c>
      <c r="F31" s="246" t="s">
        <v>576</v>
      </c>
      <c r="G31" s="249">
        <v>15.04</v>
      </c>
      <c r="H31" s="270"/>
    </row>
    <row r="32" spans="1:8">
      <c r="A32" s="250">
        <v>1967</v>
      </c>
      <c r="B32" s="245" t="s">
        <v>574</v>
      </c>
      <c r="C32" s="246" t="s">
        <v>577</v>
      </c>
      <c r="D32" s="278">
        <v>40</v>
      </c>
      <c r="E32" s="248">
        <v>5.5</v>
      </c>
      <c r="F32" s="246" t="s">
        <v>578</v>
      </c>
      <c r="G32" s="249">
        <v>19.059999999999999</v>
      </c>
      <c r="H32" s="270"/>
    </row>
    <row r="33" spans="1:8">
      <c r="A33" s="250">
        <v>1967</v>
      </c>
      <c r="B33" s="245" t="s">
        <v>571</v>
      </c>
      <c r="C33" s="246" t="s">
        <v>579</v>
      </c>
      <c r="D33" s="278">
        <v>100</v>
      </c>
      <c r="E33" s="248">
        <v>5.375</v>
      </c>
      <c r="F33" s="246" t="s">
        <v>580</v>
      </c>
      <c r="G33" s="249">
        <v>14.02</v>
      </c>
      <c r="H33" s="270"/>
    </row>
    <row r="34" spans="1:8">
      <c r="A34" s="250">
        <v>1968</v>
      </c>
      <c r="B34" s="245" t="s">
        <v>581</v>
      </c>
      <c r="C34" s="246" t="s">
        <v>582</v>
      </c>
      <c r="D34" s="278">
        <v>600</v>
      </c>
      <c r="E34" s="248">
        <v>5.375</v>
      </c>
      <c r="F34" s="246" t="s">
        <v>583</v>
      </c>
      <c r="G34" s="249">
        <v>13.11</v>
      </c>
      <c r="H34" s="270"/>
    </row>
    <row r="35" spans="1:8">
      <c r="A35" s="250">
        <v>1968</v>
      </c>
      <c r="B35" s="245" t="s">
        <v>584</v>
      </c>
      <c r="C35" s="246" t="s">
        <v>492</v>
      </c>
      <c r="D35" s="278">
        <v>510</v>
      </c>
      <c r="E35" s="248">
        <v>5.375</v>
      </c>
      <c r="F35" s="246" t="s">
        <v>583</v>
      </c>
      <c r="G35" s="249">
        <v>14.01</v>
      </c>
      <c r="H35" s="270"/>
    </row>
    <row r="36" spans="1:8">
      <c r="A36" s="250">
        <v>1969</v>
      </c>
      <c r="B36" s="245" t="s">
        <v>585</v>
      </c>
      <c r="C36" s="246" t="s">
        <v>586</v>
      </c>
      <c r="D36" s="278">
        <v>180</v>
      </c>
      <c r="E36" s="248">
        <v>5.75</v>
      </c>
      <c r="F36" s="246" t="s">
        <v>587</v>
      </c>
      <c r="G36" s="249">
        <f>80-69</f>
        <v>11</v>
      </c>
      <c r="H36" s="270"/>
    </row>
    <row r="37" spans="1:8">
      <c r="A37" s="250">
        <v>1970</v>
      </c>
      <c r="B37" s="245" t="s">
        <v>588</v>
      </c>
      <c r="C37" s="246" t="s">
        <v>526</v>
      </c>
      <c r="D37" s="278">
        <v>60</v>
      </c>
      <c r="E37" s="248">
        <v>5.75</v>
      </c>
      <c r="F37" s="246" t="s">
        <v>589</v>
      </c>
      <c r="G37" s="249">
        <v>11</v>
      </c>
      <c r="H37" s="270"/>
    </row>
    <row r="38" spans="1:8">
      <c r="A38" s="250">
        <v>1982</v>
      </c>
      <c r="B38" s="245" t="s">
        <v>588</v>
      </c>
      <c r="C38" s="246" t="s">
        <v>590</v>
      </c>
      <c r="D38" s="278">
        <v>1000</v>
      </c>
      <c r="E38" s="248">
        <v>20</v>
      </c>
      <c r="F38" s="246" t="s">
        <v>591</v>
      </c>
      <c r="G38" s="249">
        <v>6.02</v>
      </c>
      <c r="H38" s="270"/>
    </row>
    <row r="39" spans="1:8">
      <c r="A39" s="250">
        <v>1984</v>
      </c>
      <c r="B39" s="245" t="s">
        <v>588</v>
      </c>
      <c r="C39" s="246" t="s">
        <v>592</v>
      </c>
      <c r="D39" s="278">
        <v>1000</v>
      </c>
      <c r="E39" s="248">
        <v>28</v>
      </c>
      <c r="F39" s="246" t="s">
        <v>593</v>
      </c>
      <c r="G39" s="249">
        <v>5.1100000000000003</v>
      </c>
      <c r="H39" s="270"/>
    </row>
    <row r="40" spans="1:8">
      <c r="A40" s="250">
        <v>1984</v>
      </c>
      <c r="B40" s="245" t="s">
        <v>594</v>
      </c>
      <c r="C40" s="246" t="s">
        <v>595</v>
      </c>
      <c r="D40" s="278">
        <v>15883</v>
      </c>
      <c r="E40" s="248">
        <v>22</v>
      </c>
      <c r="F40" s="246" t="s">
        <v>596</v>
      </c>
      <c r="G40" s="249">
        <v>16</v>
      </c>
      <c r="H40" s="270"/>
    </row>
    <row r="41" spans="1:8">
      <c r="A41" s="250">
        <v>1985</v>
      </c>
      <c r="B41" s="245" t="s">
        <v>597</v>
      </c>
      <c r="C41" s="246" t="s">
        <v>598</v>
      </c>
      <c r="D41" s="278">
        <v>3100</v>
      </c>
      <c r="E41" s="248">
        <v>25</v>
      </c>
      <c r="F41" s="246" t="s">
        <v>599</v>
      </c>
      <c r="G41" s="249">
        <v>6.1</v>
      </c>
      <c r="H41" s="270"/>
    </row>
    <row r="42" spans="1:8">
      <c r="A42" s="250">
        <v>1985</v>
      </c>
      <c r="B42" s="245" t="s">
        <v>600</v>
      </c>
      <c r="C42" s="246" t="s">
        <v>601</v>
      </c>
      <c r="D42" s="278">
        <v>3172</v>
      </c>
      <c r="E42" s="248">
        <v>29</v>
      </c>
      <c r="F42" s="246" t="s">
        <v>602</v>
      </c>
      <c r="G42" s="249">
        <v>14.06</v>
      </c>
      <c r="H42" s="270"/>
    </row>
    <row r="43" spans="1:8">
      <c r="A43" s="250">
        <v>1985</v>
      </c>
      <c r="B43" s="245" t="s">
        <v>600</v>
      </c>
      <c r="C43" s="246" t="s">
        <v>603</v>
      </c>
      <c r="D43" s="278">
        <v>36449</v>
      </c>
      <c r="E43" s="248">
        <v>26.5</v>
      </c>
      <c r="F43" s="246" t="s">
        <v>604</v>
      </c>
      <c r="G43" s="249">
        <v>14.06</v>
      </c>
      <c r="H43" s="270"/>
    </row>
    <row r="44" spans="1:8">
      <c r="A44" s="250">
        <v>1985</v>
      </c>
      <c r="B44" s="245" t="s">
        <v>600</v>
      </c>
      <c r="C44" s="246" t="s">
        <v>540</v>
      </c>
      <c r="D44" s="278">
        <v>7116</v>
      </c>
      <c r="E44" s="248">
        <v>26.5</v>
      </c>
      <c r="F44" s="246" t="s">
        <v>605</v>
      </c>
      <c r="G44" s="249">
        <v>14.06</v>
      </c>
      <c r="H44" s="270"/>
    </row>
    <row r="45" spans="1:8">
      <c r="A45" s="250">
        <v>1985</v>
      </c>
      <c r="B45" s="245" t="s">
        <v>600</v>
      </c>
      <c r="C45" s="246" t="s">
        <v>606</v>
      </c>
      <c r="D45" s="278">
        <v>2912</v>
      </c>
      <c r="E45" s="248">
        <v>26.5</v>
      </c>
      <c r="F45" s="246" t="s">
        <v>607</v>
      </c>
      <c r="G45" s="249">
        <v>14.06</v>
      </c>
      <c r="H45" s="270"/>
    </row>
    <row r="46" spans="1:8">
      <c r="A46" s="250">
        <v>1985</v>
      </c>
      <c r="B46" s="245" t="s">
        <v>600</v>
      </c>
      <c r="C46" s="246" t="s">
        <v>608</v>
      </c>
      <c r="D46" s="278">
        <v>3988</v>
      </c>
      <c r="E46" s="248">
        <v>26.5</v>
      </c>
      <c r="F46" s="246" t="s">
        <v>609</v>
      </c>
      <c r="G46" s="249">
        <v>14.06</v>
      </c>
      <c r="H46" s="270"/>
    </row>
    <row r="47" spans="1:8">
      <c r="A47" s="250">
        <v>1985</v>
      </c>
      <c r="B47" s="245" t="s">
        <v>600</v>
      </c>
      <c r="C47" s="246" t="s">
        <v>610</v>
      </c>
      <c r="D47" s="278">
        <v>5288</v>
      </c>
      <c r="E47" s="248">
        <v>22.5</v>
      </c>
      <c r="F47" s="246" t="s">
        <v>611</v>
      </c>
      <c r="G47" s="249">
        <v>14.06</v>
      </c>
      <c r="H47" s="270"/>
    </row>
    <row r="48" spans="1:8">
      <c r="A48" s="250">
        <v>1986</v>
      </c>
      <c r="B48" s="245" t="s">
        <v>597</v>
      </c>
      <c r="C48" s="246" t="s">
        <v>612</v>
      </c>
      <c r="D48" s="278">
        <v>2500</v>
      </c>
      <c r="E48" s="248">
        <v>23.5</v>
      </c>
      <c r="F48" s="246" t="s">
        <v>613</v>
      </c>
      <c r="G48" s="249">
        <v>6.01</v>
      </c>
      <c r="H48" s="270"/>
    </row>
    <row r="49" spans="1:8">
      <c r="A49" s="250">
        <v>1987</v>
      </c>
      <c r="B49" s="245" t="s">
        <v>588</v>
      </c>
      <c r="C49" s="246" t="s">
        <v>614</v>
      </c>
      <c r="D49" s="278">
        <v>300</v>
      </c>
      <c r="E49" s="248">
        <v>15.2</v>
      </c>
      <c r="F49" s="246" t="s">
        <v>615</v>
      </c>
      <c r="G49" s="249">
        <v>8</v>
      </c>
      <c r="H49" s="270"/>
    </row>
    <row r="50" spans="1:8">
      <c r="A50" s="250">
        <v>1987</v>
      </c>
      <c r="B50" s="245" t="s">
        <v>588</v>
      </c>
      <c r="C50" s="246" t="s">
        <v>614</v>
      </c>
      <c r="D50" s="278">
        <v>350</v>
      </c>
      <c r="E50" s="248">
        <v>15.2</v>
      </c>
      <c r="F50" s="246" t="s">
        <v>616</v>
      </c>
      <c r="G50" s="249">
        <v>9</v>
      </c>
      <c r="H50" s="270"/>
    </row>
    <row r="51" spans="1:8">
      <c r="A51" s="250">
        <v>1987</v>
      </c>
      <c r="B51" s="245" t="s">
        <v>588</v>
      </c>
      <c r="C51" s="246" t="s">
        <v>614</v>
      </c>
      <c r="D51" s="278">
        <v>350</v>
      </c>
      <c r="E51" s="248">
        <v>15.2</v>
      </c>
      <c r="F51" s="246" t="s">
        <v>617</v>
      </c>
      <c r="G51" s="249">
        <v>10</v>
      </c>
      <c r="H51" s="270"/>
    </row>
    <row r="52" spans="1:8" ht="13.5" thickBot="1">
      <c r="A52" s="279">
        <v>1992</v>
      </c>
      <c r="B52" s="280" t="s">
        <v>597</v>
      </c>
      <c r="C52" s="281" t="s">
        <v>618</v>
      </c>
      <c r="D52" s="282">
        <v>10000</v>
      </c>
      <c r="E52" s="283">
        <v>15.548</v>
      </c>
      <c r="F52" s="281" t="s">
        <v>619</v>
      </c>
      <c r="G52" s="284">
        <v>7</v>
      </c>
      <c r="H52" s="270"/>
    </row>
    <row r="53" spans="1:8">
      <c r="A53" s="285"/>
      <c r="B53" s="253"/>
      <c r="C53" s="285"/>
      <c r="D53" s="285"/>
      <c r="E53" s="286"/>
      <c r="F53" s="285"/>
      <c r="G53" s="287"/>
    </row>
    <row r="54" spans="1:8" ht="13.5">
      <c r="A54" s="288"/>
      <c r="B54" s="289"/>
      <c r="C54" s="288"/>
      <c r="D54" s="288"/>
      <c r="E54" s="290"/>
      <c r="F54" s="288"/>
      <c r="G54" s="291"/>
    </row>
    <row r="55" spans="1:8" ht="13.5">
      <c r="A55" s="288"/>
      <c r="B55" s="289"/>
      <c r="C55" s="288"/>
      <c r="D55" s="288"/>
      <c r="E55" s="290"/>
      <c r="F55" s="288"/>
      <c r="G55" s="291"/>
    </row>
    <row r="56" spans="1:8" ht="13.5">
      <c r="A56" s="288"/>
      <c r="B56" s="289"/>
      <c r="C56" s="288"/>
      <c r="D56" s="288"/>
      <c r="E56" s="290"/>
      <c r="F56" s="288"/>
      <c r="G56" s="291"/>
    </row>
    <row r="57" spans="1:8" ht="13.5">
      <c r="A57" s="288"/>
      <c r="B57" s="289"/>
      <c r="C57" s="288"/>
      <c r="D57" s="288"/>
      <c r="E57" s="290"/>
      <c r="F57" s="288"/>
      <c r="G57" s="291"/>
    </row>
    <row r="58" spans="1:8" ht="13.5">
      <c r="A58" s="288"/>
      <c r="B58" s="289"/>
      <c r="C58" s="288"/>
      <c r="D58" s="288"/>
      <c r="E58" s="292"/>
      <c r="F58" s="288"/>
      <c r="G58" s="291"/>
    </row>
    <row r="59" spans="1:8" ht="13.5">
      <c r="A59" s="288"/>
      <c r="B59" s="289"/>
      <c r="C59" s="288"/>
      <c r="D59" s="288"/>
      <c r="E59" s="292"/>
      <c r="F59" s="288"/>
      <c r="G59" s="291"/>
    </row>
    <row r="60" spans="1:8" ht="13.5">
      <c r="A60" s="288"/>
      <c r="B60" s="289"/>
      <c r="C60" s="288"/>
      <c r="D60" s="288"/>
      <c r="E60" s="292"/>
      <c r="F60" s="288"/>
      <c r="G60" s="291"/>
    </row>
    <row r="61" spans="1:8" ht="13.5">
      <c r="A61" s="288"/>
      <c r="B61" s="289"/>
      <c r="C61" s="288"/>
      <c r="D61" s="288"/>
      <c r="E61" s="292"/>
      <c r="F61" s="288"/>
      <c r="G61" s="291"/>
    </row>
    <row r="62" spans="1:8" ht="13.5">
      <c r="A62" s="288"/>
      <c r="B62" s="289"/>
      <c r="C62" s="288"/>
      <c r="D62" s="288"/>
      <c r="E62" s="292"/>
      <c r="F62" s="288"/>
      <c r="G62" s="291"/>
    </row>
    <row r="63" spans="1:8">
      <c r="A63" s="293"/>
      <c r="C63" s="293"/>
      <c r="D63" s="293"/>
      <c r="E63" s="294"/>
      <c r="F63" s="293"/>
      <c r="G63" s="295"/>
    </row>
    <row r="64" spans="1:8">
      <c r="A64" s="227"/>
      <c r="G64" s="227"/>
    </row>
  </sheetData>
  <printOptions horizontalCentered="1" verticalCentered="1"/>
  <pageMargins left="0.19685039370078741" right="0.19685039370078741" top="0" bottom="0" header="0.51181102362204722" footer="0.51181102362204722"/>
  <pageSetup paperSize="9" scale="93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1F34-4967-49A7-A6BE-2E3F061F691B}">
  <sheetPr syncVertical="1" syncRef="A1" transitionEvaluation="1">
    <pageSetUpPr fitToPage="1"/>
  </sheetPr>
  <dimension ref="A1:E61"/>
  <sheetViews>
    <sheetView showGridLines="0" workbookViewId="0">
      <selection activeCell="E9" sqref="E9"/>
    </sheetView>
  </sheetViews>
  <sheetFormatPr defaultColWidth="7.90625" defaultRowHeight="13"/>
  <cols>
    <col min="1" max="1" width="10.26953125" style="297" customWidth="1"/>
    <col min="2" max="5" width="16.81640625" style="297" customWidth="1"/>
    <col min="6" max="256" width="7.90625" style="297"/>
    <col min="257" max="257" width="10.26953125" style="297" customWidth="1"/>
    <col min="258" max="261" width="16.81640625" style="297" customWidth="1"/>
    <col min="262" max="512" width="7.90625" style="297"/>
    <col min="513" max="513" width="10.26953125" style="297" customWidth="1"/>
    <col min="514" max="517" width="16.81640625" style="297" customWidth="1"/>
    <col min="518" max="768" width="7.90625" style="297"/>
    <col min="769" max="769" width="10.26953125" style="297" customWidth="1"/>
    <col min="770" max="773" width="16.81640625" style="297" customWidth="1"/>
    <col min="774" max="1024" width="7.90625" style="297"/>
    <col min="1025" max="1025" width="10.26953125" style="297" customWidth="1"/>
    <col min="1026" max="1029" width="16.81640625" style="297" customWidth="1"/>
    <col min="1030" max="1280" width="7.90625" style="297"/>
    <col min="1281" max="1281" width="10.26953125" style="297" customWidth="1"/>
    <col min="1282" max="1285" width="16.81640625" style="297" customWidth="1"/>
    <col min="1286" max="1536" width="7.90625" style="297"/>
    <col min="1537" max="1537" width="10.26953125" style="297" customWidth="1"/>
    <col min="1538" max="1541" width="16.81640625" style="297" customWidth="1"/>
    <col min="1542" max="1792" width="7.90625" style="297"/>
    <col min="1793" max="1793" width="10.26953125" style="297" customWidth="1"/>
    <col min="1794" max="1797" width="16.81640625" style="297" customWidth="1"/>
    <col min="1798" max="2048" width="7.90625" style="297"/>
    <col min="2049" max="2049" width="10.26953125" style="297" customWidth="1"/>
    <col min="2050" max="2053" width="16.81640625" style="297" customWidth="1"/>
    <col min="2054" max="2304" width="7.90625" style="297"/>
    <col min="2305" max="2305" width="10.26953125" style="297" customWidth="1"/>
    <col min="2306" max="2309" width="16.81640625" style="297" customWidth="1"/>
    <col min="2310" max="2560" width="7.90625" style="297"/>
    <col min="2561" max="2561" width="10.26953125" style="297" customWidth="1"/>
    <col min="2562" max="2565" width="16.81640625" style="297" customWidth="1"/>
    <col min="2566" max="2816" width="7.90625" style="297"/>
    <col min="2817" max="2817" width="10.26953125" style="297" customWidth="1"/>
    <col min="2818" max="2821" width="16.81640625" style="297" customWidth="1"/>
    <col min="2822" max="3072" width="7.90625" style="297"/>
    <col min="3073" max="3073" width="10.26953125" style="297" customWidth="1"/>
    <col min="3074" max="3077" width="16.81640625" style="297" customWidth="1"/>
    <col min="3078" max="3328" width="7.90625" style="297"/>
    <col min="3329" max="3329" width="10.26953125" style="297" customWidth="1"/>
    <col min="3330" max="3333" width="16.81640625" style="297" customWidth="1"/>
    <col min="3334" max="3584" width="7.90625" style="297"/>
    <col min="3585" max="3585" width="10.26953125" style="297" customWidth="1"/>
    <col min="3586" max="3589" width="16.81640625" style="297" customWidth="1"/>
    <col min="3590" max="3840" width="7.90625" style="297"/>
    <col min="3841" max="3841" width="10.26953125" style="297" customWidth="1"/>
    <col min="3842" max="3845" width="16.81640625" style="297" customWidth="1"/>
    <col min="3846" max="4096" width="7.90625" style="297"/>
    <col min="4097" max="4097" width="10.26953125" style="297" customWidth="1"/>
    <col min="4098" max="4101" width="16.81640625" style="297" customWidth="1"/>
    <col min="4102" max="4352" width="7.90625" style="297"/>
    <col min="4353" max="4353" width="10.26953125" style="297" customWidth="1"/>
    <col min="4354" max="4357" width="16.81640625" style="297" customWidth="1"/>
    <col min="4358" max="4608" width="7.90625" style="297"/>
    <col min="4609" max="4609" width="10.26953125" style="297" customWidth="1"/>
    <col min="4610" max="4613" width="16.81640625" style="297" customWidth="1"/>
    <col min="4614" max="4864" width="7.90625" style="297"/>
    <col min="4865" max="4865" width="10.26953125" style="297" customWidth="1"/>
    <col min="4866" max="4869" width="16.81640625" style="297" customWidth="1"/>
    <col min="4870" max="5120" width="7.90625" style="297"/>
    <col min="5121" max="5121" width="10.26953125" style="297" customWidth="1"/>
    <col min="5122" max="5125" width="16.81640625" style="297" customWidth="1"/>
    <col min="5126" max="5376" width="7.90625" style="297"/>
    <col min="5377" max="5377" width="10.26953125" style="297" customWidth="1"/>
    <col min="5378" max="5381" width="16.81640625" style="297" customWidth="1"/>
    <col min="5382" max="5632" width="7.90625" style="297"/>
    <col min="5633" max="5633" width="10.26953125" style="297" customWidth="1"/>
    <col min="5634" max="5637" width="16.81640625" style="297" customWidth="1"/>
    <col min="5638" max="5888" width="7.90625" style="297"/>
    <col min="5889" max="5889" width="10.26953125" style="297" customWidth="1"/>
    <col min="5890" max="5893" width="16.81640625" style="297" customWidth="1"/>
    <col min="5894" max="6144" width="7.90625" style="297"/>
    <col min="6145" max="6145" width="10.26953125" style="297" customWidth="1"/>
    <col min="6146" max="6149" width="16.81640625" style="297" customWidth="1"/>
    <col min="6150" max="6400" width="7.90625" style="297"/>
    <col min="6401" max="6401" width="10.26953125" style="297" customWidth="1"/>
    <col min="6402" max="6405" width="16.81640625" style="297" customWidth="1"/>
    <col min="6406" max="6656" width="7.90625" style="297"/>
    <col min="6657" max="6657" width="10.26953125" style="297" customWidth="1"/>
    <col min="6658" max="6661" width="16.81640625" style="297" customWidth="1"/>
    <col min="6662" max="6912" width="7.90625" style="297"/>
    <col min="6913" max="6913" width="10.26953125" style="297" customWidth="1"/>
    <col min="6914" max="6917" width="16.81640625" style="297" customWidth="1"/>
    <col min="6918" max="7168" width="7.90625" style="297"/>
    <col min="7169" max="7169" width="10.26953125" style="297" customWidth="1"/>
    <col min="7170" max="7173" width="16.81640625" style="297" customWidth="1"/>
    <col min="7174" max="7424" width="7.90625" style="297"/>
    <col min="7425" max="7425" width="10.26953125" style="297" customWidth="1"/>
    <col min="7426" max="7429" width="16.81640625" style="297" customWidth="1"/>
    <col min="7430" max="7680" width="7.90625" style="297"/>
    <col min="7681" max="7681" width="10.26953125" style="297" customWidth="1"/>
    <col min="7682" max="7685" width="16.81640625" style="297" customWidth="1"/>
    <col min="7686" max="7936" width="7.90625" style="297"/>
    <col min="7937" max="7937" width="10.26953125" style="297" customWidth="1"/>
    <col min="7938" max="7941" width="16.81640625" style="297" customWidth="1"/>
    <col min="7942" max="8192" width="7.90625" style="297"/>
    <col min="8193" max="8193" width="10.26953125" style="297" customWidth="1"/>
    <col min="8194" max="8197" width="16.81640625" style="297" customWidth="1"/>
    <col min="8198" max="8448" width="7.90625" style="297"/>
    <col min="8449" max="8449" width="10.26953125" style="297" customWidth="1"/>
    <col min="8450" max="8453" width="16.81640625" style="297" customWidth="1"/>
    <col min="8454" max="8704" width="7.90625" style="297"/>
    <col min="8705" max="8705" width="10.26953125" style="297" customWidth="1"/>
    <col min="8706" max="8709" width="16.81640625" style="297" customWidth="1"/>
    <col min="8710" max="8960" width="7.90625" style="297"/>
    <col min="8961" max="8961" width="10.26953125" style="297" customWidth="1"/>
    <col min="8962" max="8965" width="16.81640625" style="297" customWidth="1"/>
    <col min="8966" max="9216" width="7.90625" style="297"/>
    <col min="9217" max="9217" width="10.26953125" style="297" customWidth="1"/>
    <col min="9218" max="9221" width="16.81640625" style="297" customWidth="1"/>
    <col min="9222" max="9472" width="7.90625" style="297"/>
    <col min="9473" max="9473" width="10.26953125" style="297" customWidth="1"/>
    <col min="9474" max="9477" width="16.81640625" style="297" customWidth="1"/>
    <col min="9478" max="9728" width="7.90625" style="297"/>
    <col min="9729" max="9729" width="10.26953125" style="297" customWidth="1"/>
    <col min="9730" max="9733" width="16.81640625" style="297" customWidth="1"/>
    <col min="9734" max="9984" width="7.90625" style="297"/>
    <col min="9985" max="9985" width="10.26953125" style="297" customWidth="1"/>
    <col min="9986" max="9989" width="16.81640625" style="297" customWidth="1"/>
    <col min="9990" max="10240" width="7.90625" style="297"/>
    <col min="10241" max="10241" width="10.26953125" style="297" customWidth="1"/>
    <col min="10242" max="10245" width="16.81640625" style="297" customWidth="1"/>
    <col min="10246" max="10496" width="7.90625" style="297"/>
    <col min="10497" max="10497" width="10.26953125" style="297" customWidth="1"/>
    <col min="10498" max="10501" width="16.81640625" style="297" customWidth="1"/>
    <col min="10502" max="10752" width="7.90625" style="297"/>
    <col min="10753" max="10753" width="10.26953125" style="297" customWidth="1"/>
    <col min="10754" max="10757" width="16.81640625" style="297" customWidth="1"/>
    <col min="10758" max="11008" width="7.90625" style="297"/>
    <col min="11009" max="11009" width="10.26953125" style="297" customWidth="1"/>
    <col min="11010" max="11013" width="16.81640625" style="297" customWidth="1"/>
    <col min="11014" max="11264" width="7.90625" style="297"/>
    <col min="11265" max="11265" width="10.26953125" style="297" customWidth="1"/>
    <col min="11266" max="11269" width="16.81640625" style="297" customWidth="1"/>
    <col min="11270" max="11520" width="7.90625" style="297"/>
    <col min="11521" max="11521" width="10.26953125" style="297" customWidth="1"/>
    <col min="11522" max="11525" width="16.81640625" style="297" customWidth="1"/>
    <col min="11526" max="11776" width="7.90625" style="297"/>
    <col min="11777" max="11777" width="10.26953125" style="297" customWidth="1"/>
    <col min="11778" max="11781" width="16.81640625" style="297" customWidth="1"/>
    <col min="11782" max="12032" width="7.90625" style="297"/>
    <col min="12033" max="12033" width="10.26953125" style="297" customWidth="1"/>
    <col min="12034" max="12037" width="16.81640625" style="297" customWidth="1"/>
    <col min="12038" max="12288" width="7.90625" style="297"/>
    <col min="12289" max="12289" width="10.26953125" style="297" customWidth="1"/>
    <col min="12290" max="12293" width="16.81640625" style="297" customWidth="1"/>
    <col min="12294" max="12544" width="7.90625" style="297"/>
    <col min="12545" max="12545" width="10.26953125" style="297" customWidth="1"/>
    <col min="12546" max="12549" width="16.81640625" style="297" customWidth="1"/>
    <col min="12550" max="12800" width="7.90625" style="297"/>
    <col min="12801" max="12801" width="10.26953125" style="297" customWidth="1"/>
    <col min="12802" max="12805" width="16.81640625" style="297" customWidth="1"/>
    <col min="12806" max="13056" width="7.90625" style="297"/>
    <col min="13057" max="13057" width="10.26953125" style="297" customWidth="1"/>
    <col min="13058" max="13061" width="16.81640625" style="297" customWidth="1"/>
    <col min="13062" max="13312" width="7.90625" style="297"/>
    <col min="13313" max="13313" width="10.26953125" style="297" customWidth="1"/>
    <col min="13314" max="13317" width="16.81640625" style="297" customWidth="1"/>
    <col min="13318" max="13568" width="7.90625" style="297"/>
    <col min="13569" max="13569" width="10.26953125" style="297" customWidth="1"/>
    <col min="13570" max="13573" width="16.81640625" style="297" customWidth="1"/>
    <col min="13574" max="13824" width="7.90625" style="297"/>
    <col min="13825" max="13825" width="10.26953125" style="297" customWidth="1"/>
    <col min="13826" max="13829" width="16.81640625" style="297" customWidth="1"/>
    <col min="13830" max="14080" width="7.90625" style="297"/>
    <col min="14081" max="14081" width="10.26953125" style="297" customWidth="1"/>
    <col min="14082" max="14085" width="16.81640625" style="297" customWidth="1"/>
    <col min="14086" max="14336" width="7.90625" style="297"/>
    <col min="14337" max="14337" width="10.26953125" style="297" customWidth="1"/>
    <col min="14338" max="14341" width="16.81640625" style="297" customWidth="1"/>
    <col min="14342" max="14592" width="7.90625" style="297"/>
    <col min="14593" max="14593" width="10.26953125" style="297" customWidth="1"/>
    <col min="14594" max="14597" width="16.81640625" style="297" customWidth="1"/>
    <col min="14598" max="14848" width="7.90625" style="297"/>
    <col min="14849" max="14849" width="10.26953125" style="297" customWidth="1"/>
    <col min="14850" max="14853" width="16.81640625" style="297" customWidth="1"/>
    <col min="14854" max="15104" width="7.90625" style="297"/>
    <col min="15105" max="15105" width="10.26953125" style="297" customWidth="1"/>
    <col min="15106" max="15109" width="16.81640625" style="297" customWidth="1"/>
    <col min="15110" max="15360" width="7.90625" style="297"/>
    <col min="15361" max="15361" width="10.26953125" style="297" customWidth="1"/>
    <col min="15362" max="15365" width="16.81640625" style="297" customWidth="1"/>
    <col min="15366" max="15616" width="7.90625" style="297"/>
    <col min="15617" max="15617" width="10.26953125" style="297" customWidth="1"/>
    <col min="15618" max="15621" width="16.81640625" style="297" customWidth="1"/>
    <col min="15622" max="15872" width="7.90625" style="297"/>
    <col min="15873" max="15873" width="10.26953125" style="297" customWidth="1"/>
    <col min="15874" max="15877" width="16.81640625" style="297" customWidth="1"/>
    <col min="15878" max="16128" width="7.90625" style="297"/>
    <col min="16129" max="16129" width="10.26953125" style="297" customWidth="1"/>
    <col min="16130" max="16133" width="16.81640625" style="297" customWidth="1"/>
    <col min="16134" max="16384" width="7.90625" style="297"/>
  </cols>
  <sheetData>
    <row r="1" spans="1:5" s="296" customFormat="1">
      <c r="A1" s="296" t="s">
        <v>620</v>
      </c>
      <c r="B1" s="297"/>
      <c r="C1" s="297"/>
      <c r="D1" s="297"/>
      <c r="E1" s="297"/>
    </row>
    <row r="2" spans="1:5" ht="13.5" thickBot="1">
      <c r="A2" s="297" t="s">
        <v>379</v>
      </c>
    </row>
    <row r="3" spans="1:5" ht="19.899999999999999" customHeight="1">
      <c r="A3" s="298"/>
      <c r="B3" s="299" t="s">
        <v>621</v>
      </c>
      <c r="C3" s="300"/>
      <c r="D3" s="299" t="s">
        <v>622</v>
      </c>
      <c r="E3" s="300"/>
    </row>
    <row r="4" spans="1:5" ht="19.899999999999999" customHeight="1">
      <c r="A4" s="301"/>
      <c r="B4" s="301"/>
      <c r="C4" s="302"/>
      <c r="D4" s="303" t="s">
        <v>623</v>
      </c>
      <c r="E4" s="302"/>
    </row>
    <row r="5" spans="1:5" ht="19.899999999999999" customHeight="1">
      <c r="A5" s="301" t="s">
        <v>439</v>
      </c>
      <c r="B5" s="304" t="s">
        <v>499</v>
      </c>
      <c r="C5" s="305" t="s">
        <v>624</v>
      </c>
      <c r="D5" s="304" t="s">
        <v>625</v>
      </c>
      <c r="E5" s="305" t="s">
        <v>626</v>
      </c>
    </row>
    <row r="6" spans="1:5" ht="19.899999999999999" customHeight="1" thickBot="1">
      <c r="A6" s="306"/>
      <c r="B6" s="306" t="s">
        <v>627</v>
      </c>
      <c r="C6" s="307" t="s">
        <v>628</v>
      </c>
      <c r="D6" s="306" t="s">
        <v>629</v>
      </c>
      <c r="E6" s="307" t="s">
        <v>630</v>
      </c>
    </row>
    <row r="7" spans="1:5" ht="12" customHeight="1">
      <c r="A7" s="308"/>
      <c r="B7" s="308"/>
      <c r="C7" s="309"/>
      <c r="D7" s="310"/>
      <c r="E7" s="311"/>
    </row>
    <row r="8" spans="1:5" ht="12" customHeight="1">
      <c r="A8" s="301">
        <v>1947</v>
      </c>
      <c r="B8" s="301" t="s">
        <v>244</v>
      </c>
      <c r="C8" s="312">
        <v>2.75</v>
      </c>
      <c r="D8" s="313">
        <v>3.05</v>
      </c>
      <c r="E8" s="314" t="s">
        <v>244</v>
      </c>
    </row>
    <row r="9" spans="1:5" ht="12" customHeight="1">
      <c r="A9" s="301">
        <v>1948</v>
      </c>
      <c r="B9" s="301" t="s">
        <v>244</v>
      </c>
      <c r="C9" s="312">
        <v>2.75</v>
      </c>
      <c r="D9" s="313">
        <v>3.23</v>
      </c>
      <c r="E9" s="314" t="s">
        <v>244</v>
      </c>
    </row>
    <row r="10" spans="1:5" ht="12" customHeight="1">
      <c r="A10" s="301">
        <v>1949</v>
      </c>
      <c r="B10" s="301" t="s">
        <v>244</v>
      </c>
      <c r="C10" s="312">
        <v>2.75</v>
      </c>
      <c r="D10" s="313">
        <v>3.82</v>
      </c>
      <c r="E10" s="314" t="s">
        <v>244</v>
      </c>
    </row>
    <row r="11" spans="1:5" ht="12" customHeight="1">
      <c r="A11" s="301">
        <v>1950</v>
      </c>
      <c r="B11" s="315">
        <v>3.5</v>
      </c>
      <c r="C11" s="312">
        <v>2.75</v>
      </c>
      <c r="D11" s="313">
        <v>3.78</v>
      </c>
      <c r="E11" s="314" t="s">
        <v>244</v>
      </c>
    </row>
    <row r="12" spans="1:5" ht="12" customHeight="1">
      <c r="A12" s="301">
        <v>1951</v>
      </c>
      <c r="B12" s="315">
        <v>3.5</v>
      </c>
      <c r="C12" s="312">
        <v>2.75</v>
      </c>
      <c r="D12" s="313">
        <v>3.46</v>
      </c>
      <c r="E12" s="314" t="s">
        <v>244</v>
      </c>
    </row>
    <row r="13" spans="1:5" ht="12" customHeight="1">
      <c r="A13" s="301">
        <v>1952</v>
      </c>
      <c r="B13" s="315">
        <v>3.5</v>
      </c>
      <c r="C13" s="314" t="s">
        <v>244</v>
      </c>
      <c r="D13" s="313">
        <v>3.38</v>
      </c>
      <c r="E13" s="314" t="s">
        <v>244</v>
      </c>
    </row>
    <row r="14" spans="1:5" ht="12" customHeight="1">
      <c r="A14" s="301">
        <v>1953</v>
      </c>
      <c r="B14" s="301" t="s">
        <v>244</v>
      </c>
      <c r="C14" s="312">
        <v>2.915</v>
      </c>
      <c r="D14" s="313">
        <v>3.28</v>
      </c>
      <c r="E14" s="314" t="s">
        <v>244</v>
      </c>
    </row>
    <row r="15" spans="1:5" ht="12" customHeight="1">
      <c r="A15" s="301">
        <v>1954</v>
      </c>
      <c r="B15" s="315">
        <v>3</v>
      </c>
      <c r="C15" s="312">
        <v>3.75</v>
      </c>
      <c r="D15" s="313">
        <v>3.18</v>
      </c>
      <c r="E15" s="314" t="s">
        <v>244</v>
      </c>
    </row>
    <row r="16" spans="1:5" ht="12" customHeight="1">
      <c r="A16" s="301">
        <v>1955</v>
      </c>
      <c r="B16" s="301" t="s">
        <v>244</v>
      </c>
      <c r="C16" s="312">
        <v>3.75</v>
      </c>
      <c r="D16" s="313">
        <v>3.06</v>
      </c>
      <c r="E16" s="314" t="s">
        <v>244</v>
      </c>
    </row>
    <row r="17" spans="1:5" ht="12" customHeight="1">
      <c r="A17" s="301">
        <v>1956</v>
      </c>
      <c r="B17" s="301" t="s">
        <v>244</v>
      </c>
      <c r="C17" s="312">
        <v>3.75</v>
      </c>
      <c r="D17" s="313">
        <v>3.04</v>
      </c>
      <c r="E17" s="314" t="s">
        <v>244</v>
      </c>
    </row>
    <row r="18" spans="1:5" ht="12" customHeight="1">
      <c r="A18" s="301">
        <v>1957</v>
      </c>
      <c r="B18" s="301" t="s">
        <v>244</v>
      </c>
      <c r="C18" s="312">
        <v>3.75</v>
      </c>
      <c r="D18" s="313">
        <v>3.04</v>
      </c>
      <c r="E18" s="314" t="s">
        <v>244</v>
      </c>
    </row>
    <row r="19" spans="1:5" ht="12" customHeight="1">
      <c r="A19" s="301">
        <v>1958</v>
      </c>
      <c r="B19" s="301" t="s">
        <v>244</v>
      </c>
      <c r="C19" s="312">
        <v>3.75</v>
      </c>
      <c r="D19" s="313">
        <v>3.03</v>
      </c>
      <c r="E19" s="314" t="s">
        <v>244</v>
      </c>
    </row>
    <row r="20" spans="1:5" ht="12" customHeight="1">
      <c r="A20" s="301">
        <v>1959</v>
      </c>
      <c r="B20" s="315">
        <v>3.5</v>
      </c>
      <c r="C20" s="312">
        <v>3.226</v>
      </c>
      <c r="D20" s="313">
        <v>3.04</v>
      </c>
      <c r="E20" s="314" t="s">
        <v>244</v>
      </c>
    </row>
    <row r="21" spans="1:5" ht="12" customHeight="1">
      <c r="A21" s="301">
        <v>1960</v>
      </c>
      <c r="B21" s="315">
        <v>3.5</v>
      </c>
      <c r="C21" s="312">
        <v>3.302</v>
      </c>
      <c r="D21" s="313">
        <v>3.34</v>
      </c>
      <c r="E21" s="316">
        <v>2.36</v>
      </c>
    </row>
    <row r="22" spans="1:5" ht="12" customHeight="1">
      <c r="A22" s="301">
        <v>1961</v>
      </c>
      <c r="B22" s="315">
        <v>3.5</v>
      </c>
      <c r="C22" s="312">
        <v>3.302</v>
      </c>
      <c r="D22" s="313">
        <v>3.7</v>
      </c>
      <c r="E22" s="316">
        <v>3.24</v>
      </c>
    </row>
    <row r="23" spans="1:5" ht="12" customHeight="1">
      <c r="A23" s="301">
        <v>1962</v>
      </c>
      <c r="B23" s="315">
        <v>3.5</v>
      </c>
      <c r="C23" s="312">
        <v>3.7959999999999998</v>
      </c>
      <c r="D23" s="313">
        <v>3.87</v>
      </c>
      <c r="E23" s="316">
        <v>3.24</v>
      </c>
    </row>
    <row r="24" spans="1:5" ht="12" customHeight="1">
      <c r="A24" s="301">
        <v>1963</v>
      </c>
      <c r="B24" s="315">
        <v>3.5</v>
      </c>
      <c r="C24" s="312">
        <v>3</v>
      </c>
      <c r="D24" s="313">
        <v>3.92</v>
      </c>
      <c r="E24" s="316">
        <v>3.26</v>
      </c>
    </row>
    <row r="25" spans="1:5" ht="12" customHeight="1">
      <c r="A25" s="301">
        <v>1964</v>
      </c>
      <c r="B25" s="301" t="s">
        <v>244</v>
      </c>
      <c r="C25" s="312">
        <v>4</v>
      </c>
      <c r="D25" s="313">
        <v>3.68</v>
      </c>
      <c r="E25" s="316">
        <v>3.28</v>
      </c>
    </row>
    <row r="26" spans="1:5" ht="12" customHeight="1">
      <c r="A26" s="301">
        <v>1965</v>
      </c>
      <c r="B26" s="315">
        <v>3.5</v>
      </c>
      <c r="C26" s="312">
        <v>4</v>
      </c>
      <c r="D26" s="313">
        <v>3.4</v>
      </c>
      <c r="E26" s="316">
        <v>3.27</v>
      </c>
    </row>
    <row r="27" spans="1:5" ht="12" customHeight="1">
      <c r="A27" s="301">
        <v>1966</v>
      </c>
      <c r="B27" s="315">
        <v>3.5</v>
      </c>
      <c r="C27" s="312">
        <v>4.2629999999999999</v>
      </c>
      <c r="D27" s="313" t="s">
        <v>244</v>
      </c>
      <c r="E27" s="314" t="s">
        <v>244</v>
      </c>
    </row>
    <row r="28" spans="1:5" ht="12" customHeight="1">
      <c r="A28" s="301">
        <v>1967</v>
      </c>
      <c r="B28" s="315">
        <v>5</v>
      </c>
      <c r="C28" s="312">
        <v>5.452</v>
      </c>
      <c r="D28" s="313">
        <v>4.2300000000000004</v>
      </c>
      <c r="E28" s="316">
        <v>3.48</v>
      </c>
    </row>
    <row r="29" spans="1:5" ht="12" customHeight="1">
      <c r="A29" s="301">
        <v>1968</v>
      </c>
      <c r="B29" s="301" t="s">
        <v>244</v>
      </c>
      <c r="C29" s="312">
        <v>5.375</v>
      </c>
      <c r="D29" s="313">
        <v>4.5599999999999996</v>
      </c>
      <c r="E29" s="316">
        <v>3.47</v>
      </c>
    </row>
    <row r="30" spans="1:5" ht="12" customHeight="1">
      <c r="A30" s="301">
        <v>1969</v>
      </c>
      <c r="B30" s="315">
        <v>5</v>
      </c>
      <c r="C30" s="312">
        <v>5.75</v>
      </c>
      <c r="D30" s="313">
        <v>4.72</v>
      </c>
      <c r="E30" s="316">
        <v>3.74</v>
      </c>
    </row>
    <row r="31" spans="1:5" ht="12" customHeight="1">
      <c r="A31" s="301">
        <v>1970</v>
      </c>
      <c r="B31" s="301" t="s">
        <v>244</v>
      </c>
      <c r="C31" s="312">
        <v>5.75</v>
      </c>
      <c r="D31" s="313">
        <v>5.03</v>
      </c>
      <c r="E31" s="316">
        <v>4.16</v>
      </c>
    </row>
    <row r="32" spans="1:5" ht="12" customHeight="1">
      <c r="A32" s="301">
        <v>1971</v>
      </c>
      <c r="B32" s="315">
        <v>5</v>
      </c>
      <c r="C32" s="314" t="s">
        <v>244</v>
      </c>
      <c r="D32" s="313">
        <v>5.07</v>
      </c>
      <c r="E32" s="316">
        <v>3.74</v>
      </c>
    </row>
    <row r="33" spans="1:5" ht="12" customHeight="1">
      <c r="A33" s="301">
        <v>1972</v>
      </c>
      <c r="B33" s="301" t="s">
        <v>244</v>
      </c>
      <c r="C33" s="314" t="s">
        <v>244</v>
      </c>
      <c r="D33" s="313">
        <v>5.48</v>
      </c>
      <c r="E33" s="314">
        <v>4.99</v>
      </c>
    </row>
    <row r="34" spans="1:5" ht="12" customHeight="1">
      <c r="A34" s="301">
        <v>1973</v>
      </c>
      <c r="B34" s="315">
        <v>5</v>
      </c>
      <c r="C34" s="314" t="s">
        <v>244</v>
      </c>
      <c r="D34" s="313">
        <v>4.91</v>
      </c>
      <c r="E34" s="314">
        <v>4.9800000000000004</v>
      </c>
    </row>
    <row r="35" spans="1:5" ht="12" customHeight="1">
      <c r="A35" s="301">
        <v>1974</v>
      </c>
      <c r="B35" s="315">
        <v>7.5</v>
      </c>
      <c r="C35" s="314" t="s">
        <v>244</v>
      </c>
      <c r="D35" s="313" t="s">
        <v>244</v>
      </c>
      <c r="E35" s="314" t="s">
        <v>244</v>
      </c>
    </row>
    <row r="36" spans="1:5" ht="12" customHeight="1">
      <c r="A36" s="301">
        <v>1975</v>
      </c>
      <c r="B36" s="315">
        <v>8.4740000000000002</v>
      </c>
      <c r="C36" s="314" t="s">
        <v>244</v>
      </c>
      <c r="D36" s="313" t="s">
        <v>244</v>
      </c>
      <c r="E36" s="314" t="s">
        <v>244</v>
      </c>
    </row>
    <row r="37" spans="1:5" ht="12" customHeight="1">
      <c r="A37" s="301">
        <v>1976</v>
      </c>
      <c r="B37" s="315">
        <v>10</v>
      </c>
      <c r="C37" s="314" t="s">
        <v>244</v>
      </c>
      <c r="D37" s="313">
        <v>5.92</v>
      </c>
      <c r="E37" s="314">
        <v>5.44</v>
      </c>
    </row>
    <row r="38" spans="1:5" ht="12" customHeight="1">
      <c r="A38" s="301">
        <v>1977</v>
      </c>
      <c r="B38" s="301" t="s">
        <v>244</v>
      </c>
      <c r="C38" s="314" t="s">
        <v>244</v>
      </c>
      <c r="D38" s="313">
        <v>7.18</v>
      </c>
      <c r="E38" s="314">
        <v>6.76</v>
      </c>
    </row>
    <row r="39" spans="1:5" ht="12" customHeight="1">
      <c r="A39" s="301">
        <v>1978</v>
      </c>
      <c r="B39" s="301" t="s">
        <v>244</v>
      </c>
      <c r="C39" s="314" t="s">
        <v>244</v>
      </c>
      <c r="D39" s="313">
        <v>17.72</v>
      </c>
      <c r="E39" s="314">
        <v>17.940000000000001</v>
      </c>
    </row>
    <row r="40" spans="1:5" ht="12" customHeight="1">
      <c r="A40" s="301">
        <v>1979</v>
      </c>
      <c r="B40" s="301" t="s">
        <v>244</v>
      </c>
      <c r="C40" s="314" t="s">
        <v>244</v>
      </c>
      <c r="D40" s="313">
        <v>26.03</v>
      </c>
      <c r="E40" s="314">
        <v>26.78</v>
      </c>
    </row>
    <row r="41" spans="1:5" ht="12" customHeight="1">
      <c r="A41" s="301">
        <v>1980</v>
      </c>
      <c r="B41" s="301" t="s">
        <v>244</v>
      </c>
      <c r="C41" s="314" t="s">
        <v>244</v>
      </c>
      <c r="D41" s="313">
        <v>16.59</v>
      </c>
      <c r="E41" s="314">
        <v>16.739999999999998</v>
      </c>
    </row>
    <row r="42" spans="1:5" ht="12" customHeight="1">
      <c r="A42" s="301">
        <v>1981</v>
      </c>
      <c r="B42" s="301" t="s">
        <v>244</v>
      </c>
      <c r="C42" s="314" t="s">
        <v>244</v>
      </c>
      <c r="D42" s="313">
        <v>23.57</v>
      </c>
      <c r="E42" s="314">
        <v>23.81</v>
      </c>
    </row>
    <row r="43" spans="1:5" ht="12" customHeight="1">
      <c r="A43" s="301">
        <v>1982</v>
      </c>
      <c r="B43" s="301" t="s">
        <v>244</v>
      </c>
      <c r="C43" s="312">
        <v>20</v>
      </c>
      <c r="D43" s="313">
        <v>25.32</v>
      </c>
      <c r="E43" s="316">
        <v>25.49</v>
      </c>
    </row>
    <row r="44" spans="1:5" ht="12" customHeight="1">
      <c r="A44" s="301">
        <v>1983</v>
      </c>
      <c r="B44" s="301" t="s">
        <v>244</v>
      </c>
      <c r="C44" s="314" t="s">
        <v>244</v>
      </c>
      <c r="D44" s="313" t="s">
        <v>244</v>
      </c>
      <c r="E44" s="314" t="s">
        <v>244</v>
      </c>
    </row>
    <row r="45" spans="1:5" ht="12" customHeight="1">
      <c r="A45" s="301">
        <v>1984</v>
      </c>
      <c r="B45" s="301" t="s">
        <v>244</v>
      </c>
      <c r="C45" s="312">
        <v>28</v>
      </c>
      <c r="D45" s="313" t="s">
        <v>244</v>
      </c>
      <c r="E45" s="314" t="s">
        <v>244</v>
      </c>
    </row>
    <row r="46" spans="1:5" ht="12" customHeight="1">
      <c r="A46" s="301">
        <v>1985</v>
      </c>
      <c r="B46" s="301" t="s">
        <v>244</v>
      </c>
      <c r="C46" s="312">
        <v>24.646000000000001</v>
      </c>
      <c r="D46" s="313" t="s">
        <v>244</v>
      </c>
      <c r="E46" s="314" t="s">
        <v>244</v>
      </c>
    </row>
    <row r="47" spans="1:5" ht="12" customHeight="1">
      <c r="A47" s="301">
        <v>1986</v>
      </c>
      <c r="B47" s="301" t="s">
        <v>244</v>
      </c>
      <c r="C47" s="312">
        <v>23.5</v>
      </c>
      <c r="D47" s="313">
        <v>14.85</v>
      </c>
      <c r="E47" s="314" t="s">
        <v>244</v>
      </c>
    </row>
    <row r="48" spans="1:5" ht="12" customHeight="1">
      <c r="A48" s="301">
        <v>1987</v>
      </c>
      <c r="B48" s="301" t="s">
        <v>244</v>
      </c>
      <c r="C48" s="312">
        <v>15.2</v>
      </c>
      <c r="D48" s="313">
        <v>14.82</v>
      </c>
      <c r="E48" s="314" t="s">
        <v>244</v>
      </c>
    </row>
    <row r="49" spans="1:5" ht="12" customHeight="1">
      <c r="A49" s="301">
        <v>1988</v>
      </c>
      <c r="B49" s="301" t="s">
        <v>244</v>
      </c>
      <c r="C49" s="314" t="s">
        <v>244</v>
      </c>
      <c r="D49" s="313">
        <v>13.95</v>
      </c>
      <c r="E49" s="314" t="s">
        <v>244</v>
      </c>
    </row>
    <row r="50" spans="1:5" ht="12" customHeight="1">
      <c r="A50" s="301">
        <v>1989</v>
      </c>
      <c r="B50" s="301" t="s">
        <v>244</v>
      </c>
      <c r="C50" s="314" t="s">
        <v>244</v>
      </c>
      <c r="D50" s="313">
        <v>15.18</v>
      </c>
      <c r="E50" s="314" t="s">
        <v>244</v>
      </c>
    </row>
    <row r="51" spans="1:5" ht="12" customHeight="1">
      <c r="A51" s="301">
        <v>1990</v>
      </c>
      <c r="B51" s="301" t="s">
        <v>244</v>
      </c>
      <c r="C51" s="314" t="s">
        <v>244</v>
      </c>
      <c r="D51" s="313">
        <v>15.33</v>
      </c>
      <c r="E51" s="314" t="s">
        <v>244</v>
      </c>
    </row>
    <row r="52" spans="1:5" ht="12" customHeight="1">
      <c r="A52" s="301">
        <v>1991</v>
      </c>
      <c r="B52" s="315">
        <v>16</v>
      </c>
      <c r="C52" s="314" t="s">
        <v>244</v>
      </c>
      <c r="D52" s="313">
        <v>13.63</v>
      </c>
      <c r="E52" s="314" t="s">
        <v>244</v>
      </c>
    </row>
    <row r="53" spans="1:5" ht="12" customHeight="1">
      <c r="A53" s="301">
        <v>1992</v>
      </c>
      <c r="B53" s="315">
        <v>13</v>
      </c>
      <c r="C53" s="312">
        <v>15.548</v>
      </c>
      <c r="D53" s="313">
        <v>11.7</v>
      </c>
      <c r="E53" s="314" t="s">
        <v>244</v>
      </c>
    </row>
    <row r="54" spans="1:5" ht="12" customHeight="1">
      <c r="A54" s="301">
        <v>1993</v>
      </c>
      <c r="B54" s="315">
        <v>11.461</v>
      </c>
      <c r="C54" s="314" t="s">
        <v>244</v>
      </c>
      <c r="D54" s="313">
        <v>7.54</v>
      </c>
      <c r="E54" s="317">
        <v>9.19</v>
      </c>
    </row>
    <row r="55" spans="1:5" ht="12" customHeight="1">
      <c r="A55" s="301">
        <v>1994</v>
      </c>
      <c r="B55" s="315">
        <v>9.0777422464375519</v>
      </c>
      <c r="C55" s="314" t="s">
        <v>244</v>
      </c>
      <c r="D55" s="313">
        <v>8.94</v>
      </c>
      <c r="E55" s="317">
        <v>11.6</v>
      </c>
    </row>
    <row r="56" spans="1:5" ht="12" customHeight="1">
      <c r="A56" s="301">
        <v>1995</v>
      </c>
      <c r="B56" s="315">
        <v>11.788420851528386</v>
      </c>
      <c r="C56" s="314" t="s">
        <v>244</v>
      </c>
      <c r="D56" s="313">
        <v>7.67</v>
      </c>
      <c r="E56" s="317">
        <v>10.029999999999999</v>
      </c>
    </row>
    <row r="57" spans="1:5" ht="12" customHeight="1" thickBot="1">
      <c r="A57" s="318"/>
      <c r="B57" s="306"/>
      <c r="C57" s="319"/>
      <c r="D57" s="320"/>
      <c r="E57" s="307"/>
    </row>
    <row r="58" spans="1:5" ht="12" customHeight="1">
      <c r="A58" s="321"/>
      <c r="B58" s="321"/>
      <c r="C58" s="321"/>
      <c r="D58" s="321"/>
      <c r="E58" s="321"/>
    </row>
    <row r="59" spans="1:5">
      <c r="A59" s="297" t="s">
        <v>631</v>
      </c>
    </row>
    <row r="60" spans="1:5">
      <c r="A60" s="297" t="s">
        <v>632</v>
      </c>
    </row>
    <row r="61" spans="1:5">
      <c r="A61" s="297" t="s">
        <v>633</v>
      </c>
    </row>
  </sheetData>
  <printOptions horizontalCentered="1" verticalCentered="1"/>
  <pageMargins left="0" right="0" top="0.98425196850393704" bottom="0.98425196850393704" header="0.51181102362204722" footer="0.51181102362204722"/>
  <pageSetup paperSize="9" scale="88" orientation="portrait" horizontalDpi="300" verticalDpi="300" r:id="rId1"/>
  <headerFooter alignWithMargins="0">
    <oddHeader>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091E-6D76-4905-91D0-354477D5B31A}">
  <dimension ref="A2:DB71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8" sqref="A8"/>
    </sheetView>
  </sheetViews>
  <sheetFormatPr defaultColWidth="10.26953125" defaultRowHeight="13"/>
  <cols>
    <col min="1" max="1" width="73.26953125" style="323" customWidth="1"/>
    <col min="2" max="19" width="12.7265625" style="323" customWidth="1"/>
    <col min="20" max="45" width="10.26953125" style="323" customWidth="1"/>
    <col min="46" max="46" width="11.453125" style="323" customWidth="1"/>
    <col min="47" max="256" width="10.26953125" style="323"/>
    <col min="257" max="257" width="73.26953125" style="323" customWidth="1"/>
    <col min="258" max="275" width="12.7265625" style="323" customWidth="1"/>
    <col min="276" max="301" width="10.26953125" style="323"/>
    <col min="302" max="302" width="11.453125" style="323" customWidth="1"/>
    <col min="303" max="512" width="10.26953125" style="323"/>
    <col min="513" max="513" width="73.26953125" style="323" customWidth="1"/>
    <col min="514" max="531" width="12.7265625" style="323" customWidth="1"/>
    <col min="532" max="557" width="10.26953125" style="323"/>
    <col min="558" max="558" width="11.453125" style="323" customWidth="1"/>
    <col min="559" max="768" width="10.26953125" style="323"/>
    <col min="769" max="769" width="73.26953125" style="323" customWidth="1"/>
    <col min="770" max="787" width="12.7265625" style="323" customWidth="1"/>
    <col min="788" max="813" width="10.26953125" style="323"/>
    <col min="814" max="814" width="11.453125" style="323" customWidth="1"/>
    <col min="815" max="1024" width="10.26953125" style="323"/>
    <col min="1025" max="1025" width="73.26953125" style="323" customWidth="1"/>
    <col min="1026" max="1043" width="12.7265625" style="323" customWidth="1"/>
    <col min="1044" max="1069" width="10.26953125" style="323"/>
    <col min="1070" max="1070" width="11.453125" style="323" customWidth="1"/>
    <col min="1071" max="1280" width="10.26953125" style="323"/>
    <col min="1281" max="1281" width="73.26953125" style="323" customWidth="1"/>
    <col min="1282" max="1299" width="12.7265625" style="323" customWidth="1"/>
    <col min="1300" max="1325" width="10.26953125" style="323"/>
    <col min="1326" max="1326" width="11.453125" style="323" customWidth="1"/>
    <col min="1327" max="1536" width="10.26953125" style="323"/>
    <col min="1537" max="1537" width="73.26953125" style="323" customWidth="1"/>
    <col min="1538" max="1555" width="12.7265625" style="323" customWidth="1"/>
    <col min="1556" max="1581" width="10.26953125" style="323"/>
    <col min="1582" max="1582" width="11.453125" style="323" customWidth="1"/>
    <col min="1583" max="1792" width="10.26953125" style="323"/>
    <col min="1793" max="1793" width="73.26953125" style="323" customWidth="1"/>
    <col min="1794" max="1811" width="12.7265625" style="323" customWidth="1"/>
    <col min="1812" max="1837" width="10.26953125" style="323"/>
    <col min="1838" max="1838" width="11.453125" style="323" customWidth="1"/>
    <col min="1839" max="2048" width="10.26953125" style="323"/>
    <col min="2049" max="2049" width="73.26953125" style="323" customWidth="1"/>
    <col min="2050" max="2067" width="12.7265625" style="323" customWidth="1"/>
    <col min="2068" max="2093" width="10.26953125" style="323"/>
    <col min="2094" max="2094" width="11.453125" style="323" customWidth="1"/>
    <col min="2095" max="2304" width="10.26953125" style="323"/>
    <col min="2305" max="2305" width="73.26953125" style="323" customWidth="1"/>
    <col min="2306" max="2323" width="12.7265625" style="323" customWidth="1"/>
    <col min="2324" max="2349" width="10.26953125" style="323"/>
    <col min="2350" max="2350" width="11.453125" style="323" customWidth="1"/>
    <col min="2351" max="2560" width="10.26953125" style="323"/>
    <col min="2561" max="2561" width="73.26953125" style="323" customWidth="1"/>
    <col min="2562" max="2579" width="12.7265625" style="323" customWidth="1"/>
    <col min="2580" max="2605" width="10.26953125" style="323"/>
    <col min="2606" max="2606" width="11.453125" style="323" customWidth="1"/>
    <col min="2607" max="2816" width="10.26953125" style="323"/>
    <col min="2817" max="2817" width="73.26953125" style="323" customWidth="1"/>
    <col min="2818" max="2835" width="12.7265625" style="323" customWidth="1"/>
    <col min="2836" max="2861" width="10.26953125" style="323"/>
    <col min="2862" max="2862" width="11.453125" style="323" customWidth="1"/>
    <col min="2863" max="3072" width="10.26953125" style="323"/>
    <col min="3073" max="3073" width="73.26953125" style="323" customWidth="1"/>
    <col min="3074" max="3091" width="12.7265625" style="323" customWidth="1"/>
    <col min="3092" max="3117" width="10.26953125" style="323"/>
    <col min="3118" max="3118" width="11.453125" style="323" customWidth="1"/>
    <col min="3119" max="3328" width="10.26953125" style="323"/>
    <col min="3329" max="3329" width="73.26953125" style="323" customWidth="1"/>
    <col min="3330" max="3347" width="12.7265625" style="323" customWidth="1"/>
    <col min="3348" max="3373" width="10.26953125" style="323"/>
    <col min="3374" max="3374" width="11.453125" style="323" customWidth="1"/>
    <col min="3375" max="3584" width="10.26953125" style="323"/>
    <col min="3585" max="3585" width="73.26953125" style="323" customWidth="1"/>
    <col min="3586" max="3603" width="12.7265625" style="323" customWidth="1"/>
    <col min="3604" max="3629" width="10.26953125" style="323"/>
    <col min="3630" max="3630" width="11.453125" style="323" customWidth="1"/>
    <col min="3631" max="3840" width="10.26953125" style="323"/>
    <col min="3841" max="3841" width="73.26953125" style="323" customWidth="1"/>
    <col min="3842" max="3859" width="12.7265625" style="323" customWidth="1"/>
    <col min="3860" max="3885" width="10.26953125" style="323"/>
    <col min="3886" max="3886" width="11.453125" style="323" customWidth="1"/>
    <col min="3887" max="4096" width="10.26953125" style="323"/>
    <col min="4097" max="4097" width="73.26953125" style="323" customWidth="1"/>
    <col min="4098" max="4115" width="12.7265625" style="323" customWidth="1"/>
    <col min="4116" max="4141" width="10.26953125" style="323"/>
    <col min="4142" max="4142" width="11.453125" style="323" customWidth="1"/>
    <col min="4143" max="4352" width="10.26953125" style="323"/>
    <col min="4353" max="4353" width="73.26953125" style="323" customWidth="1"/>
    <col min="4354" max="4371" width="12.7265625" style="323" customWidth="1"/>
    <col min="4372" max="4397" width="10.26953125" style="323"/>
    <col min="4398" max="4398" width="11.453125" style="323" customWidth="1"/>
    <col min="4399" max="4608" width="10.26953125" style="323"/>
    <col min="4609" max="4609" width="73.26953125" style="323" customWidth="1"/>
    <col min="4610" max="4627" width="12.7265625" style="323" customWidth="1"/>
    <col min="4628" max="4653" width="10.26953125" style="323"/>
    <col min="4654" max="4654" width="11.453125" style="323" customWidth="1"/>
    <col min="4655" max="4864" width="10.26953125" style="323"/>
    <col min="4865" max="4865" width="73.26953125" style="323" customWidth="1"/>
    <col min="4866" max="4883" width="12.7265625" style="323" customWidth="1"/>
    <col min="4884" max="4909" width="10.26953125" style="323"/>
    <col min="4910" max="4910" width="11.453125" style="323" customWidth="1"/>
    <col min="4911" max="5120" width="10.26953125" style="323"/>
    <col min="5121" max="5121" width="73.26953125" style="323" customWidth="1"/>
    <col min="5122" max="5139" width="12.7265625" style="323" customWidth="1"/>
    <col min="5140" max="5165" width="10.26953125" style="323"/>
    <col min="5166" max="5166" width="11.453125" style="323" customWidth="1"/>
    <col min="5167" max="5376" width="10.26953125" style="323"/>
    <col min="5377" max="5377" width="73.26953125" style="323" customWidth="1"/>
    <col min="5378" max="5395" width="12.7265625" style="323" customWidth="1"/>
    <col min="5396" max="5421" width="10.26953125" style="323"/>
    <col min="5422" max="5422" width="11.453125" style="323" customWidth="1"/>
    <col min="5423" max="5632" width="10.26953125" style="323"/>
    <col min="5633" max="5633" width="73.26953125" style="323" customWidth="1"/>
    <col min="5634" max="5651" width="12.7265625" style="323" customWidth="1"/>
    <col min="5652" max="5677" width="10.26953125" style="323"/>
    <col min="5678" max="5678" width="11.453125" style="323" customWidth="1"/>
    <col min="5679" max="5888" width="10.26953125" style="323"/>
    <col min="5889" max="5889" width="73.26953125" style="323" customWidth="1"/>
    <col min="5890" max="5907" width="12.7265625" style="323" customWidth="1"/>
    <col min="5908" max="5933" width="10.26953125" style="323"/>
    <col min="5934" max="5934" width="11.453125" style="323" customWidth="1"/>
    <col min="5935" max="6144" width="10.26953125" style="323"/>
    <col min="6145" max="6145" width="73.26953125" style="323" customWidth="1"/>
    <col min="6146" max="6163" width="12.7265625" style="323" customWidth="1"/>
    <col min="6164" max="6189" width="10.26953125" style="323"/>
    <col min="6190" max="6190" width="11.453125" style="323" customWidth="1"/>
    <col min="6191" max="6400" width="10.26953125" style="323"/>
    <col min="6401" max="6401" width="73.26953125" style="323" customWidth="1"/>
    <col min="6402" max="6419" width="12.7265625" style="323" customWidth="1"/>
    <col min="6420" max="6445" width="10.26953125" style="323"/>
    <col min="6446" max="6446" width="11.453125" style="323" customWidth="1"/>
    <col min="6447" max="6656" width="10.26953125" style="323"/>
    <col min="6657" max="6657" width="73.26953125" style="323" customWidth="1"/>
    <col min="6658" max="6675" width="12.7265625" style="323" customWidth="1"/>
    <col min="6676" max="6701" width="10.26953125" style="323"/>
    <col min="6702" max="6702" width="11.453125" style="323" customWidth="1"/>
    <col min="6703" max="6912" width="10.26953125" style="323"/>
    <col min="6913" max="6913" width="73.26953125" style="323" customWidth="1"/>
    <col min="6914" max="6931" width="12.7265625" style="323" customWidth="1"/>
    <col min="6932" max="6957" width="10.26953125" style="323"/>
    <col min="6958" max="6958" width="11.453125" style="323" customWidth="1"/>
    <col min="6959" max="7168" width="10.26953125" style="323"/>
    <col min="7169" max="7169" width="73.26953125" style="323" customWidth="1"/>
    <col min="7170" max="7187" width="12.7265625" style="323" customWidth="1"/>
    <col min="7188" max="7213" width="10.26953125" style="323"/>
    <col min="7214" max="7214" width="11.453125" style="323" customWidth="1"/>
    <col min="7215" max="7424" width="10.26953125" style="323"/>
    <col min="7425" max="7425" width="73.26953125" style="323" customWidth="1"/>
    <col min="7426" max="7443" width="12.7265625" style="323" customWidth="1"/>
    <col min="7444" max="7469" width="10.26953125" style="323"/>
    <col min="7470" max="7470" width="11.453125" style="323" customWidth="1"/>
    <col min="7471" max="7680" width="10.26953125" style="323"/>
    <col min="7681" max="7681" width="73.26953125" style="323" customWidth="1"/>
    <col min="7682" max="7699" width="12.7265625" style="323" customWidth="1"/>
    <col min="7700" max="7725" width="10.26953125" style="323"/>
    <col min="7726" max="7726" width="11.453125" style="323" customWidth="1"/>
    <col min="7727" max="7936" width="10.26953125" style="323"/>
    <col min="7937" max="7937" width="73.26953125" style="323" customWidth="1"/>
    <col min="7938" max="7955" width="12.7265625" style="323" customWidth="1"/>
    <col min="7956" max="7981" width="10.26953125" style="323"/>
    <col min="7982" max="7982" width="11.453125" style="323" customWidth="1"/>
    <col min="7983" max="8192" width="10.26953125" style="323"/>
    <col min="8193" max="8193" width="73.26953125" style="323" customWidth="1"/>
    <col min="8194" max="8211" width="12.7265625" style="323" customWidth="1"/>
    <col min="8212" max="8237" width="10.26953125" style="323"/>
    <col min="8238" max="8238" width="11.453125" style="323" customWidth="1"/>
    <col min="8239" max="8448" width="10.26953125" style="323"/>
    <col min="8449" max="8449" width="73.26953125" style="323" customWidth="1"/>
    <col min="8450" max="8467" width="12.7265625" style="323" customWidth="1"/>
    <col min="8468" max="8493" width="10.26953125" style="323"/>
    <col min="8494" max="8494" width="11.453125" style="323" customWidth="1"/>
    <col min="8495" max="8704" width="10.26953125" style="323"/>
    <col min="8705" max="8705" width="73.26953125" style="323" customWidth="1"/>
    <col min="8706" max="8723" width="12.7265625" style="323" customWidth="1"/>
    <col min="8724" max="8749" width="10.26953125" style="323"/>
    <col min="8750" max="8750" width="11.453125" style="323" customWidth="1"/>
    <col min="8751" max="8960" width="10.26953125" style="323"/>
    <col min="8961" max="8961" width="73.26953125" style="323" customWidth="1"/>
    <col min="8962" max="8979" width="12.7265625" style="323" customWidth="1"/>
    <col min="8980" max="9005" width="10.26953125" style="323"/>
    <col min="9006" max="9006" width="11.453125" style="323" customWidth="1"/>
    <col min="9007" max="9216" width="10.26953125" style="323"/>
    <col min="9217" max="9217" width="73.26953125" style="323" customWidth="1"/>
    <col min="9218" max="9235" width="12.7265625" style="323" customWidth="1"/>
    <col min="9236" max="9261" width="10.26953125" style="323"/>
    <col min="9262" max="9262" width="11.453125" style="323" customWidth="1"/>
    <col min="9263" max="9472" width="10.26953125" style="323"/>
    <col min="9473" max="9473" width="73.26953125" style="323" customWidth="1"/>
    <col min="9474" max="9491" width="12.7265625" style="323" customWidth="1"/>
    <col min="9492" max="9517" width="10.26953125" style="323"/>
    <col min="9518" max="9518" width="11.453125" style="323" customWidth="1"/>
    <col min="9519" max="9728" width="10.26953125" style="323"/>
    <col min="9729" max="9729" width="73.26953125" style="323" customWidth="1"/>
    <col min="9730" max="9747" width="12.7265625" style="323" customWidth="1"/>
    <col min="9748" max="9773" width="10.26953125" style="323"/>
    <col min="9774" max="9774" width="11.453125" style="323" customWidth="1"/>
    <col min="9775" max="9984" width="10.26953125" style="323"/>
    <col min="9985" max="9985" width="73.26953125" style="323" customWidth="1"/>
    <col min="9986" max="10003" width="12.7265625" style="323" customWidth="1"/>
    <col min="10004" max="10029" width="10.26953125" style="323"/>
    <col min="10030" max="10030" width="11.453125" style="323" customWidth="1"/>
    <col min="10031" max="10240" width="10.26953125" style="323"/>
    <col min="10241" max="10241" width="73.26953125" style="323" customWidth="1"/>
    <col min="10242" max="10259" width="12.7265625" style="323" customWidth="1"/>
    <col min="10260" max="10285" width="10.26953125" style="323"/>
    <col min="10286" max="10286" width="11.453125" style="323" customWidth="1"/>
    <col min="10287" max="10496" width="10.26953125" style="323"/>
    <col min="10497" max="10497" width="73.26953125" style="323" customWidth="1"/>
    <col min="10498" max="10515" width="12.7265625" style="323" customWidth="1"/>
    <col min="10516" max="10541" width="10.26953125" style="323"/>
    <col min="10542" max="10542" width="11.453125" style="323" customWidth="1"/>
    <col min="10543" max="10752" width="10.26953125" style="323"/>
    <col min="10753" max="10753" width="73.26953125" style="323" customWidth="1"/>
    <col min="10754" max="10771" width="12.7265625" style="323" customWidth="1"/>
    <col min="10772" max="10797" width="10.26953125" style="323"/>
    <col min="10798" max="10798" width="11.453125" style="323" customWidth="1"/>
    <col min="10799" max="11008" width="10.26953125" style="323"/>
    <col min="11009" max="11009" width="73.26953125" style="323" customWidth="1"/>
    <col min="11010" max="11027" width="12.7265625" style="323" customWidth="1"/>
    <col min="11028" max="11053" width="10.26953125" style="323"/>
    <col min="11054" max="11054" width="11.453125" style="323" customWidth="1"/>
    <col min="11055" max="11264" width="10.26953125" style="323"/>
    <col min="11265" max="11265" width="73.26953125" style="323" customWidth="1"/>
    <col min="11266" max="11283" width="12.7265625" style="323" customWidth="1"/>
    <col min="11284" max="11309" width="10.26953125" style="323"/>
    <col min="11310" max="11310" width="11.453125" style="323" customWidth="1"/>
    <col min="11311" max="11520" width="10.26953125" style="323"/>
    <col min="11521" max="11521" width="73.26953125" style="323" customWidth="1"/>
    <col min="11522" max="11539" width="12.7265625" style="323" customWidth="1"/>
    <col min="11540" max="11565" width="10.26953125" style="323"/>
    <col min="11566" max="11566" width="11.453125" style="323" customWidth="1"/>
    <col min="11567" max="11776" width="10.26953125" style="323"/>
    <col min="11777" max="11777" width="73.26953125" style="323" customWidth="1"/>
    <col min="11778" max="11795" width="12.7265625" style="323" customWidth="1"/>
    <col min="11796" max="11821" width="10.26953125" style="323"/>
    <col min="11822" max="11822" width="11.453125" style="323" customWidth="1"/>
    <col min="11823" max="12032" width="10.26953125" style="323"/>
    <col min="12033" max="12033" width="73.26953125" style="323" customWidth="1"/>
    <col min="12034" max="12051" width="12.7265625" style="323" customWidth="1"/>
    <col min="12052" max="12077" width="10.26953125" style="323"/>
    <col min="12078" max="12078" width="11.453125" style="323" customWidth="1"/>
    <col min="12079" max="12288" width="10.26953125" style="323"/>
    <col min="12289" max="12289" width="73.26953125" style="323" customWidth="1"/>
    <col min="12290" max="12307" width="12.7265625" style="323" customWidth="1"/>
    <col min="12308" max="12333" width="10.26953125" style="323"/>
    <col min="12334" max="12334" width="11.453125" style="323" customWidth="1"/>
    <col min="12335" max="12544" width="10.26953125" style="323"/>
    <col min="12545" max="12545" width="73.26953125" style="323" customWidth="1"/>
    <col min="12546" max="12563" width="12.7265625" style="323" customWidth="1"/>
    <col min="12564" max="12589" width="10.26953125" style="323"/>
    <col min="12590" max="12590" width="11.453125" style="323" customWidth="1"/>
    <col min="12591" max="12800" width="10.26953125" style="323"/>
    <col min="12801" max="12801" width="73.26953125" style="323" customWidth="1"/>
    <col min="12802" max="12819" width="12.7265625" style="323" customWidth="1"/>
    <col min="12820" max="12845" width="10.26953125" style="323"/>
    <col min="12846" max="12846" width="11.453125" style="323" customWidth="1"/>
    <col min="12847" max="13056" width="10.26953125" style="323"/>
    <col min="13057" max="13057" width="73.26953125" style="323" customWidth="1"/>
    <col min="13058" max="13075" width="12.7265625" style="323" customWidth="1"/>
    <col min="13076" max="13101" width="10.26953125" style="323"/>
    <col min="13102" max="13102" width="11.453125" style="323" customWidth="1"/>
    <col min="13103" max="13312" width="10.26953125" style="323"/>
    <col min="13313" max="13313" width="73.26953125" style="323" customWidth="1"/>
    <col min="13314" max="13331" width="12.7265625" style="323" customWidth="1"/>
    <col min="13332" max="13357" width="10.26953125" style="323"/>
    <col min="13358" max="13358" width="11.453125" style="323" customWidth="1"/>
    <col min="13359" max="13568" width="10.26953125" style="323"/>
    <col min="13569" max="13569" width="73.26953125" style="323" customWidth="1"/>
    <col min="13570" max="13587" width="12.7265625" style="323" customWidth="1"/>
    <col min="13588" max="13613" width="10.26953125" style="323"/>
    <col min="13614" max="13614" width="11.453125" style="323" customWidth="1"/>
    <col min="13615" max="13824" width="10.26953125" style="323"/>
    <col min="13825" max="13825" width="73.26953125" style="323" customWidth="1"/>
    <col min="13826" max="13843" width="12.7265625" style="323" customWidth="1"/>
    <col min="13844" max="13869" width="10.26953125" style="323"/>
    <col min="13870" max="13870" width="11.453125" style="323" customWidth="1"/>
    <col min="13871" max="14080" width="10.26953125" style="323"/>
    <col min="14081" max="14081" width="73.26953125" style="323" customWidth="1"/>
    <col min="14082" max="14099" width="12.7265625" style="323" customWidth="1"/>
    <col min="14100" max="14125" width="10.26953125" style="323"/>
    <col min="14126" max="14126" width="11.453125" style="323" customWidth="1"/>
    <col min="14127" max="14336" width="10.26953125" style="323"/>
    <col min="14337" max="14337" width="73.26953125" style="323" customWidth="1"/>
    <col min="14338" max="14355" width="12.7265625" style="323" customWidth="1"/>
    <col min="14356" max="14381" width="10.26953125" style="323"/>
    <col min="14382" max="14382" width="11.453125" style="323" customWidth="1"/>
    <col min="14383" max="14592" width="10.26953125" style="323"/>
    <col min="14593" max="14593" width="73.26953125" style="323" customWidth="1"/>
    <col min="14594" max="14611" width="12.7265625" style="323" customWidth="1"/>
    <col min="14612" max="14637" width="10.26953125" style="323"/>
    <col min="14638" max="14638" width="11.453125" style="323" customWidth="1"/>
    <col min="14639" max="14848" width="10.26953125" style="323"/>
    <col min="14849" max="14849" width="73.26953125" style="323" customWidth="1"/>
    <col min="14850" max="14867" width="12.7265625" style="323" customWidth="1"/>
    <col min="14868" max="14893" width="10.26953125" style="323"/>
    <col min="14894" max="14894" width="11.453125" style="323" customWidth="1"/>
    <col min="14895" max="15104" width="10.26953125" style="323"/>
    <col min="15105" max="15105" width="73.26953125" style="323" customWidth="1"/>
    <col min="15106" max="15123" width="12.7265625" style="323" customWidth="1"/>
    <col min="15124" max="15149" width="10.26953125" style="323"/>
    <col min="15150" max="15150" width="11.453125" style="323" customWidth="1"/>
    <col min="15151" max="15360" width="10.26953125" style="323"/>
    <col min="15361" max="15361" width="73.26953125" style="323" customWidth="1"/>
    <col min="15362" max="15379" width="12.7265625" style="323" customWidth="1"/>
    <col min="15380" max="15405" width="10.26953125" style="323"/>
    <col min="15406" max="15406" width="11.453125" style="323" customWidth="1"/>
    <col min="15407" max="15616" width="10.26953125" style="323"/>
    <col min="15617" max="15617" width="73.26953125" style="323" customWidth="1"/>
    <col min="15618" max="15635" width="12.7265625" style="323" customWidth="1"/>
    <col min="15636" max="15661" width="10.26953125" style="323"/>
    <col min="15662" max="15662" width="11.453125" style="323" customWidth="1"/>
    <col min="15663" max="15872" width="10.26953125" style="323"/>
    <col min="15873" max="15873" width="73.26953125" style="323" customWidth="1"/>
    <col min="15874" max="15891" width="12.7265625" style="323" customWidth="1"/>
    <col min="15892" max="15917" width="10.26953125" style="323"/>
    <col min="15918" max="15918" width="11.453125" style="323" customWidth="1"/>
    <col min="15919" max="16128" width="10.26953125" style="323"/>
    <col min="16129" max="16129" width="73.26953125" style="323" customWidth="1"/>
    <col min="16130" max="16147" width="12.7265625" style="323" customWidth="1"/>
    <col min="16148" max="16173" width="10.26953125" style="323"/>
    <col min="16174" max="16174" width="11.453125" style="323" customWidth="1"/>
    <col min="16175" max="16384" width="10.26953125" style="323"/>
  </cols>
  <sheetData>
    <row r="2" spans="1:106">
      <c r="A2" s="322" t="s">
        <v>634</v>
      </c>
    </row>
    <row r="3" spans="1:106">
      <c r="A3" s="322" t="s">
        <v>635</v>
      </c>
    </row>
    <row r="4" spans="1:106">
      <c r="A4" s="323" t="s">
        <v>192</v>
      </c>
    </row>
    <row r="5" spans="1:106" ht="13.5" thickBot="1"/>
    <row r="6" spans="1:106" ht="15.75" customHeight="1" thickBot="1">
      <c r="A6" s="324"/>
      <c r="B6" s="325">
        <v>1948</v>
      </c>
      <c r="C6" s="326">
        <v>1949</v>
      </c>
      <c r="D6" s="326">
        <v>1950</v>
      </c>
      <c r="E6" s="326">
        <v>1951</v>
      </c>
      <c r="F6" s="326">
        <v>1952</v>
      </c>
      <c r="G6" s="326">
        <v>1953</v>
      </c>
      <c r="H6" s="326">
        <v>1954</v>
      </c>
      <c r="I6" s="326">
        <v>1955</v>
      </c>
      <c r="J6" s="325">
        <v>1956</v>
      </c>
      <c r="K6" s="325">
        <v>1957</v>
      </c>
      <c r="L6" s="326">
        <v>1958</v>
      </c>
      <c r="M6" s="326">
        <v>1959</v>
      </c>
      <c r="N6" s="326">
        <v>1960</v>
      </c>
      <c r="O6" s="326">
        <v>1961</v>
      </c>
      <c r="P6" s="326">
        <v>1962</v>
      </c>
      <c r="Q6" s="326">
        <v>1963</v>
      </c>
      <c r="R6" s="326">
        <v>1964</v>
      </c>
      <c r="S6" s="326">
        <v>1965</v>
      </c>
      <c r="T6" s="326">
        <v>1966</v>
      </c>
      <c r="U6" s="326">
        <v>1967</v>
      </c>
      <c r="V6" s="326">
        <v>1968</v>
      </c>
      <c r="W6" s="326">
        <v>1969</v>
      </c>
      <c r="X6" s="326">
        <v>1970</v>
      </c>
      <c r="Y6" s="326">
        <v>1971</v>
      </c>
      <c r="Z6" s="326">
        <v>1972</v>
      </c>
      <c r="AA6" s="326">
        <v>1973</v>
      </c>
      <c r="AB6" s="326">
        <v>1974</v>
      </c>
      <c r="AC6" s="326">
        <v>1975</v>
      </c>
      <c r="AD6" s="326">
        <v>1976</v>
      </c>
      <c r="AE6" s="326">
        <v>1977</v>
      </c>
      <c r="AF6" s="326">
        <v>1978</v>
      </c>
      <c r="AG6" s="326">
        <v>1979</v>
      </c>
      <c r="AH6" s="326">
        <v>1980</v>
      </c>
      <c r="AI6" s="326">
        <v>1981</v>
      </c>
      <c r="AJ6" s="326">
        <v>1982</v>
      </c>
      <c r="AK6" s="326">
        <v>1983</v>
      </c>
      <c r="AL6" s="326">
        <v>1984</v>
      </c>
      <c r="AM6" s="326">
        <v>1985</v>
      </c>
      <c r="AN6" s="326">
        <v>1986</v>
      </c>
      <c r="AO6" s="326">
        <v>1987</v>
      </c>
      <c r="AP6" s="326">
        <v>1988</v>
      </c>
      <c r="AQ6" s="326">
        <v>1989</v>
      </c>
      <c r="AR6" s="326">
        <v>1990</v>
      </c>
      <c r="AS6" s="326">
        <v>1991</v>
      </c>
      <c r="AT6" s="326">
        <v>1992</v>
      </c>
      <c r="AU6" s="326">
        <v>1993</v>
      </c>
      <c r="AV6" s="326">
        <v>1994</v>
      </c>
      <c r="AW6" s="326">
        <v>1995</v>
      </c>
    </row>
    <row r="7" spans="1:106" ht="15" customHeight="1">
      <c r="A7" s="327" t="s">
        <v>636</v>
      </c>
      <c r="B7" s="47">
        <v>-4157.3285254321099</v>
      </c>
      <c r="C7" s="42">
        <v>-3128.798483388945</v>
      </c>
      <c r="D7" s="328">
        <v>-345.01146381868784</v>
      </c>
      <c r="E7" s="328">
        <v>15.260888253029407</v>
      </c>
      <c r="F7" s="328">
        <v>-1623.4669327872471</v>
      </c>
      <c r="G7" s="42">
        <v>-1572.8158269352298</v>
      </c>
      <c r="H7" s="42">
        <v>-1101.6578379270395</v>
      </c>
      <c r="I7" s="42">
        <v>-1331.4048377380404</v>
      </c>
      <c r="J7" s="47">
        <v>-881.33961032541447</v>
      </c>
      <c r="K7" s="47">
        <v>-1808.6603165344823</v>
      </c>
      <c r="L7" s="328">
        <v>-535.86318462035342</v>
      </c>
      <c r="M7" s="328">
        <v>-887.65151076558141</v>
      </c>
      <c r="N7" s="328">
        <v>-1700.7553100590158</v>
      </c>
      <c r="O7" s="42">
        <v>-7870.2705332074001</v>
      </c>
      <c r="P7" s="42">
        <v>-1192.3429998631</v>
      </c>
      <c r="Q7" s="42">
        <v>-1316.9701595358347</v>
      </c>
      <c r="R7" s="42">
        <v>56.465602636621043</v>
      </c>
      <c r="S7" s="42">
        <v>-459.91218007496354</v>
      </c>
      <c r="T7" s="42">
        <v>1923.7221293299153</v>
      </c>
      <c r="U7" s="42">
        <v>4866.0442938238994</v>
      </c>
      <c r="V7" s="42">
        <v>1193.2591616403515</v>
      </c>
      <c r="W7" s="42">
        <v>4693.4521134160605</v>
      </c>
      <c r="X7" s="42">
        <v>1713.2392375543423</v>
      </c>
      <c r="Y7" s="42">
        <v>3893.9916313235008</v>
      </c>
      <c r="Z7" s="42">
        <v>8627.4051241248526</v>
      </c>
      <c r="AA7" s="42">
        <v>6549.7942710227799</v>
      </c>
      <c r="AB7" s="42">
        <v>-24506.687313679649</v>
      </c>
      <c r="AC7" s="42">
        <v>-25100.92661921859</v>
      </c>
      <c r="AD7" s="42">
        <v>-43958.965023942641</v>
      </c>
      <c r="AE7" s="42">
        <v>-60517.917231032392</v>
      </c>
      <c r="AF7" s="42">
        <v>-35718.768210914684</v>
      </c>
      <c r="AG7" s="42">
        <v>1151.4246456939145</v>
      </c>
      <c r="AH7" s="42">
        <v>-69179.104810729506</v>
      </c>
      <c r="AI7" s="42">
        <v>-191703.01516585751</v>
      </c>
      <c r="AJ7" s="42">
        <v>-276462.65416638961</v>
      </c>
      <c r="AK7" s="42">
        <v>-196300.74401776562</v>
      </c>
      <c r="AL7" s="42">
        <v>-122847.69205936021</v>
      </c>
      <c r="AM7" s="42">
        <v>21037.379742791178</v>
      </c>
      <c r="AN7" s="42">
        <v>174994.57576368586</v>
      </c>
      <c r="AO7" s="42">
        <v>90757.913139114622</v>
      </c>
      <c r="AP7" s="42">
        <v>-129442.61631403398</v>
      </c>
      <c r="AQ7" s="42">
        <v>87595.970331320539</v>
      </c>
      <c r="AR7" s="42">
        <v>45812.48374318704</v>
      </c>
      <c r="AS7" s="42">
        <v>-103767</v>
      </c>
      <c r="AT7" s="42">
        <v>-39836</v>
      </c>
      <c r="AU7" s="42">
        <v>1319.6022292999551</v>
      </c>
      <c r="AV7" s="42">
        <v>-331822.03999999998</v>
      </c>
      <c r="AW7" s="42">
        <v>-23668</v>
      </c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</row>
    <row r="8" spans="1:106">
      <c r="A8" s="327"/>
      <c r="B8" s="47"/>
      <c r="C8" s="42"/>
      <c r="D8" s="42"/>
      <c r="E8" s="42"/>
      <c r="F8" s="42"/>
      <c r="G8" s="42"/>
      <c r="H8" s="42"/>
      <c r="I8" s="42"/>
      <c r="J8" s="47"/>
      <c r="K8" s="47"/>
      <c r="L8" s="42"/>
      <c r="M8" s="42"/>
      <c r="N8" s="42"/>
      <c r="O8" s="42"/>
      <c r="P8" s="42"/>
      <c r="Q8" s="42"/>
      <c r="R8" s="42"/>
      <c r="S8" s="42" t="s">
        <v>637</v>
      </c>
      <c r="T8" s="42" t="s">
        <v>637</v>
      </c>
      <c r="U8" s="42" t="s">
        <v>637</v>
      </c>
      <c r="V8" s="42" t="s">
        <v>637</v>
      </c>
      <c r="W8" s="42" t="s">
        <v>637</v>
      </c>
      <c r="X8" s="42" t="s">
        <v>637</v>
      </c>
      <c r="Y8" s="42" t="s">
        <v>637</v>
      </c>
      <c r="Z8" s="42" t="s">
        <v>637</v>
      </c>
      <c r="AA8" s="42" t="s">
        <v>637</v>
      </c>
      <c r="AB8" s="42" t="s">
        <v>637</v>
      </c>
      <c r="AC8" s="42" t="s">
        <v>637</v>
      </c>
      <c r="AD8" s="42" t="s">
        <v>637</v>
      </c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</row>
    <row r="9" spans="1:106" ht="14.25" customHeight="1">
      <c r="A9" s="327" t="s">
        <v>638</v>
      </c>
      <c r="B9" s="329">
        <v>895.32852543210993</v>
      </c>
      <c r="C9" s="330">
        <v>3044.0761614260487</v>
      </c>
      <c r="D9" s="330">
        <v>1530.5503239223149</v>
      </c>
      <c r="E9" s="330">
        <v>2327.7391117469706</v>
      </c>
      <c r="F9" s="330">
        <v>2118.4669327872471</v>
      </c>
      <c r="G9" s="330">
        <v>3547.8158269352298</v>
      </c>
      <c r="H9" s="330">
        <v>2526.6578379270395</v>
      </c>
      <c r="I9" s="330">
        <v>1765.4048377380404</v>
      </c>
      <c r="J9" s="329">
        <v>1889.3396103254145</v>
      </c>
      <c r="K9" s="329">
        <v>1900.6603165344823</v>
      </c>
      <c r="L9" s="330">
        <v>730.86318462035331</v>
      </c>
      <c r="M9" s="330">
        <v>1262.2764242603912</v>
      </c>
      <c r="N9" s="330">
        <v>1578.9629339383678</v>
      </c>
      <c r="O9" s="330">
        <v>5493.6990560390877</v>
      </c>
      <c r="P9" s="330">
        <v>6233.5118054665672</v>
      </c>
      <c r="Q9" s="330">
        <v>3183.7725962944887</v>
      </c>
      <c r="R9" s="330">
        <v>3081.354392256123</v>
      </c>
      <c r="S9" s="42">
        <v>1011.6767695068978</v>
      </c>
      <c r="T9" s="42">
        <v>2330.0827162206415</v>
      </c>
      <c r="U9" s="42">
        <v>885.86373213369211</v>
      </c>
      <c r="V9" s="42">
        <v>3571.5620059565331</v>
      </c>
      <c r="W9" s="42">
        <v>-879.56351287289681</v>
      </c>
      <c r="X9" s="42">
        <v>850.65166379895845</v>
      </c>
      <c r="Y9" s="42">
        <v>5522.4697381696105</v>
      </c>
      <c r="Z9" s="42">
        <v>431.85503635128725</v>
      </c>
      <c r="AA9" s="42">
        <v>6539.2103110092921</v>
      </c>
      <c r="AB9" s="42">
        <v>13174.688798067109</v>
      </c>
      <c r="AC9" s="42">
        <v>4467.7937492492165</v>
      </c>
      <c r="AD9" s="42">
        <v>10675.368545589163</v>
      </c>
      <c r="AE9" s="42">
        <v>1042.7778555075129</v>
      </c>
      <c r="AF9" s="42">
        <v>45074.766808500914</v>
      </c>
      <c r="AG9" s="42">
        <v>37205.283296950118</v>
      </c>
      <c r="AH9" s="42">
        <v>104179.24455420786</v>
      </c>
      <c r="AI9" s="42">
        <v>180483.09468572441</v>
      </c>
      <c r="AJ9" s="42">
        <v>283684.43319702725</v>
      </c>
      <c r="AK9" s="42">
        <v>108984.97616803658</v>
      </c>
      <c r="AL9" s="42">
        <v>182168.34781835094</v>
      </c>
      <c r="AM9" s="42">
        <v>146814.84251815738</v>
      </c>
      <c r="AN9" s="42">
        <v>-208055.31986408765</v>
      </c>
      <c r="AO9" s="42">
        <v>175826.18866999028</v>
      </c>
      <c r="AP9" s="42">
        <v>321717.701993656</v>
      </c>
      <c r="AQ9" s="42">
        <v>461518.74497802166</v>
      </c>
      <c r="AR9" s="42">
        <v>447247.5067184972</v>
      </c>
      <c r="AS9" s="42">
        <v>689030</v>
      </c>
      <c r="AT9" s="42">
        <v>285045</v>
      </c>
      <c r="AU9" s="42">
        <v>453777.39777070004</v>
      </c>
      <c r="AV9" s="42">
        <v>-366519.96</v>
      </c>
      <c r="AW9" s="42">
        <v>-714206</v>
      </c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</row>
    <row r="10" spans="1:106" ht="15.75" customHeight="1">
      <c r="A10" s="331" t="s">
        <v>639</v>
      </c>
      <c r="B10" s="332" t="s">
        <v>640</v>
      </c>
      <c r="C10" s="52" t="s">
        <v>640</v>
      </c>
      <c r="D10" s="52" t="s">
        <v>640</v>
      </c>
      <c r="E10" s="52" t="s">
        <v>640</v>
      </c>
      <c r="F10" s="52" t="s">
        <v>640</v>
      </c>
      <c r="G10" s="52" t="s">
        <v>640</v>
      </c>
      <c r="H10" s="52" t="s">
        <v>640</v>
      </c>
      <c r="I10" s="52" t="s">
        <v>640</v>
      </c>
      <c r="J10" s="332" t="s">
        <v>640</v>
      </c>
      <c r="K10" s="332" t="s">
        <v>640</v>
      </c>
      <c r="L10" s="52" t="s">
        <v>640</v>
      </c>
      <c r="M10" s="52" t="s">
        <v>640</v>
      </c>
      <c r="N10" s="52" t="s">
        <v>640</v>
      </c>
      <c r="O10" s="52" t="s">
        <v>640</v>
      </c>
      <c r="P10" s="52" t="s">
        <v>640</v>
      </c>
      <c r="Q10" s="52" t="s">
        <v>640</v>
      </c>
      <c r="R10" s="52" t="s">
        <v>640</v>
      </c>
      <c r="S10" s="42">
        <v>1002.1990000000001</v>
      </c>
      <c r="T10" s="42">
        <v>3243.5330000000004</v>
      </c>
      <c r="U10" s="42">
        <v>2402.2280000000001</v>
      </c>
      <c r="V10" s="42">
        <v>2644.5959999999995</v>
      </c>
      <c r="W10" s="42">
        <v>-793.52299999999968</v>
      </c>
      <c r="X10" s="42">
        <v>-103.49900000000025</v>
      </c>
      <c r="Y10" s="42">
        <v>1733.7940000000001</v>
      </c>
      <c r="Z10" s="42">
        <v>-3778.7150000000006</v>
      </c>
      <c r="AA10" s="42">
        <v>-3762.7429999999999</v>
      </c>
      <c r="AB10" s="42">
        <v>6718.3149999999996</v>
      </c>
      <c r="AC10" s="42">
        <v>-3021.1389999999997</v>
      </c>
      <c r="AD10" s="42">
        <v>949.11399999999946</v>
      </c>
      <c r="AE10" s="42">
        <v>3052.9630000000006</v>
      </c>
      <c r="AF10" s="42">
        <v>34177.491000000002</v>
      </c>
      <c r="AG10" s="42">
        <v>40845.008000000002</v>
      </c>
      <c r="AH10" s="42">
        <v>146168.07399999999</v>
      </c>
      <c r="AI10" s="42">
        <v>178830.92499999993</v>
      </c>
      <c r="AJ10" s="42">
        <v>255894.12600000005</v>
      </c>
      <c r="AK10" s="42">
        <v>91940.094999999972</v>
      </c>
      <c r="AL10" s="42">
        <v>155660.62599999993</v>
      </c>
      <c r="AM10" s="42">
        <v>154834.00199999986</v>
      </c>
      <c r="AN10" s="42">
        <v>-239845.23699999996</v>
      </c>
      <c r="AO10" s="42">
        <v>125092.7209999999</v>
      </c>
      <c r="AP10" s="42">
        <v>158389.62599999993</v>
      </c>
      <c r="AQ10" s="42">
        <v>427814.27099999995</v>
      </c>
      <c r="AR10" s="42">
        <v>337426.37899999972</v>
      </c>
      <c r="AS10" s="42">
        <v>325409</v>
      </c>
      <c r="AT10" s="42">
        <v>197343</v>
      </c>
      <c r="AU10" s="42">
        <v>433950</v>
      </c>
      <c r="AV10" s="42">
        <v>-328366</v>
      </c>
      <c r="AW10" s="42">
        <v>-232841</v>
      </c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</row>
    <row r="11" spans="1:106">
      <c r="A11" s="333" t="s">
        <v>641</v>
      </c>
      <c r="B11" s="332" t="s">
        <v>640</v>
      </c>
      <c r="C11" s="52" t="s">
        <v>640</v>
      </c>
      <c r="D11" s="52" t="s">
        <v>640</v>
      </c>
      <c r="E11" s="52" t="s">
        <v>640</v>
      </c>
      <c r="F11" s="52" t="s">
        <v>640</v>
      </c>
      <c r="G11" s="52" t="s">
        <v>640</v>
      </c>
      <c r="H11" s="52" t="s">
        <v>640</v>
      </c>
      <c r="I11" s="52" t="s">
        <v>640</v>
      </c>
      <c r="J11" s="332" t="s">
        <v>640</v>
      </c>
      <c r="K11" s="332" t="s">
        <v>640</v>
      </c>
      <c r="L11" s="52" t="s">
        <v>640</v>
      </c>
      <c r="M11" s="52" t="s">
        <v>640</v>
      </c>
      <c r="N11" s="52" t="s">
        <v>640</v>
      </c>
      <c r="O11" s="52" t="s">
        <v>640</v>
      </c>
      <c r="P11" s="52" t="s">
        <v>640</v>
      </c>
      <c r="Q11" s="52" t="s">
        <v>640</v>
      </c>
      <c r="R11" s="52" t="s">
        <v>640</v>
      </c>
      <c r="S11" s="330">
        <v>9.4777695068977437</v>
      </c>
      <c r="T11" s="330">
        <v>-913.45028377935887</v>
      </c>
      <c r="U11" s="330">
        <v>-1516.364267866308</v>
      </c>
      <c r="V11" s="330">
        <v>926.96600595653354</v>
      </c>
      <c r="W11" s="330">
        <v>-86.040512872897125</v>
      </c>
      <c r="X11" s="330">
        <v>954.1506637989587</v>
      </c>
      <c r="Y11" s="330">
        <v>3788.6757381696107</v>
      </c>
      <c r="Z11" s="330">
        <v>4210.5700363512879</v>
      </c>
      <c r="AA11" s="330">
        <v>10301.953311009293</v>
      </c>
      <c r="AB11" s="330">
        <v>6456.3737980671085</v>
      </c>
      <c r="AC11" s="330">
        <v>7488.9327492492157</v>
      </c>
      <c r="AD11" s="330">
        <v>9726.2545455891632</v>
      </c>
      <c r="AE11" s="330">
        <v>-2010.1851444924878</v>
      </c>
      <c r="AF11" s="330">
        <v>10897.275808500912</v>
      </c>
      <c r="AG11" s="330">
        <v>-3639.7247030498875</v>
      </c>
      <c r="AH11" s="330">
        <v>-41988.829445792129</v>
      </c>
      <c r="AI11" s="330">
        <v>1652.1696857244797</v>
      </c>
      <c r="AJ11" s="330">
        <v>27790.307197027189</v>
      </c>
      <c r="AK11" s="330">
        <v>17044.881168036605</v>
      </c>
      <c r="AL11" s="330">
        <v>26507.721818351001</v>
      </c>
      <c r="AM11" s="330">
        <v>-8019.159481842481</v>
      </c>
      <c r="AN11" s="330">
        <v>31789.917135912307</v>
      </c>
      <c r="AO11" s="330">
        <v>50733.467669990372</v>
      </c>
      <c r="AP11" s="330">
        <v>163328.07599365606</v>
      </c>
      <c r="AQ11" s="330">
        <v>33704.473978021706</v>
      </c>
      <c r="AR11" s="330">
        <v>109821.12771849748</v>
      </c>
      <c r="AS11" s="330">
        <v>363621</v>
      </c>
      <c r="AT11" s="330">
        <v>87702</v>
      </c>
      <c r="AU11" s="330">
        <v>19827.397770700045</v>
      </c>
      <c r="AV11" s="330">
        <v>-38153.96</v>
      </c>
      <c r="AW11" s="330">
        <v>-481365</v>
      </c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</row>
    <row r="12" spans="1:106">
      <c r="A12" s="327"/>
      <c r="B12" s="47"/>
      <c r="C12" s="42"/>
      <c r="D12" s="42"/>
      <c r="E12" s="42"/>
      <c r="F12" s="42"/>
      <c r="G12" s="42"/>
      <c r="H12" s="42"/>
      <c r="I12" s="42"/>
      <c r="J12" s="47"/>
      <c r="K12" s="47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</row>
    <row r="13" spans="1:106">
      <c r="A13" s="331" t="s">
        <v>642</v>
      </c>
      <c r="B13" s="47">
        <v>-81.000000000000057</v>
      </c>
      <c r="C13" s="42">
        <v>142.72232196289647</v>
      </c>
      <c r="D13" s="42">
        <v>-157.53886010362709</v>
      </c>
      <c r="E13" s="42">
        <v>-61.999999999999943</v>
      </c>
      <c r="F13" s="42">
        <v>-50</v>
      </c>
      <c r="G13" s="42">
        <v>-507</v>
      </c>
      <c r="H13" s="42">
        <v>-328</v>
      </c>
      <c r="I13" s="42">
        <v>-17</v>
      </c>
      <c r="J13" s="47">
        <v>-363</v>
      </c>
      <c r="K13" s="47">
        <v>-85.999999999999915</v>
      </c>
      <c r="L13" s="42">
        <v>180</v>
      </c>
      <c r="M13" s="42">
        <v>197.37508650519027</v>
      </c>
      <c r="N13" s="42">
        <v>68.792376120647958</v>
      </c>
      <c r="O13" s="42">
        <v>52.666191948313354</v>
      </c>
      <c r="P13" s="42">
        <v>-398.8657125034656</v>
      </c>
      <c r="Q13" s="42">
        <v>-734.20146532865726</v>
      </c>
      <c r="R13" s="42">
        <v>-80.181641842743034</v>
      </c>
      <c r="S13" s="42">
        <v>-575.83432954427678</v>
      </c>
      <c r="T13" s="42">
        <v>-296.80484555055682</v>
      </c>
      <c r="U13" s="42">
        <v>-489.90802595759152</v>
      </c>
      <c r="V13" s="42">
        <v>-1209.8211675968846</v>
      </c>
      <c r="W13" s="42">
        <v>-313.88860054316365</v>
      </c>
      <c r="X13" s="42">
        <v>-539.89090135330071</v>
      </c>
      <c r="Y13" s="42">
        <v>805.53863050688869</v>
      </c>
      <c r="Z13" s="42">
        <v>-115.2601604761403</v>
      </c>
      <c r="AA13" s="42">
        <v>825.99541796792846</v>
      </c>
      <c r="AB13" s="42">
        <v>-1282.0014843874583</v>
      </c>
      <c r="AC13" s="42">
        <v>-183.86713003062619</v>
      </c>
      <c r="AD13" s="42">
        <v>1185.35382870387</v>
      </c>
      <c r="AE13" s="42">
        <v>26810.139375524879</v>
      </c>
      <c r="AF13" s="42">
        <v>-9838.9985975862292</v>
      </c>
      <c r="AG13" s="42">
        <v>-20443.707942644029</v>
      </c>
      <c r="AH13" s="42">
        <v>-17610.139743478361</v>
      </c>
      <c r="AI13" s="42">
        <v>7293.9204801330952</v>
      </c>
      <c r="AJ13" s="42">
        <v>3536.220969362369</v>
      </c>
      <c r="AK13" s="42">
        <v>-23009.232150270953</v>
      </c>
      <c r="AL13" s="42">
        <v>-31010.655758990721</v>
      </c>
      <c r="AM13" s="42">
        <v>4035.7777390514411</v>
      </c>
      <c r="AN13" s="42">
        <v>26797.744100401796</v>
      </c>
      <c r="AO13" s="42">
        <v>-3172.1018091048973</v>
      </c>
      <c r="AP13" s="42">
        <v>-48210.085679622003</v>
      </c>
      <c r="AQ13" s="42">
        <v>178245.28469065781</v>
      </c>
      <c r="AR13" s="42">
        <v>25346.00953831576</v>
      </c>
      <c r="AS13" s="42">
        <v>282330.6659007484</v>
      </c>
      <c r="AT13" s="42">
        <v>-231844.36643309204</v>
      </c>
      <c r="AU13" s="42">
        <v>-883238</v>
      </c>
      <c r="AV13" s="42">
        <v>388884</v>
      </c>
      <c r="AW13" s="42">
        <v>703208</v>
      </c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</row>
    <row r="14" spans="1:106">
      <c r="A14" s="331" t="s">
        <v>643</v>
      </c>
      <c r="B14" s="47">
        <v>-34.000000000000057</v>
      </c>
      <c r="C14" s="42">
        <v>202.67145421903052</v>
      </c>
      <c r="D14" s="42">
        <v>-308.0138169257342</v>
      </c>
      <c r="E14" s="42">
        <v>65.000000000000057</v>
      </c>
      <c r="F14" s="42">
        <v>111</v>
      </c>
      <c r="G14" s="42">
        <v>-523</v>
      </c>
      <c r="H14" s="42">
        <v>-423</v>
      </c>
      <c r="I14" s="42">
        <v>-59</v>
      </c>
      <c r="J14" s="47">
        <v>-396</v>
      </c>
      <c r="K14" s="47">
        <v>-41.999999999999901</v>
      </c>
      <c r="L14" s="42">
        <v>216</v>
      </c>
      <c r="M14" s="42">
        <v>184.34927335640131</v>
      </c>
      <c r="N14" s="42">
        <v>126.88984641045269</v>
      </c>
      <c r="O14" s="42">
        <v>-19.875334329084229</v>
      </c>
      <c r="P14" s="42">
        <v>-514.39905045744399</v>
      </c>
      <c r="Q14" s="42">
        <v>-772.25230042709813</v>
      </c>
      <c r="R14" s="42">
        <v>-38.109525458953648</v>
      </c>
      <c r="S14" s="42">
        <v>-1328.416577410773</v>
      </c>
      <c r="T14" s="42">
        <v>-1024.1783917108369</v>
      </c>
      <c r="U14" s="42">
        <v>-1.1789349615829181</v>
      </c>
      <c r="V14" s="42">
        <v>-854.40724069521116</v>
      </c>
      <c r="W14" s="42">
        <v>-970.01581244041176</v>
      </c>
      <c r="X14" s="42">
        <v>-646.94869963014139</v>
      </c>
      <c r="Y14" s="42">
        <v>553.05201281802954</v>
      </c>
      <c r="Z14" s="42">
        <v>-597.96068624449094</v>
      </c>
      <c r="AA14" s="42">
        <v>-293.96967383936186</v>
      </c>
      <c r="AB14" s="42">
        <v>-2221.154397649053</v>
      </c>
      <c r="AC14" s="42">
        <v>1363.9584129224565</v>
      </c>
      <c r="AD14" s="42">
        <v>-4408.2808716586087</v>
      </c>
      <c r="AE14" s="42">
        <v>-4039.2503005275207</v>
      </c>
      <c r="AF14" s="42">
        <v>-6984.0608556815969</v>
      </c>
      <c r="AG14" s="42">
        <v>-46575.382772290257</v>
      </c>
      <c r="AH14" s="42">
        <v>-3968.9516157882858</v>
      </c>
      <c r="AI14" s="42">
        <v>14149.054035980451</v>
      </c>
      <c r="AJ14" s="42">
        <v>4081.0156036479816</v>
      </c>
      <c r="AK14" s="42">
        <v>-17640.743651264038</v>
      </c>
      <c r="AL14" s="42">
        <v>-30320.769085243366</v>
      </c>
      <c r="AM14" s="42">
        <v>-6126.377372891192</v>
      </c>
      <c r="AN14" s="42">
        <v>24180.730794295177</v>
      </c>
      <c r="AO14" s="42">
        <v>-42757.51024487293</v>
      </c>
      <c r="AP14" s="42">
        <v>-130860.66090753196</v>
      </c>
      <c r="AQ14" s="42">
        <v>-42886.968699113924</v>
      </c>
      <c r="AR14" s="42">
        <v>-269645.00686399627</v>
      </c>
      <c r="AS14" s="42">
        <v>-211419.85660689714</v>
      </c>
      <c r="AT14" s="42">
        <v>-601594.48151733412</v>
      </c>
      <c r="AU14" s="42">
        <v>-1097971</v>
      </c>
      <c r="AV14" s="42">
        <v>-799057</v>
      </c>
      <c r="AW14" s="42">
        <v>-1036259</v>
      </c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</row>
    <row r="15" spans="1:106">
      <c r="A15" s="331" t="s">
        <v>644</v>
      </c>
      <c r="B15" s="47">
        <v>-47</v>
      </c>
      <c r="C15" s="42">
        <v>-59.949132256134057</v>
      </c>
      <c r="D15" s="42">
        <v>150.47495682210712</v>
      </c>
      <c r="E15" s="42">
        <v>-127</v>
      </c>
      <c r="F15" s="42">
        <v>-161</v>
      </c>
      <c r="G15" s="42">
        <v>16</v>
      </c>
      <c r="H15" s="42">
        <v>95</v>
      </c>
      <c r="I15" s="42">
        <v>42</v>
      </c>
      <c r="J15" s="47">
        <v>33</v>
      </c>
      <c r="K15" s="47">
        <v>-44</v>
      </c>
      <c r="L15" s="42">
        <v>-36</v>
      </c>
      <c r="M15" s="42">
        <v>13.025813148788945</v>
      </c>
      <c r="N15" s="42">
        <v>-58.097470289804725</v>
      </c>
      <c r="O15" s="42">
        <v>72.54152627739758</v>
      </c>
      <c r="P15" s="42">
        <v>115.5333379539784</v>
      </c>
      <c r="Q15" s="42">
        <v>38.050835098440885</v>
      </c>
      <c r="R15" s="42">
        <v>-42.072116383789378</v>
      </c>
      <c r="S15" s="42">
        <v>752.58224786649623</v>
      </c>
      <c r="T15" s="42">
        <v>727.37354616028006</v>
      </c>
      <c r="U15" s="42">
        <v>-488.72909099600861</v>
      </c>
      <c r="V15" s="42">
        <v>-355.41392690167345</v>
      </c>
      <c r="W15" s="42">
        <v>656.12721189724812</v>
      </c>
      <c r="X15" s="42">
        <v>107.05779827684069</v>
      </c>
      <c r="Y15" s="42">
        <v>252.48661768885918</v>
      </c>
      <c r="Z15" s="42">
        <v>482.70052576835064</v>
      </c>
      <c r="AA15" s="42">
        <v>1119.9650918072903</v>
      </c>
      <c r="AB15" s="42">
        <v>939.15291326159479</v>
      </c>
      <c r="AC15" s="42">
        <v>-1547.8255429530827</v>
      </c>
      <c r="AD15" s="42">
        <v>5593.6347003624787</v>
      </c>
      <c r="AE15" s="42">
        <v>30849.3896760524</v>
      </c>
      <c r="AF15" s="42">
        <v>-2854.9377419046323</v>
      </c>
      <c r="AG15" s="42">
        <v>26131.674829646228</v>
      </c>
      <c r="AH15" s="42">
        <v>-13641.188127690075</v>
      </c>
      <c r="AI15" s="42">
        <v>-6855.1335558473556</v>
      </c>
      <c r="AJ15" s="42">
        <v>-544.79463428561235</v>
      </c>
      <c r="AK15" s="42">
        <v>-5368.488499006914</v>
      </c>
      <c r="AL15" s="42">
        <v>-689.8866737473561</v>
      </c>
      <c r="AM15" s="42">
        <v>10162.155111942633</v>
      </c>
      <c r="AN15" s="42">
        <v>2617.0133061066208</v>
      </c>
      <c r="AO15" s="42">
        <v>39585.408435768033</v>
      </c>
      <c r="AP15" s="42">
        <v>82650.575227909954</v>
      </c>
      <c r="AQ15" s="42">
        <v>221132.25338977174</v>
      </c>
      <c r="AR15" s="42">
        <v>294991.01640231203</v>
      </c>
      <c r="AS15" s="42">
        <v>493750.52250764554</v>
      </c>
      <c r="AT15" s="42">
        <v>369750.11508424208</v>
      </c>
      <c r="AU15" s="42">
        <v>214733</v>
      </c>
      <c r="AV15" s="42">
        <v>1187941</v>
      </c>
      <c r="AW15" s="42">
        <v>1739467</v>
      </c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</row>
    <row r="16" spans="1:106" ht="10.5" customHeight="1">
      <c r="A16" s="331"/>
      <c r="B16" s="47"/>
      <c r="C16" s="42"/>
      <c r="D16" s="42"/>
      <c r="E16" s="42"/>
      <c r="F16" s="42"/>
      <c r="G16" s="42"/>
      <c r="H16" s="42"/>
      <c r="I16" s="42"/>
      <c r="J16" s="47"/>
      <c r="K16" s="47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</row>
    <row r="17" spans="1:106">
      <c r="A17" s="331" t="s">
        <v>645</v>
      </c>
      <c r="B17" s="47">
        <v>3343</v>
      </c>
      <c r="C17" s="42">
        <v>-58</v>
      </c>
      <c r="D17" s="42">
        <v>-1028</v>
      </c>
      <c r="E17" s="42">
        <v>-2281</v>
      </c>
      <c r="F17" s="42">
        <v>-445</v>
      </c>
      <c r="G17" s="42">
        <v>-1468</v>
      </c>
      <c r="H17" s="42">
        <v>-1097</v>
      </c>
      <c r="I17" s="42">
        <v>-417</v>
      </c>
      <c r="J17" s="47">
        <v>-645</v>
      </c>
      <c r="K17" s="47">
        <v>-6</v>
      </c>
      <c r="L17" s="42">
        <v>-375</v>
      </c>
      <c r="M17" s="42">
        <v>-572</v>
      </c>
      <c r="N17" s="42">
        <v>53</v>
      </c>
      <c r="O17" s="42">
        <v>2323.9052852199993</v>
      </c>
      <c r="P17" s="42">
        <v>-4642.3030931000012</v>
      </c>
      <c r="Q17" s="42">
        <v>-1132.6009714299969</v>
      </c>
      <c r="R17" s="42">
        <v>-3057.6383530500011</v>
      </c>
      <c r="S17" s="42">
        <v>-1649.9302598876575</v>
      </c>
      <c r="T17" s="42">
        <v>-3731</v>
      </c>
      <c r="U17" s="42">
        <v>-4099</v>
      </c>
      <c r="V17" s="42">
        <v>-3206</v>
      </c>
      <c r="W17" s="42">
        <v>-2176</v>
      </c>
      <c r="X17" s="42">
        <v>-1685</v>
      </c>
      <c r="Y17" s="42">
        <v>-10050</v>
      </c>
      <c r="Z17" s="42">
        <v>-7550</v>
      </c>
      <c r="AA17" s="42">
        <v>-10660</v>
      </c>
      <c r="AB17" s="42">
        <v>14497</v>
      </c>
      <c r="AC17" s="42">
        <v>25136</v>
      </c>
      <c r="AD17" s="42">
        <v>32098.242649649608</v>
      </c>
      <c r="AE17" s="42">
        <v>32665</v>
      </c>
      <c r="AF17" s="42">
        <v>483</v>
      </c>
      <c r="AG17" s="42">
        <v>-17913</v>
      </c>
      <c r="AH17" s="42">
        <v>-17390</v>
      </c>
      <c r="AI17" s="42">
        <v>3926</v>
      </c>
      <c r="AJ17" s="42">
        <v>-10758</v>
      </c>
      <c r="AK17" s="42">
        <v>110325</v>
      </c>
      <c r="AL17" s="42">
        <v>-28310</v>
      </c>
      <c r="AM17" s="42">
        <v>-171888</v>
      </c>
      <c r="AN17" s="42">
        <v>6263</v>
      </c>
      <c r="AO17" s="42">
        <v>-263412</v>
      </c>
      <c r="AP17" s="42">
        <v>-144065</v>
      </c>
      <c r="AQ17" s="42">
        <v>-727360</v>
      </c>
      <c r="AR17" s="42">
        <v>-518406</v>
      </c>
      <c r="AS17" s="42">
        <v>-867594</v>
      </c>
      <c r="AT17" s="42">
        <v>-13365</v>
      </c>
      <c r="AU17" s="42">
        <v>428141</v>
      </c>
      <c r="AV17" s="42">
        <v>309458</v>
      </c>
      <c r="AW17" s="42">
        <v>34666</v>
      </c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</row>
    <row r="18" spans="1:106">
      <c r="A18" s="331" t="s">
        <v>643</v>
      </c>
      <c r="B18" s="47">
        <v>3144</v>
      </c>
      <c r="C18" s="42">
        <v>288</v>
      </c>
      <c r="D18" s="42">
        <v>-1093</v>
      </c>
      <c r="E18" s="42">
        <v>-2450</v>
      </c>
      <c r="F18" s="42">
        <v>-235</v>
      </c>
      <c r="G18" s="42">
        <v>-1493</v>
      </c>
      <c r="H18" s="42">
        <v>-1147</v>
      </c>
      <c r="I18" s="42">
        <v>-463</v>
      </c>
      <c r="J18" s="47">
        <v>-611</v>
      </c>
      <c r="K18" s="47">
        <v>176</v>
      </c>
      <c r="L18" s="42">
        <v>-632</v>
      </c>
      <c r="M18" s="42">
        <v>-696</v>
      </c>
      <c r="N18" s="42">
        <v>420</v>
      </c>
      <c r="O18" s="42">
        <v>2128.4888466199991</v>
      </c>
      <c r="P18" s="42">
        <v>-4688.1919126200009</v>
      </c>
      <c r="Q18" s="42">
        <v>-1448.9202128999968</v>
      </c>
      <c r="R18" s="42">
        <v>-3156.622580700001</v>
      </c>
      <c r="S18" s="42">
        <v>-1740.7125696513735</v>
      </c>
      <c r="T18" s="42">
        <v>-3953</v>
      </c>
      <c r="U18" s="42">
        <v>-4175</v>
      </c>
      <c r="V18" s="42">
        <v>-3468</v>
      </c>
      <c r="W18" s="42">
        <v>-2029</v>
      </c>
      <c r="X18" s="42">
        <v>-1401</v>
      </c>
      <c r="Y18" s="42">
        <v>-11049</v>
      </c>
      <c r="Z18" s="42">
        <v>-9020</v>
      </c>
      <c r="AA18" s="42">
        <v>-9419</v>
      </c>
      <c r="AB18" s="42">
        <v>15092</v>
      </c>
      <c r="AC18" s="42">
        <v>18981</v>
      </c>
      <c r="AD18" s="42">
        <v>6063.4528050737963</v>
      </c>
      <c r="AE18" s="42">
        <v>14061</v>
      </c>
      <c r="AF18" s="42">
        <v>-6550</v>
      </c>
      <c r="AG18" s="42">
        <v>-3414</v>
      </c>
      <c r="AH18" s="42">
        <v>4521</v>
      </c>
      <c r="AI18" s="42">
        <v>8186</v>
      </c>
      <c r="AJ18" s="42">
        <v>2914</v>
      </c>
      <c r="AK18" s="42">
        <v>82387</v>
      </c>
      <c r="AL18" s="42">
        <v>-17109</v>
      </c>
      <c r="AM18" s="42">
        <v>-122715</v>
      </c>
      <c r="AN18" s="42">
        <v>18561</v>
      </c>
      <c r="AO18" s="42">
        <v>-218997</v>
      </c>
      <c r="AP18" s="42">
        <v>-63367</v>
      </c>
      <c r="AQ18" s="42">
        <v>-740829</v>
      </c>
      <c r="AR18" s="42">
        <v>-522014</v>
      </c>
      <c r="AS18" s="42">
        <v>-855470</v>
      </c>
      <c r="AT18" s="42">
        <v>-14297</v>
      </c>
      <c r="AU18" s="42">
        <v>433949</v>
      </c>
      <c r="AV18" s="42">
        <v>259323</v>
      </c>
      <c r="AW18" s="42">
        <v>50055</v>
      </c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</row>
    <row r="19" spans="1:106">
      <c r="A19" s="331" t="s">
        <v>644</v>
      </c>
      <c r="B19" s="47">
        <v>199</v>
      </c>
      <c r="C19" s="42">
        <v>-346</v>
      </c>
      <c r="D19" s="42">
        <v>65</v>
      </c>
      <c r="E19" s="42">
        <v>169</v>
      </c>
      <c r="F19" s="42">
        <v>-210</v>
      </c>
      <c r="G19" s="42">
        <v>25</v>
      </c>
      <c r="H19" s="42">
        <v>50</v>
      </c>
      <c r="I19" s="42">
        <v>46</v>
      </c>
      <c r="J19" s="47">
        <v>-34</v>
      </c>
      <c r="K19" s="47">
        <v>-182</v>
      </c>
      <c r="L19" s="42">
        <v>257</v>
      </c>
      <c r="M19" s="42">
        <v>124</v>
      </c>
      <c r="N19" s="42">
        <v>-367</v>
      </c>
      <c r="O19" s="42">
        <v>195.41643859999999</v>
      </c>
      <c r="P19" s="42">
        <v>45.888819520000027</v>
      </c>
      <c r="Q19" s="42">
        <v>316.31924147000001</v>
      </c>
      <c r="R19" s="42">
        <v>98.98422764999998</v>
      </c>
      <c r="S19" s="42">
        <v>90.7823097637161</v>
      </c>
      <c r="T19" s="42">
        <v>222</v>
      </c>
      <c r="U19" s="42">
        <v>76</v>
      </c>
      <c r="V19" s="42">
        <v>262</v>
      </c>
      <c r="W19" s="42">
        <v>-147</v>
      </c>
      <c r="X19" s="42">
        <v>-284</v>
      </c>
      <c r="Y19" s="42">
        <v>999</v>
      </c>
      <c r="Z19" s="42">
        <v>1470</v>
      </c>
      <c r="AA19" s="42">
        <v>-1241</v>
      </c>
      <c r="AB19" s="42">
        <v>-595</v>
      </c>
      <c r="AC19" s="42">
        <v>6155</v>
      </c>
      <c r="AD19" s="42">
        <v>26034.789844575811</v>
      </c>
      <c r="AE19" s="42">
        <v>18604</v>
      </c>
      <c r="AF19" s="42">
        <v>7033</v>
      </c>
      <c r="AG19" s="42">
        <v>-14499</v>
      </c>
      <c r="AH19" s="42">
        <v>-21911</v>
      </c>
      <c r="AI19" s="42">
        <v>-4260</v>
      </c>
      <c r="AJ19" s="42">
        <v>-13672</v>
      </c>
      <c r="AK19" s="42">
        <v>27938</v>
      </c>
      <c r="AL19" s="42">
        <v>-11201</v>
      </c>
      <c r="AM19" s="42">
        <v>-49173</v>
      </c>
      <c r="AN19" s="42">
        <v>-12298</v>
      </c>
      <c r="AO19" s="42">
        <v>-44415</v>
      </c>
      <c r="AP19" s="42">
        <v>-80698</v>
      </c>
      <c r="AQ19" s="42">
        <v>13469</v>
      </c>
      <c r="AR19" s="42">
        <v>3608</v>
      </c>
      <c r="AS19" s="42">
        <v>-12124</v>
      </c>
      <c r="AT19" s="42">
        <v>932</v>
      </c>
      <c r="AU19" s="42">
        <v>-5808</v>
      </c>
      <c r="AV19" s="42">
        <v>50135</v>
      </c>
      <c r="AW19" s="42">
        <v>-15389</v>
      </c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</row>
    <row r="20" spans="1:106" ht="8.25" customHeight="1" thickBot="1">
      <c r="A20" s="334"/>
      <c r="B20" s="54"/>
      <c r="C20" s="57"/>
      <c r="D20" s="57"/>
      <c r="E20" s="57"/>
      <c r="F20" s="57"/>
      <c r="G20" s="57"/>
      <c r="H20" s="57"/>
      <c r="I20" s="57"/>
      <c r="J20" s="54"/>
      <c r="K20" s="54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</row>
    <row r="21" spans="1:106">
      <c r="A21" s="323" t="s">
        <v>646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</row>
    <row r="22" spans="1:106">
      <c r="A22" s="323" t="s">
        <v>647</v>
      </c>
    </row>
    <row r="24" spans="1:106">
      <c r="AS24" s="31"/>
      <c r="AT24" s="31"/>
      <c r="AU24" s="31"/>
      <c r="AV24" s="31"/>
      <c r="AW24" s="31"/>
    </row>
    <row r="25" spans="1:106">
      <c r="AU25" s="31"/>
      <c r="AV25" s="31"/>
      <c r="AW25" s="31"/>
    </row>
    <row r="27" spans="1:106">
      <c r="AU27" s="31"/>
      <c r="AV27" s="31"/>
      <c r="AW27" s="31"/>
    </row>
    <row r="31" spans="1:106">
      <c r="AU31" s="335"/>
    </row>
    <row r="33" spans="47:47">
      <c r="AU33" s="335"/>
    </row>
    <row r="36" spans="47:47">
      <c r="AU36" s="335"/>
    </row>
    <row r="37" spans="47:47">
      <c r="AU37" s="335"/>
    </row>
    <row r="41" spans="47:47">
      <c r="AU41" s="335"/>
    </row>
    <row r="61" spans="47:47">
      <c r="AU61" s="335"/>
    </row>
    <row r="63" spans="47:47">
      <c r="AU63" s="335"/>
    </row>
    <row r="66" spans="47:47">
      <c r="AU66" s="335"/>
    </row>
    <row r="67" spans="47:47">
      <c r="AU67" s="335"/>
    </row>
    <row r="71" spans="47:47">
      <c r="AU71" s="335"/>
    </row>
  </sheetData>
  <pageMargins left="0.61" right="0.75" top="1.1200000000000001" bottom="1" header="0.5" footer="0.5"/>
  <pageSetup paperSize="9" scale="9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BF0A-3117-4A83-91C2-61311F372F3F}">
  <sheetPr>
    <pageSetUpPr fitToPage="1"/>
  </sheetPr>
  <dimension ref="A2:GQ32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G4" sqref="EG4"/>
    </sheetView>
  </sheetViews>
  <sheetFormatPr defaultColWidth="10.26953125" defaultRowHeight="13"/>
  <cols>
    <col min="1" max="1" width="36.453125" style="323" customWidth="1"/>
    <col min="2" max="52" width="13.7265625" style="323" customWidth="1"/>
    <col min="53" max="135" width="10.26953125" style="323" customWidth="1"/>
    <col min="136" max="136" width="18.26953125" style="323" customWidth="1"/>
    <col min="137" max="145" width="10.26953125" style="323" customWidth="1"/>
    <col min="146" max="148" width="10.26953125" style="323" hidden="1" customWidth="1"/>
    <col min="149" max="256" width="10.26953125" style="323"/>
    <col min="257" max="257" width="36.453125" style="323" customWidth="1"/>
    <col min="258" max="308" width="13.7265625" style="323" customWidth="1"/>
    <col min="309" max="391" width="10.26953125" style="323"/>
    <col min="392" max="392" width="18.26953125" style="323" customWidth="1"/>
    <col min="393" max="401" width="10.26953125" style="323"/>
    <col min="402" max="404" width="0" style="323" hidden="1" customWidth="1"/>
    <col min="405" max="512" width="10.26953125" style="323"/>
    <col min="513" max="513" width="36.453125" style="323" customWidth="1"/>
    <col min="514" max="564" width="13.7265625" style="323" customWidth="1"/>
    <col min="565" max="647" width="10.26953125" style="323"/>
    <col min="648" max="648" width="18.26953125" style="323" customWidth="1"/>
    <col min="649" max="657" width="10.26953125" style="323"/>
    <col min="658" max="660" width="0" style="323" hidden="1" customWidth="1"/>
    <col min="661" max="768" width="10.26953125" style="323"/>
    <col min="769" max="769" width="36.453125" style="323" customWidth="1"/>
    <col min="770" max="820" width="13.7265625" style="323" customWidth="1"/>
    <col min="821" max="903" width="10.26953125" style="323"/>
    <col min="904" max="904" width="18.26953125" style="323" customWidth="1"/>
    <col min="905" max="913" width="10.26953125" style="323"/>
    <col min="914" max="916" width="0" style="323" hidden="1" customWidth="1"/>
    <col min="917" max="1024" width="10.26953125" style="323"/>
    <col min="1025" max="1025" width="36.453125" style="323" customWidth="1"/>
    <col min="1026" max="1076" width="13.7265625" style="323" customWidth="1"/>
    <col min="1077" max="1159" width="10.26953125" style="323"/>
    <col min="1160" max="1160" width="18.26953125" style="323" customWidth="1"/>
    <col min="1161" max="1169" width="10.26953125" style="323"/>
    <col min="1170" max="1172" width="0" style="323" hidden="1" customWidth="1"/>
    <col min="1173" max="1280" width="10.26953125" style="323"/>
    <col min="1281" max="1281" width="36.453125" style="323" customWidth="1"/>
    <col min="1282" max="1332" width="13.7265625" style="323" customWidth="1"/>
    <col min="1333" max="1415" width="10.26953125" style="323"/>
    <col min="1416" max="1416" width="18.26953125" style="323" customWidth="1"/>
    <col min="1417" max="1425" width="10.26953125" style="323"/>
    <col min="1426" max="1428" width="0" style="323" hidden="1" customWidth="1"/>
    <col min="1429" max="1536" width="10.26953125" style="323"/>
    <col min="1537" max="1537" width="36.453125" style="323" customWidth="1"/>
    <col min="1538" max="1588" width="13.7265625" style="323" customWidth="1"/>
    <col min="1589" max="1671" width="10.26953125" style="323"/>
    <col min="1672" max="1672" width="18.26953125" style="323" customWidth="1"/>
    <col min="1673" max="1681" width="10.26953125" style="323"/>
    <col min="1682" max="1684" width="0" style="323" hidden="1" customWidth="1"/>
    <col min="1685" max="1792" width="10.26953125" style="323"/>
    <col min="1793" max="1793" width="36.453125" style="323" customWidth="1"/>
    <col min="1794" max="1844" width="13.7265625" style="323" customWidth="1"/>
    <col min="1845" max="1927" width="10.26953125" style="323"/>
    <col min="1928" max="1928" width="18.26953125" style="323" customWidth="1"/>
    <col min="1929" max="1937" width="10.26953125" style="323"/>
    <col min="1938" max="1940" width="0" style="323" hidden="1" customWidth="1"/>
    <col min="1941" max="2048" width="10.26953125" style="323"/>
    <col min="2049" max="2049" width="36.453125" style="323" customWidth="1"/>
    <col min="2050" max="2100" width="13.7265625" style="323" customWidth="1"/>
    <col min="2101" max="2183" width="10.26953125" style="323"/>
    <col min="2184" max="2184" width="18.26953125" style="323" customWidth="1"/>
    <col min="2185" max="2193" width="10.26953125" style="323"/>
    <col min="2194" max="2196" width="0" style="323" hidden="1" customWidth="1"/>
    <col min="2197" max="2304" width="10.26953125" style="323"/>
    <col min="2305" max="2305" width="36.453125" style="323" customWidth="1"/>
    <col min="2306" max="2356" width="13.7265625" style="323" customWidth="1"/>
    <col min="2357" max="2439" width="10.26953125" style="323"/>
    <col min="2440" max="2440" width="18.26953125" style="323" customWidth="1"/>
    <col min="2441" max="2449" width="10.26953125" style="323"/>
    <col min="2450" max="2452" width="0" style="323" hidden="1" customWidth="1"/>
    <col min="2453" max="2560" width="10.26953125" style="323"/>
    <col min="2561" max="2561" width="36.453125" style="323" customWidth="1"/>
    <col min="2562" max="2612" width="13.7265625" style="323" customWidth="1"/>
    <col min="2613" max="2695" width="10.26953125" style="323"/>
    <col min="2696" max="2696" width="18.26953125" style="323" customWidth="1"/>
    <col min="2697" max="2705" width="10.26953125" style="323"/>
    <col min="2706" max="2708" width="0" style="323" hidden="1" customWidth="1"/>
    <col min="2709" max="2816" width="10.26953125" style="323"/>
    <col min="2817" max="2817" width="36.453125" style="323" customWidth="1"/>
    <col min="2818" max="2868" width="13.7265625" style="323" customWidth="1"/>
    <col min="2869" max="2951" width="10.26953125" style="323"/>
    <col min="2952" max="2952" width="18.26953125" style="323" customWidth="1"/>
    <col min="2953" max="2961" width="10.26953125" style="323"/>
    <col min="2962" max="2964" width="0" style="323" hidden="1" customWidth="1"/>
    <col min="2965" max="3072" width="10.26953125" style="323"/>
    <col min="3073" max="3073" width="36.453125" style="323" customWidth="1"/>
    <col min="3074" max="3124" width="13.7265625" style="323" customWidth="1"/>
    <col min="3125" max="3207" width="10.26953125" style="323"/>
    <col min="3208" max="3208" width="18.26953125" style="323" customWidth="1"/>
    <col min="3209" max="3217" width="10.26953125" style="323"/>
    <col min="3218" max="3220" width="0" style="323" hidden="1" customWidth="1"/>
    <col min="3221" max="3328" width="10.26953125" style="323"/>
    <col min="3329" max="3329" width="36.453125" style="323" customWidth="1"/>
    <col min="3330" max="3380" width="13.7265625" style="323" customWidth="1"/>
    <col min="3381" max="3463" width="10.26953125" style="323"/>
    <col min="3464" max="3464" width="18.26953125" style="323" customWidth="1"/>
    <col min="3465" max="3473" width="10.26953125" style="323"/>
    <col min="3474" max="3476" width="0" style="323" hidden="1" customWidth="1"/>
    <col min="3477" max="3584" width="10.26953125" style="323"/>
    <col min="3585" max="3585" width="36.453125" style="323" customWidth="1"/>
    <col min="3586" max="3636" width="13.7265625" style="323" customWidth="1"/>
    <col min="3637" max="3719" width="10.26953125" style="323"/>
    <col min="3720" max="3720" width="18.26953125" style="323" customWidth="1"/>
    <col min="3721" max="3729" width="10.26953125" style="323"/>
    <col min="3730" max="3732" width="0" style="323" hidden="1" customWidth="1"/>
    <col min="3733" max="3840" width="10.26953125" style="323"/>
    <col min="3841" max="3841" width="36.453125" style="323" customWidth="1"/>
    <col min="3842" max="3892" width="13.7265625" style="323" customWidth="1"/>
    <col min="3893" max="3975" width="10.26953125" style="323"/>
    <col min="3976" max="3976" width="18.26953125" style="323" customWidth="1"/>
    <col min="3977" max="3985" width="10.26953125" style="323"/>
    <col min="3986" max="3988" width="0" style="323" hidden="1" customWidth="1"/>
    <col min="3989" max="4096" width="10.26953125" style="323"/>
    <col min="4097" max="4097" width="36.453125" style="323" customWidth="1"/>
    <col min="4098" max="4148" width="13.7265625" style="323" customWidth="1"/>
    <col min="4149" max="4231" width="10.26953125" style="323"/>
    <col min="4232" max="4232" width="18.26953125" style="323" customWidth="1"/>
    <col min="4233" max="4241" width="10.26953125" style="323"/>
    <col min="4242" max="4244" width="0" style="323" hidden="1" customWidth="1"/>
    <col min="4245" max="4352" width="10.26953125" style="323"/>
    <col min="4353" max="4353" width="36.453125" style="323" customWidth="1"/>
    <col min="4354" max="4404" width="13.7265625" style="323" customWidth="1"/>
    <col min="4405" max="4487" width="10.26953125" style="323"/>
    <col min="4488" max="4488" width="18.26953125" style="323" customWidth="1"/>
    <col min="4489" max="4497" width="10.26953125" style="323"/>
    <col min="4498" max="4500" width="0" style="323" hidden="1" customWidth="1"/>
    <col min="4501" max="4608" width="10.26953125" style="323"/>
    <col min="4609" max="4609" width="36.453125" style="323" customWidth="1"/>
    <col min="4610" max="4660" width="13.7265625" style="323" customWidth="1"/>
    <col min="4661" max="4743" width="10.26953125" style="323"/>
    <col min="4744" max="4744" width="18.26953125" style="323" customWidth="1"/>
    <col min="4745" max="4753" width="10.26953125" style="323"/>
    <col min="4754" max="4756" width="0" style="323" hidden="1" customWidth="1"/>
    <col min="4757" max="4864" width="10.26953125" style="323"/>
    <col min="4865" max="4865" width="36.453125" style="323" customWidth="1"/>
    <col min="4866" max="4916" width="13.7265625" style="323" customWidth="1"/>
    <col min="4917" max="4999" width="10.26953125" style="323"/>
    <col min="5000" max="5000" width="18.26953125" style="323" customWidth="1"/>
    <col min="5001" max="5009" width="10.26953125" style="323"/>
    <col min="5010" max="5012" width="0" style="323" hidden="1" customWidth="1"/>
    <col min="5013" max="5120" width="10.26953125" style="323"/>
    <col min="5121" max="5121" width="36.453125" style="323" customWidth="1"/>
    <col min="5122" max="5172" width="13.7265625" style="323" customWidth="1"/>
    <col min="5173" max="5255" width="10.26953125" style="323"/>
    <col min="5256" max="5256" width="18.26953125" style="323" customWidth="1"/>
    <col min="5257" max="5265" width="10.26953125" style="323"/>
    <col min="5266" max="5268" width="0" style="323" hidden="1" customWidth="1"/>
    <col min="5269" max="5376" width="10.26953125" style="323"/>
    <col min="5377" max="5377" width="36.453125" style="323" customWidth="1"/>
    <col min="5378" max="5428" width="13.7265625" style="323" customWidth="1"/>
    <col min="5429" max="5511" width="10.26953125" style="323"/>
    <col min="5512" max="5512" width="18.26953125" style="323" customWidth="1"/>
    <col min="5513" max="5521" width="10.26953125" style="323"/>
    <col min="5522" max="5524" width="0" style="323" hidden="1" customWidth="1"/>
    <col min="5525" max="5632" width="10.26953125" style="323"/>
    <col min="5633" max="5633" width="36.453125" style="323" customWidth="1"/>
    <col min="5634" max="5684" width="13.7265625" style="323" customWidth="1"/>
    <col min="5685" max="5767" width="10.26953125" style="323"/>
    <col min="5768" max="5768" width="18.26953125" style="323" customWidth="1"/>
    <col min="5769" max="5777" width="10.26953125" style="323"/>
    <col min="5778" max="5780" width="0" style="323" hidden="1" customWidth="1"/>
    <col min="5781" max="5888" width="10.26953125" style="323"/>
    <col min="5889" max="5889" width="36.453125" style="323" customWidth="1"/>
    <col min="5890" max="5940" width="13.7265625" style="323" customWidth="1"/>
    <col min="5941" max="6023" width="10.26953125" style="323"/>
    <col min="6024" max="6024" width="18.26953125" style="323" customWidth="1"/>
    <col min="6025" max="6033" width="10.26953125" style="323"/>
    <col min="6034" max="6036" width="0" style="323" hidden="1" customWidth="1"/>
    <col min="6037" max="6144" width="10.26953125" style="323"/>
    <col min="6145" max="6145" width="36.453125" style="323" customWidth="1"/>
    <col min="6146" max="6196" width="13.7265625" style="323" customWidth="1"/>
    <col min="6197" max="6279" width="10.26953125" style="323"/>
    <col min="6280" max="6280" width="18.26953125" style="323" customWidth="1"/>
    <col min="6281" max="6289" width="10.26953125" style="323"/>
    <col min="6290" max="6292" width="0" style="323" hidden="1" customWidth="1"/>
    <col min="6293" max="6400" width="10.26953125" style="323"/>
    <col min="6401" max="6401" width="36.453125" style="323" customWidth="1"/>
    <col min="6402" max="6452" width="13.7265625" style="323" customWidth="1"/>
    <col min="6453" max="6535" width="10.26953125" style="323"/>
    <col min="6536" max="6536" width="18.26953125" style="323" customWidth="1"/>
    <col min="6537" max="6545" width="10.26953125" style="323"/>
    <col min="6546" max="6548" width="0" style="323" hidden="1" customWidth="1"/>
    <col min="6549" max="6656" width="10.26953125" style="323"/>
    <col min="6657" max="6657" width="36.453125" style="323" customWidth="1"/>
    <col min="6658" max="6708" width="13.7265625" style="323" customWidth="1"/>
    <col min="6709" max="6791" width="10.26953125" style="323"/>
    <col min="6792" max="6792" width="18.26953125" style="323" customWidth="1"/>
    <col min="6793" max="6801" width="10.26953125" style="323"/>
    <col min="6802" max="6804" width="0" style="323" hidden="1" customWidth="1"/>
    <col min="6805" max="6912" width="10.26953125" style="323"/>
    <col min="6913" max="6913" width="36.453125" style="323" customWidth="1"/>
    <col min="6914" max="6964" width="13.7265625" style="323" customWidth="1"/>
    <col min="6965" max="7047" width="10.26953125" style="323"/>
    <col min="7048" max="7048" width="18.26953125" style="323" customWidth="1"/>
    <col min="7049" max="7057" width="10.26953125" style="323"/>
    <col min="7058" max="7060" width="0" style="323" hidden="1" customWidth="1"/>
    <col min="7061" max="7168" width="10.26953125" style="323"/>
    <col min="7169" max="7169" width="36.453125" style="323" customWidth="1"/>
    <col min="7170" max="7220" width="13.7265625" style="323" customWidth="1"/>
    <col min="7221" max="7303" width="10.26953125" style="323"/>
    <col min="7304" max="7304" width="18.26953125" style="323" customWidth="1"/>
    <col min="7305" max="7313" width="10.26953125" style="323"/>
    <col min="7314" max="7316" width="0" style="323" hidden="1" customWidth="1"/>
    <col min="7317" max="7424" width="10.26953125" style="323"/>
    <col min="7425" max="7425" width="36.453125" style="323" customWidth="1"/>
    <col min="7426" max="7476" width="13.7265625" style="323" customWidth="1"/>
    <col min="7477" max="7559" width="10.26953125" style="323"/>
    <col min="7560" max="7560" width="18.26953125" style="323" customWidth="1"/>
    <col min="7561" max="7569" width="10.26953125" style="323"/>
    <col min="7570" max="7572" width="0" style="323" hidden="1" customWidth="1"/>
    <col min="7573" max="7680" width="10.26953125" style="323"/>
    <col min="7681" max="7681" width="36.453125" style="323" customWidth="1"/>
    <col min="7682" max="7732" width="13.7265625" style="323" customWidth="1"/>
    <col min="7733" max="7815" width="10.26953125" style="323"/>
    <col min="7816" max="7816" width="18.26953125" style="323" customWidth="1"/>
    <col min="7817" max="7825" width="10.26953125" style="323"/>
    <col min="7826" max="7828" width="0" style="323" hidden="1" customWidth="1"/>
    <col min="7829" max="7936" width="10.26953125" style="323"/>
    <col min="7937" max="7937" width="36.453125" style="323" customWidth="1"/>
    <col min="7938" max="7988" width="13.7265625" style="323" customWidth="1"/>
    <col min="7989" max="8071" width="10.26953125" style="323"/>
    <col min="8072" max="8072" width="18.26953125" style="323" customWidth="1"/>
    <col min="8073" max="8081" width="10.26953125" style="323"/>
    <col min="8082" max="8084" width="0" style="323" hidden="1" customWidth="1"/>
    <col min="8085" max="8192" width="10.26953125" style="323"/>
    <col min="8193" max="8193" width="36.453125" style="323" customWidth="1"/>
    <col min="8194" max="8244" width="13.7265625" style="323" customWidth="1"/>
    <col min="8245" max="8327" width="10.26953125" style="323"/>
    <col min="8328" max="8328" width="18.26953125" style="323" customWidth="1"/>
    <col min="8329" max="8337" width="10.26953125" style="323"/>
    <col min="8338" max="8340" width="0" style="323" hidden="1" customWidth="1"/>
    <col min="8341" max="8448" width="10.26953125" style="323"/>
    <col min="8449" max="8449" width="36.453125" style="323" customWidth="1"/>
    <col min="8450" max="8500" width="13.7265625" style="323" customWidth="1"/>
    <col min="8501" max="8583" width="10.26953125" style="323"/>
    <col min="8584" max="8584" width="18.26953125" style="323" customWidth="1"/>
    <col min="8585" max="8593" width="10.26953125" style="323"/>
    <col min="8594" max="8596" width="0" style="323" hidden="1" customWidth="1"/>
    <col min="8597" max="8704" width="10.26953125" style="323"/>
    <col min="8705" max="8705" width="36.453125" style="323" customWidth="1"/>
    <col min="8706" max="8756" width="13.7265625" style="323" customWidth="1"/>
    <col min="8757" max="8839" width="10.26953125" style="323"/>
    <col min="8840" max="8840" width="18.26953125" style="323" customWidth="1"/>
    <col min="8841" max="8849" width="10.26953125" style="323"/>
    <col min="8850" max="8852" width="0" style="323" hidden="1" customWidth="1"/>
    <col min="8853" max="8960" width="10.26953125" style="323"/>
    <col min="8961" max="8961" width="36.453125" style="323" customWidth="1"/>
    <col min="8962" max="9012" width="13.7265625" style="323" customWidth="1"/>
    <col min="9013" max="9095" width="10.26953125" style="323"/>
    <col min="9096" max="9096" width="18.26953125" style="323" customWidth="1"/>
    <col min="9097" max="9105" width="10.26953125" style="323"/>
    <col min="9106" max="9108" width="0" style="323" hidden="1" customWidth="1"/>
    <col min="9109" max="9216" width="10.26953125" style="323"/>
    <col min="9217" max="9217" width="36.453125" style="323" customWidth="1"/>
    <col min="9218" max="9268" width="13.7265625" style="323" customWidth="1"/>
    <col min="9269" max="9351" width="10.26953125" style="323"/>
    <col min="9352" max="9352" width="18.26953125" style="323" customWidth="1"/>
    <col min="9353" max="9361" width="10.26953125" style="323"/>
    <col min="9362" max="9364" width="0" style="323" hidden="1" customWidth="1"/>
    <col min="9365" max="9472" width="10.26953125" style="323"/>
    <col min="9473" max="9473" width="36.453125" style="323" customWidth="1"/>
    <col min="9474" max="9524" width="13.7265625" style="323" customWidth="1"/>
    <col min="9525" max="9607" width="10.26953125" style="323"/>
    <col min="9608" max="9608" width="18.26953125" style="323" customWidth="1"/>
    <col min="9609" max="9617" width="10.26953125" style="323"/>
    <col min="9618" max="9620" width="0" style="323" hidden="1" customWidth="1"/>
    <col min="9621" max="9728" width="10.26953125" style="323"/>
    <col min="9729" max="9729" width="36.453125" style="323" customWidth="1"/>
    <col min="9730" max="9780" width="13.7265625" style="323" customWidth="1"/>
    <col min="9781" max="9863" width="10.26953125" style="323"/>
    <col min="9864" max="9864" width="18.26953125" style="323" customWidth="1"/>
    <col min="9865" max="9873" width="10.26953125" style="323"/>
    <col min="9874" max="9876" width="0" style="323" hidden="1" customWidth="1"/>
    <col min="9877" max="9984" width="10.26953125" style="323"/>
    <col min="9985" max="9985" width="36.453125" style="323" customWidth="1"/>
    <col min="9986" max="10036" width="13.7265625" style="323" customWidth="1"/>
    <col min="10037" max="10119" width="10.26953125" style="323"/>
    <col min="10120" max="10120" width="18.26953125" style="323" customWidth="1"/>
    <col min="10121" max="10129" width="10.26953125" style="323"/>
    <col min="10130" max="10132" width="0" style="323" hidden="1" customWidth="1"/>
    <col min="10133" max="10240" width="10.26953125" style="323"/>
    <col min="10241" max="10241" width="36.453125" style="323" customWidth="1"/>
    <col min="10242" max="10292" width="13.7265625" style="323" customWidth="1"/>
    <col min="10293" max="10375" width="10.26953125" style="323"/>
    <col min="10376" max="10376" width="18.26953125" style="323" customWidth="1"/>
    <col min="10377" max="10385" width="10.26953125" style="323"/>
    <col min="10386" max="10388" width="0" style="323" hidden="1" customWidth="1"/>
    <col min="10389" max="10496" width="10.26953125" style="323"/>
    <col min="10497" max="10497" width="36.453125" style="323" customWidth="1"/>
    <col min="10498" max="10548" width="13.7265625" style="323" customWidth="1"/>
    <col min="10549" max="10631" width="10.26953125" style="323"/>
    <col min="10632" max="10632" width="18.26953125" style="323" customWidth="1"/>
    <col min="10633" max="10641" width="10.26953125" style="323"/>
    <col min="10642" max="10644" width="0" style="323" hidden="1" customWidth="1"/>
    <col min="10645" max="10752" width="10.26953125" style="323"/>
    <col min="10753" max="10753" width="36.453125" style="323" customWidth="1"/>
    <col min="10754" max="10804" width="13.7265625" style="323" customWidth="1"/>
    <col min="10805" max="10887" width="10.26953125" style="323"/>
    <col min="10888" max="10888" width="18.26953125" style="323" customWidth="1"/>
    <col min="10889" max="10897" width="10.26953125" style="323"/>
    <col min="10898" max="10900" width="0" style="323" hidden="1" customWidth="1"/>
    <col min="10901" max="11008" width="10.26953125" style="323"/>
    <col min="11009" max="11009" width="36.453125" style="323" customWidth="1"/>
    <col min="11010" max="11060" width="13.7265625" style="323" customWidth="1"/>
    <col min="11061" max="11143" width="10.26953125" style="323"/>
    <col min="11144" max="11144" width="18.26953125" style="323" customWidth="1"/>
    <col min="11145" max="11153" width="10.26953125" style="323"/>
    <col min="11154" max="11156" width="0" style="323" hidden="1" customWidth="1"/>
    <col min="11157" max="11264" width="10.26953125" style="323"/>
    <col min="11265" max="11265" width="36.453125" style="323" customWidth="1"/>
    <col min="11266" max="11316" width="13.7265625" style="323" customWidth="1"/>
    <col min="11317" max="11399" width="10.26953125" style="323"/>
    <col min="11400" max="11400" width="18.26953125" style="323" customWidth="1"/>
    <col min="11401" max="11409" width="10.26953125" style="323"/>
    <col min="11410" max="11412" width="0" style="323" hidden="1" customWidth="1"/>
    <col min="11413" max="11520" width="10.26953125" style="323"/>
    <col min="11521" max="11521" width="36.453125" style="323" customWidth="1"/>
    <col min="11522" max="11572" width="13.7265625" style="323" customWidth="1"/>
    <col min="11573" max="11655" width="10.26953125" style="323"/>
    <col min="11656" max="11656" width="18.26953125" style="323" customWidth="1"/>
    <col min="11657" max="11665" width="10.26953125" style="323"/>
    <col min="11666" max="11668" width="0" style="323" hidden="1" customWidth="1"/>
    <col min="11669" max="11776" width="10.26953125" style="323"/>
    <col min="11777" max="11777" width="36.453125" style="323" customWidth="1"/>
    <col min="11778" max="11828" width="13.7265625" style="323" customWidth="1"/>
    <col min="11829" max="11911" width="10.26953125" style="323"/>
    <col min="11912" max="11912" width="18.26953125" style="323" customWidth="1"/>
    <col min="11913" max="11921" width="10.26953125" style="323"/>
    <col min="11922" max="11924" width="0" style="323" hidden="1" customWidth="1"/>
    <col min="11925" max="12032" width="10.26953125" style="323"/>
    <col min="12033" max="12033" width="36.453125" style="323" customWidth="1"/>
    <col min="12034" max="12084" width="13.7265625" style="323" customWidth="1"/>
    <col min="12085" max="12167" width="10.26953125" style="323"/>
    <col min="12168" max="12168" width="18.26953125" style="323" customWidth="1"/>
    <col min="12169" max="12177" width="10.26953125" style="323"/>
    <col min="12178" max="12180" width="0" style="323" hidden="1" customWidth="1"/>
    <col min="12181" max="12288" width="10.26953125" style="323"/>
    <col min="12289" max="12289" width="36.453125" style="323" customWidth="1"/>
    <col min="12290" max="12340" width="13.7265625" style="323" customWidth="1"/>
    <col min="12341" max="12423" width="10.26953125" style="323"/>
    <col min="12424" max="12424" width="18.26953125" style="323" customWidth="1"/>
    <col min="12425" max="12433" width="10.26953125" style="323"/>
    <col min="12434" max="12436" width="0" style="323" hidden="1" customWidth="1"/>
    <col min="12437" max="12544" width="10.26953125" style="323"/>
    <col min="12545" max="12545" width="36.453125" style="323" customWidth="1"/>
    <col min="12546" max="12596" width="13.7265625" style="323" customWidth="1"/>
    <col min="12597" max="12679" width="10.26953125" style="323"/>
    <col min="12680" max="12680" width="18.26953125" style="323" customWidth="1"/>
    <col min="12681" max="12689" width="10.26953125" style="323"/>
    <col min="12690" max="12692" width="0" style="323" hidden="1" customWidth="1"/>
    <col min="12693" max="12800" width="10.26953125" style="323"/>
    <col min="12801" max="12801" width="36.453125" style="323" customWidth="1"/>
    <col min="12802" max="12852" width="13.7265625" style="323" customWidth="1"/>
    <col min="12853" max="12935" width="10.26953125" style="323"/>
    <col min="12936" max="12936" width="18.26953125" style="323" customWidth="1"/>
    <col min="12937" max="12945" width="10.26953125" style="323"/>
    <col min="12946" max="12948" width="0" style="323" hidden="1" customWidth="1"/>
    <col min="12949" max="13056" width="10.26953125" style="323"/>
    <col min="13057" max="13057" width="36.453125" style="323" customWidth="1"/>
    <col min="13058" max="13108" width="13.7265625" style="323" customWidth="1"/>
    <col min="13109" max="13191" width="10.26953125" style="323"/>
    <col min="13192" max="13192" width="18.26953125" style="323" customWidth="1"/>
    <col min="13193" max="13201" width="10.26953125" style="323"/>
    <col min="13202" max="13204" width="0" style="323" hidden="1" customWidth="1"/>
    <col min="13205" max="13312" width="10.26953125" style="323"/>
    <col min="13313" max="13313" width="36.453125" style="323" customWidth="1"/>
    <col min="13314" max="13364" width="13.7265625" style="323" customWidth="1"/>
    <col min="13365" max="13447" width="10.26953125" style="323"/>
    <col min="13448" max="13448" width="18.26953125" style="323" customWidth="1"/>
    <col min="13449" max="13457" width="10.26953125" style="323"/>
    <col min="13458" max="13460" width="0" style="323" hidden="1" customWidth="1"/>
    <col min="13461" max="13568" width="10.26953125" style="323"/>
    <col min="13569" max="13569" width="36.453125" style="323" customWidth="1"/>
    <col min="13570" max="13620" width="13.7265625" style="323" customWidth="1"/>
    <col min="13621" max="13703" width="10.26953125" style="323"/>
    <col min="13704" max="13704" width="18.26953125" style="323" customWidth="1"/>
    <col min="13705" max="13713" width="10.26953125" style="323"/>
    <col min="13714" max="13716" width="0" style="323" hidden="1" customWidth="1"/>
    <col min="13717" max="13824" width="10.26953125" style="323"/>
    <col min="13825" max="13825" width="36.453125" style="323" customWidth="1"/>
    <col min="13826" max="13876" width="13.7265625" style="323" customWidth="1"/>
    <col min="13877" max="13959" width="10.26953125" style="323"/>
    <col min="13960" max="13960" width="18.26953125" style="323" customWidth="1"/>
    <col min="13961" max="13969" width="10.26953125" style="323"/>
    <col min="13970" max="13972" width="0" style="323" hidden="1" customWidth="1"/>
    <col min="13973" max="14080" width="10.26953125" style="323"/>
    <col min="14081" max="14081" width="36.453125" style="323" customWidth="1"/>
    <col min="14082" max="14132" width="13.7265625" style="323" customWidth="1"/>
    <col min="14133" max="14215" width="10.26953125" style="323"/>
    <col min="14216" max="14216" width="18.26953125" style="323" customWidth="1"/>
    <col min="14217" max="14225" width="10.26953125" style="323"/>
    <col min="14226" max="14228" width="0" style="323" hidden="1" customWidth="1"/>
    <col min="14229" max="14336" width="10.26953125" style="323"/>
    <col min="14337" max="14337" width="36.453125" style="323" customWidth="1"/>
    <col min="14338" max="14388" width="13.7265625" style="323" customWidth="1"/>
    <col min="14389" max="14471" width="10.26953125" style="323"/>
    <col min="14472" max="14472" width="18.26953125" style="323" customWidth="1"/>
    <col min="14473" max="14481" width="10.26953125" style="323"/>
    <col min="14482" max="14484" width="0" style="323" hidden="1" customWidth="1"/>
    <col min="14485" max="14592" width="10.26953125" style="323"/>
    <col min="14593" max="14593" width="36.453125" style="323" customWidth="1"/>
    <col min="14594" max="14644" width="13.7265625" style="323" customWidth="1"/>
    <col min="14645" max="14727" width="10.26953125" style="323"/>
    <col min="14728" max="14728" width="18.26953125" style="323" customWidth="1"/>
    <col min="14729" max="14737" width="10.26953125" style="323"/>
    <col min="14738" max="14740" width="0" style="323" hidden="1" customWidth="1"/>
    <col min="14741" max="14848" width="10.26953125" style="323"/>
    <col min="14849" max="14849" width="36.453125" style="323" customWidth="1"/>
    <col min="14850" max="14900" width="13.7265625" style="323" customWidth="1"/>
    <col min="14901" max="14983" width="10.26953125" style="323"/>
    <col min="14984" max="14984" width="18.26953125" style="323" customWidth="1"/>
    <col min="14985" max="14993" width="10.26953125" style="323"/>
    <col min="14994" max="14996" width="0" style="323" hidden="1" customWidth="1"/>
    <col min="14997" max="15104" width="10.26953125" style="323"/>
    <col min="15105" max="15105" width="36.453125" style="323" customWidth="1"/>
    <col min="15106" max="15156" width="13.7265625" style="323" customWidth="1"/>
    <col min="15157" max="15239" width="10.26953125" style="323"/>
    <col min="15240" max="15240" width="18.26953125" style="323" customWidth="1"/>
    <col min="15241" max="15249" width="10.26953125" style="323"/>
    <col min="15250" max="15252" width="0" style="323" hidden="1" customWidth="1"/>
    <col min="15253" max="15360" width="10.26953125" style="323"/>
    <col min="15361" max="15361" width="36.453125" style="323" customWidth="1"/>
    <col min="15362" max="15412" width="13.7265625" style="323" customWidth="1"/>
    <col min="15413" max="15495" width="10.26953125" style="323"/>
    <col min="15496" max="15496" width="18.26953125" style="323" customWidth="1"/>
    <col min="15497" max="15505" width="10.26953125" style="323"/>
    <col min="15506" max="15508" width="0" style="323" hidden="1" customWidth="1"/>
    <col min="15509" max="15616" width="10.26953125" style="323"/>
    <col min="15617" max="15617" width="36.453125" style="323" customWidth="1"/>
    <col min="15618" max="15668" width="13.7265625" style="323" customWidth="1"/>
    <col min="15669" max="15751" width="10.26953125" style="323"/>
    <col min="15752" max="15752" width="18.26953125" style="323" customWidth="1"/>
    <col min="15753" max="15761" width="10.26953125" style="323"/>
    <col min="15762" max="15764" width="0" style="323" hidden="1" customWidth="1"/>
    <col min="15765" max="15872" width="10.26953125" style="323"/>
    <col min="15873" max="15873" width="36.453125" style="323" customWidth="1"/>
    <col min="15874" max="15924" width="13.7265625" style="323" customWidth="1"/>
    <col min="15925" max="16007" width="10.26953125" style="323"/>
    <col min="16008" max="16008" width="18.26953125" style="323" customWidth="1"/>
    <col min="16009" max="16017" width="10.26953125" style="323"/>
    <col min="16018" max="16020" width="0" style="323" hidden="1" customWidth="1"/>
    <col min="16021" max="16128" width="10.26953125" style="323"/>
    <col min="16129" max="16129" width="36.453125" style="323" customWidth="1"/>
    <col min="16130" max="16180" width="13.7265625" style="323" customWidth="1"/>
    <col min="16181" max="16263" width="10.26953125" style="323"/>
    <col min="16264" max="16264" width="18.26953125" style="323" customWidth="1"/>
    <col min="16265" max="16273" width="10.26953125" style="323"/>
    <col min="16274" max="16276" width="0" style="323" hidden="1" customWidth="1"/>
    <col min="16277" max="16384" width="10.26953125" style="323"/>
  </cols>
  <sheetData>
    <row r="2" spans="1:199">
      <c r="A2" s="322" t="s">
        <v>648</v>
      </c>
    </row>
    <row r="3" spans="1:199">
      <c r="A3" s="322" t="s">
        <v>635</v>
      </c>
    </row>
    <row r="4" spans="1:199">
      <c r="A4" s="323" t="s">
        <v>192</v>
      </c>
      <c r="B4" s="46"/>
      <c r="EA4" s="31"/>
    </row>
    <row r="5" spans="1:199" ht="13.5" thickBot="1">
      <c r="B5" s="323" t="s">
        <v>637</v>
      </c>
      <c r="AV5" s="323" t="s">
        <v>637</v>
      </c>
    </row>
    <row r="6" spans="1:199" ht="15.75" customHeight="1">
      <c r="A6" s="336"/>
      <c r="B6" s="337"/>
      <c r="C6" s="338">
        <v>1948</v>
      </c>
      <c r="D6" s="339"/>
      <c r="E6" s="337"/>
      <c r="F6" s="338">
        <v>1949</v>
      </c>
      <c r="G6" s="339"/>
      <c r="H6" s="340"/>
      <c r="I6" s="341">
        <v>1950</v>
      </c>
      <c r="J6" s="342"/>
      <c r="K6" s="337"/>
      <c r="L6" s="338">
        <v>1951</v>
      </c>
      <c r="M6" s="339"/>
      <c r="N6" s="337"/>
      <c r="O6" s="338">
        <v>1952</v>
      </c>
      <c r="P6" s="339"/>
      <c r="Q6" s="340"/>
      <c r="R6" s="341">
        <v>1953</v>
      </c>
      <c r="S6" s="342"/>
      <c r="T6" s="337"/>
      <c r="U6" s="338">
        <v>1954</v>
      </c>
      <c r="V6" s="339"/>
      <c r="W6" s="340"/>
      <c r="X6" s="341">
        <v>1955</v>
      </c>
      <c r="Y6" s="342"/>
      <c r="Z6" s="337"/>
      <c r="AA6" s="338">
        <v>1956</v>
      </c>
      <c r="AB6" s="339"/>
      <c r="AC6" s="337" t="s">
        <v>637</v>
      </c>
      <c r="AD6" s="338">
        <v>1957</v>
      </c>
      <c r="AE6" s="339"/>
      <c r="AF6" s="337"/>
      <c r="AG6" s="338">
        <v>1958</v>
      </c>
      <c r="AH6" s="339"/>
      <c r="AI6" s="337"/>
      <c r="AJ6" s="338">
        <v>1959</v>
      </c>
      <c r="AK6" s="339"/>
      <c r="AL6" s="337"/>
      <c r="AM6" s="338">
        <v>1960</v>
      </c>
      <c r="AN6" s="339"/>
      <c r="AO6" s="337"/>
      <c r="AP6" s="338">
        <v>1961</v>
      </c>
      <c r="AQ6" s="339"/>
      <c r="AR6" s="337"/>
      <c r="AS6" s="338">
        <v>1962</v>
      </c>
      <c r="AT6" s="339"/>
      <c r="AU6" s="337"/>
      <c r="AV6" s="338">
        <v>1963</v>
      </c>
      <c r="AW6" s="339"/>
      <c r="AX6" s="337"/>
      <c r="AY6" s="338">
        <v>1964</v>
      </c>
      <c r="AZ6" s="339"/>
      <c r="BA6" s="343"/>
      <c r="BB6" s="338">
        <v>1965</v>
      </c>
      <c r="BC6" s="339"/>
      <c r="BD6" s="344"/>
      <c r="BE6" s="338">
        <v>1966</v>
      </c>
      <c r="BF6" s="339"/>
      <c r="BG6" s="337"/>
      <c r="BH6" s="338">
        <v>1967</v>
      </c>
      <c r="BI6" s="339"/>
      <c r="BJ6" s="343"/>
      <c r="BK6" s="338">
        <v>1968</v>
      </c>
      <c r="BL6" s="339"/>
      <c r="BM6" s="337"/>
      <c r="BN6" s="338">
        <v>1969</v>
      </c>
      <c r="BO6" s="339"/>
      <c r="BP6" s="343"/>
      <c r="BQ6" s="338">
        <v>1970</v>
      </c>
      <c r="BR6" s="339"/>
      <c r="BS6" s="343"/>
      <c r="BT6" s="338">
        <v>1971</v>
      </c>
      <c r="BU6" s="339"/>
      <c r="BV6" s="343"/>
      <c r="BW6" s="338">
        <v>1972</v>
      </c>
      <c r="BX6" s="339"/>
      <c r="BY6" s="337"/>
      <c r="BZ6" s="338">
        <v>1973</v>
      </c>
      <c r="CA6" s="339" t="s">
        <v>637</v>
      </c>
      <c r="CB6" s="337"/>
      <c r="CC6" s="338">
        <v>1974</v>
      </c>
      <c r="CD6" s="339"/>
      <c r="CE6" s="337"/>
      <c r="CF6" s="338">
        <v>1975</v>
      </c>
      <c r="CG6" s="339"/>
      <c r="CH6" s="337"/>
      <c r="CI6" s="338">
        <v>1976</v>
      </c>
      <c r="CJ6" s="339"/>
      <c r="CK6" s="337"/>
      <c r="CL6" s="338">
        <v>1977</v>
      </c>
      <c r="CM6" s="339"/>
      <c r="CN6" s="337"/>
      <c r="CO6" s="338">
        <v>1978</v>
      </c>
      <c r="CP6" s="339"/>
      <c r="CQ6" s="337"/>
      <c r="CR6" s="338">
        <v>1979</v>
      </c>
      <c r="CS6" s="339"/>
      <c r="CT6" s="337" t="s">
        <v>637</v>
      </c>
      <c r="CU6" s="338">
        <v>1980</v>
      </c>
      <c r="CV6" s="339"/>
      <c r="CW6" s="337"/>
      <c r="CX6" s="338">
        <v>1981</v>
      </c>
      <c r="CY6" s="339"/>
      <c r="CZ6" s="337"/>
      <c r="DA6" s="338">
        <v>1982</v>
      </c>
      <c r="DB6" s="339"/>
      <c r="DC6" s="337"/>
      <c r="DD6" s="338">
        <v>1983</v>
      </c>
      <c r="DE6" s="339"/>
      <c r="DF6" s="337"/>
      <c r="DG6" s="338">
        <v>1984</v>
      </c>
      <c r="DH6" s="339"/>
      <c r="DI6" s="337"/>
      <c r="DJ6" s="338">
        <v>1985</v>
      </c>
      <c r="DK6" s="339"/>
      <c r="DL6" s="337"/>
      <c r="DM6" s="338">
        <v>1986</v>
      </c>
      <c r="DN6" s="339"/>
      <c r="DO6" s="337"/>
      <c r="DP6" s="338">
        <v>1987</v>
      </c>
      <c r="DQ6" s="339"/>
      <c r="DR6" s="337"/>
      <c r="DS6" s="338">
        <v>1988</v>
      </c>
      <c r="DT6" s="339"/>
      <c r="DU6" s="337"/>
      <c r="DV6" s="338">
        <v>1989</v>
      </c>
      <c r="DW6" s="339"/>
      <c r="DX6" s="337"/>
      <c r="DY6" s="338">
        <v>1990</v>
      </c>
      <c r="DZ6" s="339"/>
      <c r="EA6" s="337"/>
      <c r="EB6" s="338">
        <v>1991</v>
      </c>
      <c r="EC6" s="339"/>
      <c r="ED6" s="337"/>
      <c r="EE6" s="338">
        <v>1992</v>
      </c>
      <c r="EF6" s="339"/>
      <c r="EG6" s="345"/>
      <c r="EH6" s="338">
        <v>1993</v>
      </c>
      <c r="EI6" s="346"/>
      <c r="EJ6" s="345"/>
      <c r="EK6" s="338">
        <v>1994</v>
      </c>
      <c r="EL6" s="346"/>
      <c r="EM6" s="345"/>
      <c r="EN6" s="338">
        <v>1995</v>
      </c>
      <c r="EO6" s="346"/>
      <c r="EP6" s="347"/>
      <c r="EQ6" s="348" t="s">
        <v>649</v>
      </c>
      <c r="ER6" s="349"/>
    </row>
    <row r="7" spans="1:199" ht="15.75" customHeight="1" thickBot="1">
      <c r="A7" s="334"/>
      <c r="B7" s="350" t="s">
        <v>650</v>
      </c>
      <c r="C7" s="351" t="s">
        <v>651</v>
      </c>
      <c r="D7" s="352" t="s">
        <v>652</v>
      </c>
      <c r="E7" s="350" t="s">
        <v>650</v>
      </c>
      <c r="F7" s="351" t="s">
        <v>651</v>
      </c>
      <c r="G7" s="352" t="s">
        <v>652</v>
      </c>
      <c r="H7" s="350" t="s">
        <v>650</v>
      </c>
      <c r="I7" s="351" t="s">
        <v>651</v>
      </c>
      <c r="J7" s="352" t="s">
        <v>652</v>
      </c>
      <c r="K7" s="350" t="s">
        <v>650</v>
      </c>
      <c r="L7" s="351" t="s">
        <v>651</v>
      </c>
      <c r="M7" s="352" t="s">
        <v>652</v>
      </c>
      <c r="N7" s="350" t="s">
        <v>650</v>
      </c>
      <c r="O7" s="351" t="s">
        <v>651</v>
      </c>
      <c r="P7" s="352" t="s">
        <v>652</v>
      </c>
      <c r="Q7" s="353" t="s">
        <v>650</v>
      </c>
      <c r="R7" s="354" t="s">
        <v>651</v>
      </c>
      <c r="S7" s="352" t="s">
        <v>652</v>
      </c>
      <c r="T7" s="350" t="s">
        <v>650</v>
      </c>
      <c r="U7" s="351" t="s">
        <v>651</v>
      </c>
      <c r="V7" s="352" t="s">
        <v>652</v>
      </c>
      <c r="W7" s="354" t="s">
        <v>650</v>
      </c>
      <c r="X7" s="354" t="s">
        <v>651</v>
      </c>
      <c r="Y7" s="352" t="s">
        <v>652</v>
      </c>
      <c r="Z7" s="350" t="s">
        <v>650</v>
      </c>
      <c r="AA7" s="351" t="s">
        <v>651</v>
      </c>
      <c r="AB7" s="352" t="s">
        <v>652</v>
      </c>
      <c r="AC7" s="350" t="s">
        <v>650</v>
      </c>
      <c r="AD7" s="351" t="s">
        <v>651</v>
      </c>
      <c r="AE7" s="352" t="s">
        <v>652</v>
      </c>
      <c r="AF7" s="350" t="s">
        <v>650</v>
      </c>
      <c r="AG7" s="351" t="s">
        <v>651</v>
      </c>
      <c r="AH7" s="352" t="s">
        <v>652</v>
      </c>
      <c r="AI7" s="350" t="s">
        <v>650</v>
      </c>
      <c r="AJ7" s="351" t="s">
        <v>651</v>
      </c>
      <c r="AK7" s="352" t="s">
        <v>652</v>
      </c>
      <c r="AL7" s="350" t="s">
        <v>650</v>
      </c>
      <c r="AM7" s="351" t="s">
        <v>651</v>
      </c>
      <c r="AN7" s="352" t="s">
        <v>652</v>
      </c>
      <c r="AO7" s="350" t="s">
        <v>650</v>
      </c>
      <c r="AP7" s="351" t="s">
        <v>651</v>
      </c>
      <c r="AQ7" s="352" t="s">
        <v>652</v>
      </c>
      <c r="AR7" s="350" t="s">
        <v>650</v>
      </c>
      <c r="AS7" s="351" t="s">
        <v>651</v>
      </c>
      <c r="AT7" s="352" t="s">
        <v>652</v>
      </c>
      <c r="AU7" s="350" t="s">
        <v>650</v>
      </c>
      <c r="AV7" s="351" t="s">
        <v>651</v>
      </c>
      <c r="AW7" s="352" t="s">
        <v>652</v>
      </c>
      <c r="AX7" s="350" t="s">
        <v>650</v>
      </c>
      <c r="AY7" s="351" t="s">
        <v>651</v>
      </c>
      <c r="AZ7" s="352" t="s">
        <v>652</v>
      </c>
      <c r="BA7" s="350" t="s">
        <v>650</v>
      </c>
      <c r="BB7" s="351" t="s">
        <v>651</v>
      </c>
      <c r="BC7" s="352" t="s">
        <v>652</v>
      </c>
      <c r="BD7" s="350" t="s">
        <v>650</v>
      </c>
      <c r="BE7" s="351" t="s">
        <v>651</v>
      </c>
      <c r="BF7" s="352" t="s">
        <v>652</v>
      </c>
      <c r="BG7" s="350" t="s">
        <v>650</v>
      </c>
      <c r="BH7" s="351" t="s">
        <v>651</v>
      </c>
      <c r="BI7" s="352" t="s">
        <v>652</v>
      </c>
      <c r="BJ7" s="350" t="s">
        <v>650</v>
      </c>
      <c r="BK7" s="351" t="s">
        <v>651</v>
      </c>
      <c r="BL7" s="352" t="s">
        <v>652</v>
      </c>
      <c r="BM7" s="350" t="s">
        <v>650</v>
      </c>
      <c r="BN7" s="351" t="s">
        <v>651</v>
      </c>
      <c r="BO7" s="352" t="s">
        <v>652</v>
      </c>
      <c r="BP7" s="350" t="s">
        <v>650</v>
      </c>
      <c r="BQ7" s="351" t="s">
        <v>651</v>
      </c>
      <c r="BR7" s="352" t="s">
        <v>652</v>
      </c>
      <c r="BS7" s="350" t="s">
        <v>650</v>
      </c>
      <c r="BT7" s="351" t="s">
        <v>651</v>
      </c>
      <c r="BU7" s="352" t="s">
        <v>652</v>
      </c>
      <c r="BV7" s="350" t="s">
        <v>650</v>
      </c>
      <c r="BW7" s="351" t="s">
        <v>651</v>
      </c>
      <c r="BX7" s="352" t="s">
        <v>652</v>
      </c>
      <c r="BY7" s="350" t="s">
        <v>650</v>
      </c>
      <c r="BZ7" s="351" t="s">
        <v>651</v>
      </c>
      <c r="CA7" s="352" t="s">
        <v>652</v>
      </c>
      <c r="CB7" s="350" t="s">
        <v>650</v>
      </c>
      <c r="CC7" s="351" t="s">
        <v>651</v>
      </c>
      <c r="CD7" s="352" t="s">
        <v>652</v>
      </c>
      <c r="CE7" s="350" t="s">
        <v>650</v>
      </c>
      <c r="CF7" s="351" t="s">
        <v>651</v>
      </c>
      <c r="CG7" s="352" t="s">
        <v>652</v>
      </c>
      <c r="CH7" s="350" t="s">
        <v>650</v>
      </c>
      <c r="CI7" s="351" t="s">
        <v>651</v>
      </c>
      <c r="CJ7" s="352" t="s">
        <v>652</v>
      </c>
      <c r="CK7" s="350" t="s">
        <v>650</v>
      </c>
      <c r="CL7" s="351" t="s">
        <v>651</v>
      </c>
      <c r="CM7" s="352" t="s">
        <v>652</v>
      </c>
      <c r="CN7" s="350" t="s">
        <v>650</v>
      </c>
      <c r="CO7" s="351" t="s">
        <v>651</v>
      </c>
      <c r="CP7" s="352" t="s">
        <v>652</v>
      </c>
      <c r="CQ7" s="350" t="s">
        <v>650</v>
      </c>
      <c r="CR7" s="351" t="s">
        <v>651</v>
      </c>
      <c r="CS7" s="352" t="s">
        <v>652</v>
      </c>
      <c r="CT7" s="350" t="s">
        <v>650</v>
      </c>
      <c r="CU7" s="351" t="s">
        <v>651</v>
      </c>
      <c r="CV7" s="352" t="s">
        <v>652</v>
      </c>
      <c r="CW7" s="350" t="s">
        <v>650</v>
      </c>
      <c r="CX7" s="351" t="s">
        <v>651</v>
      </c>
      <c r="CY7" s="352" t="s">
        <v>652</v>
      </c>
      <c r="CZ7" s="350" t="s">
        <v>650</v>
      </c>
      <c r="DA7" s="351" t="s">
        <v>651</v>
      </c>
      <c r="DB7" s="352" t="s">
        <v>652</v>
      </c>
      <c r="DC7" s="350" t="s">
        <v>650</v>
      </c>
      <c r="DD7" s="351" t="s">
        <v>651</v>
      </c>
      <c r="DE7" s="352" t="s">
        <v>652</v>
      </c>
      <c r="DF7" s="350" t="s">
        <v>650</v>
      </c>
      <c r="DG7" s="351" t="s">
        <v>651</v>
      </c>
      <c r="DH7" s="352" t="s">
        <v>652</v>
      </c>
      <c r="DI7" s="350" t="s">
        <v>650</v>
      </c>
      <c r="DJ7" s="351" t="s">
        <v>651</v>
      </c>
      <c r="DK7" s="352" t="s">
        <v>652</v>
      </c>
      <c r="DL7" s="350" t="s">
        <v>650</v>
      </c>
      <c r="DM7" s="351" t="s">
        <v>651</v>
      </c>
      <c r="DN7" s="352" t="s">
        <v>652</v>
      </c>
      <c r="DO7" s="350" t="s">
        <v>650</v>
      </c>
      <c r="DP7" s="351" t="s">
        <v>651</v>
      </c>
      <c r="DQ7" s="352" t="s">
        <v>652</v>
      </c>
      <c r="DR7" s="350" t="s">
        <v>650</v>
      </c>
      <c r="DS7" s="351" t="s">
        <v>651</v>
      </c>
      <c r="DT7" s="352" t="s">
        <v>652</v>
      </c>
      <c r="DU7" s="350" t="s">
        <v>650</v>
      </c>
      <c r="DV7" s="351" t="s">
        <v>651</v>
      </c>
      <c r="DW7" s="352" t="s">
        <v>652</v>
      </c>
      <c r="DX7" s="350" t="s">
        <v>650</v>
      </c>
      <c r="DY7" s="351" t="s">
        <v>651</v>
      </c>
      <c r="DZ7" s="352" t="s">
        <v>652</v>
      </c>
      <c r="EA7" s="350" t="s">
        <v>650</v>
      </c>
      <c r="EB7" s="351" t="s">
        <v>651</v>
      </c>
      <c r="EC7" s="352" t="s">
        <v>652</v>
      </c>
      <c r="ED7" s="350" t="s">
        <v>650</v>
      </c>
      <c r="EE7" s="351" t="s">
        <v>651</v>
      </c>
      <c r="EF7" s="352" t="s">
        <v>652</v>
      </c>
      <c r="EG7" s="350" t="s">
        <v>650</v>
      </c>
      <c r="EH7" s="351" t="s">
        <v>651</v>
      </c>
      <c r="EI7" s="352" t="s">
        <v>652</v>
      </c>
      <c r="EJ7" s="350" t="s">
        <v>650</v>
      </c>
      <c r="EK7" s="351" t="s">
        <v>651</v>
      </c>
      <c r="EL7" s="352" t="s">
        <v>652</v>
      </c>
      <c r="EM7" s="350" t="s">
        <v>650</v>
      </c>
      <c r="EN7" s="351" t="s">
        <v>651</v>
      </c>
      <c r="EO7" s="352" t="s">
        <v>652</v>
      </c>
      <c r="EP7" s="355" t="s">
        <v>650</v>
      </c>
      <c r="EQ7" s="356" t="s">
        <v>651</v>
      </c>
      <c r="ER7" s="357" t="s">
        <v>652</v>
      </c>
    </row>
    <row r="8" spans="1:199" ht="15" customHeight="1">
      <c r="A8" s="327" t="s">
        <v>636</v>
      </c>
      <c r="B8" s="38">
        <v>11481.366370247784</v>
      </c>
      <c r="C8" s="39">
        <v>7324.0378448156744</v>
      </c>
      <c r="D8" s="42">
        <v>-4157.3285254321099</v>
      </c>
      <c r="E8" s="38">
        <v>10442.429598412755</v>
      </c>
      <c r="F8" s="39">
        <v>7313.6311150238098</v>
      </c>
      <c r="G8" s="42">
        <v>-3128.798483388945</v>
      </c>
      <c r="H8" s="358">
        <v>9669.3279906673724</v>
      </c>
      <c r="I8" s="358">
        <v>9324.3165268486846</v>
      </c>
      <c r="J8" s="328">
        <v>-345.01146381868784</v>
      </c>
      <c r="K8" s="359">
        <v>11694.303081011845</v>
      </c>
      <c r="L8" s="358">
        <v>11709.563969264875</v>
      </c>
      <c r="M8" s="328">
        <v>15.260888253029407</v>
      </c>
      <c r="N8" s="358">
        <v>12295.737959695005</v>
      </c>
      <c r="O8" s="358">
        <v>10672.271026907758</v>
      </c>
      <c r="P8" s="328">
        <v>-1623.4669327872471</v>
      </c>
      <c r="Q8" s="360">
        <v>11753.76680532526</v>
      </c>
      <c r="R8" s="361">
        <v>10180.95097839003</v>
      </c>
      <c r="S8" s="42">
        <v>-1572.8158269352298</v>
      </c>
      <c r="T8" s="360">
        <v>12750.115843836584</v>
      </c>
      <c r="U8" s="361">
        <v>11648.458005909544</v>
      </c>
      <c r="V8" s="42">
        <v>-1101.6578379270395</v>
      </c>
      <c r="W8" s="361">
        <v>14324.792657790967</v>
      </c>
      <c r="X8" s="361">
        <v>12993.387820052927</v>
      </c>
      <c r="Y8" s="42">
        <v>-1331.4048377380404</v>
      </c>
      <c r="Z8" s="38">
        <v>15423.502395503028</v>
      </c>
      <c r="AA8" s="39">
        <v>14542.162785177614</v>
      </c>
      <c r="AB8" s="42">
        <v>-881.33961032541447</v>
      </c>
      <c r="AC8" s="38">
        <v>17175.268674539853</v>
      </c>
      <c r="AD8" s="39">
        <v>15366.608358005371</v>
      </c>
      <c r="AE8" s="42">
        <v>-1808.6603165344823</v>
      </c>
      <c r="AF8" s="362">
        <v>16987.862695216711</v>
      </c>
      <c r="AG8" s="363">
        <v>16451.999510596357</v>
      </c>
      <c r="AH8" s="328">
        <v>-535.86318462035342</v>
      </c>
      <c r="AI8" s="362">
        <v>16904.750193607011</v>
      </c>
      <c r="AJ8" s="363">
        <v>16017.09868284143</v>
      </c>
      <c r="AK8" s="328">
        <v>-887.65151076558141</v>
      </c>
      <c r="AL8" s="362">
        <v>19498.904936588704</v>
      </c>
      <c r="AM8" s="363">
        <v>17798.149626529688</v>
      </c>
      <c r="AN8" s="328">
        <v>-1700.7553100590158</v>
      </c>
      <c r="AO8" s="38">
        <v>25782.756090677929</v>
      </c>
      <c r="AP8" s="39">
        <v>17912.485557470529</v>
      </c>
      <c r="AQ8" s="42">
        <v>-7870.2705332074001</v>
      </c>
      <c r="AR8" s="38">
        <v>23507.142315058354</v>
      </c>
      <c r="AS8" s="39">
        <v>22314.799315195254</v>
      </c>
      <c r="AT8" s="42">
        <v>-1192.3429998631</v>
      </c>
      <c r="AU8" s="38">
        <v>26109.577951612948</v>
      </c>
      <c r="AV8" s="39">
        <v>24792.607792077113</v>
      </c>
      <c r="AW8" s="42">
        <v>-1316.9701595358347</v>
      </c>
      <c r="AX8" s="38">
        <v>31554.881992004262</v>
      </c>
      <c r="AY8" s="39">
        <v>31611.347594640883</v>
      </c>
      <c r="AZ8" s="42">
        <v>56.465602636621043</v>
      </c>
      <c r="BA8" s="38">
        <v>37073.121058054123</v>
      </c>
      <c r="BB8" s="39">
        <v>36613.208877979159</v>
      </c>
      <c r="BC8" s="42">
        <v>-459.91218007496354</v>
      </c>
      <c r="BD8" s="38">
        <v>40511.844630025633</v>
      </c>
      <c r="BE8" s="39">
        <v>42435.566759355548</v>
      </c>
      <c r="BF8" s="42">
        <v>1923.7221293299153</v>
      </c>
      <c r="BG8" s="38">
        <v>43364.440641074616</v>
      </c>
      <c r="BH8" s="39">
        <v>48230.484934898515</v>
      </c>
      <c r="BI8" s="42">
        <v>4866.0442938238994</v>
      </c>
      <c r="BJ8" s="38">
        <v>48737.38696241266</v>
      </c>
      <c r="BK8" s="39">
        <v>49930.646124053012</v>
      </c>
      <c r="BL8" s="42">
        <v>1193.2591616403515</v>
      </c>
      <c r="BM8" s="38">
        <v>51882.892289149138</v>
      </c>
      <c r="BN8" s="39">
        <v>56576.344402565199</v>
      </c>
      <c r="BO8" s="42">
        <v>4693.4521134160605</v>
      </c>
      <c r="BP8" s="38">
        <v>62373.042048541407</v>
      </c>
      <c r="BQ8" s="39">
        <v>64086.281286095749</v>
      </c>
      <c r="BR8" s="42">
        <v>1713.2392375543423</v>
      </c>
      <c r="BS8" s="38">
        <v>72665.979959007658</v>
      </c>
      <c r="BT8" s="39">
        <v>76559.971590331159</v>
      </c>
      <c r="BU8" s="42">
        <v>3893.9916313235008</v>
      </c>
      <c r="BV8" s="38">
        <v>83117.559951035131</v>
      </c>
      <c r="BW8" s="39">
        <v>91744.965075159984</v>
      </c>
      <c r="BX8" s="42">
        <v>8627.4051241248526</v>
      </c>
      <c r="BY8" s="38">
        <v>105163.37177716084</v>
      </c>
      <c r="BZ8" s="39">
        <v>111713.16604818362</v>
      </c>
      <c r="CA8" s="42">
        <v>6549.7942710227799</v>
      </c>
      <c r="CB8" s="38">
        <v>154804.19609869155</v>
      </c>
      <c r="CC8" s="39">
        <v>130297.5087850119</v>
      </c>
      <c r="CD8" s="42">
        <v>-24506.687313679649</v>
      </c>
      <c r="CE8" s="38">
        <v>137006.49510737459</v>
      </c>
      <c r="CF8" s="39">
        <v>111905.568488156</v>
      </c>
      <c r="CG8" s="42">
        <v>-25100.92661921859</v>
      </c>
      <c r="CH8" s="38">
        <v>162611.44576624269</v>
      </c>
      <c r="CI8" s="39">
        <v>118652.48074230005</v>
      </c>
      <c r="CJ8" s="42">
        <v>-43958.965023942641</v>
      </c>
      <c r="CK8" s="38">
        <v>231027.58090556748</v>
      </c>
      <c r="CL8" s="39">
        <v>170509.66367453508</v>
      </c>
      <c r="CM8" s="42">
        <v>-60517.917231032392</v>
      </c>
      <c r="CN8" s="38">
        <v>285325.76859166805</v>
      </c>
      <c r="CO8" s="39">
        <v>249607.00038075336</v>
      </c>
      <c r="CP8" s="42">
        <v>-35718.768210914684</v>
      </c>
      <c r="CQ8" s="38">
        <v>410349.89828171651</v>
      </c>
      <c r="CR8" s="39">
        <v>411501.32292741042</v>
      </c>
      <c r="CS8" s="42">
        <v>1151.4246456939145</v>
      </c>
      <c r="CT8" s="38">
        <v>604243.90282854589</v>
      </c>
      <c r="CU8" s="39">
        <v>535064.79801781639</v>
      </c>
      <c r="CV8" s="42">
        <v>-69179.104810729506</v>
      </c>
      <c r="CW8" s="38">
        <v>805619.2451559992</v>
      </c>
      <c r="CX8" s="39">
        <v>613916.2299901417</v>
      </c>
      <c r="CY8" s="42">
        <v>-191703.01516585751</v>
      </c>
      <c r="CZ8" s="38">
        <v>1017748.3856690399</v>
      </c>
      <c r="DA8" s="39">
        <v>741285.73150265031</v>
      </c>
      <c r="DB8" s="42">
        <v>-276462.65416638961</v>
      </c>
      <c r="DC8" s="38">
        <v>1213311.452747412</v>
      </c>
      <c r="DD8" s="39">
        <v>1017010.7087296464</v>
      </c>
      <c r="DE8" s="42">
        <v>-196300.74401776562</v>
      </c>
      <c r="DF8" s="38">
        <v>1581213.5216381876</v>
      </c>
      <c r="DG8" s="39">
        <v>1458365.8295788274</v>
      </c>
      <c r="DH8" s="42">
        <v>-122847.69205936021</v>
      </c>
      <c r="DI8" s="38">
        <v>1822992.3663512883</v>
      </c>
      <c r="DJ8" s="39">
        <v>1844029.7460940795</v>
      </c>
      <c r="DK8" s="42">
        <v>21037.379742791178</v>
      </c>
      <c r="DL8" s="38">
        <v>1961705.6068929399</v>
      </c>
      <c r="DM8" s="39">
        <v>2136700.1826566258</v>
      </c>
      <c r="DN8" s="42">
        <v>174994.57576368586</v>
      </c>
      <c r="DO8" s="38">
        <v>2544285.2519144374</v>
      </c>
      <c r="DP8" s="39">
        <v>2635043.165053552</v>
      </c>
      <c r="DQ8" s="42">
        <v>90757.913139114622</v>
      </c>
      <c r="DR8" s="38">
        <v>3258871.2401196887</v>
      </c>
      <c r="DS8" s="39">
        <v>3129428.6238056547</v>
      </c>
      <c r="DT8" s="42">
        <v>-129442.61631403398</v>
      </c>
      <c r="DU8" s="38">
        <v>3819432.7764777993</v>
      </c>
      <c r="DV8" s="39">
        <v>3907028.7468091198</v>
      </c>
      <c r="DW8" s="42">
        <v>87595.970331320539</v>
      </c>
      <c r="DX8" s="38">
        <v>4556492.9498982113</v>
      </c>
      <c r="DY8" s="39">
        <v>4602305.4336413983</v>
      </c>
      <c r="DZ8" s="42">
        <v>45812.48374318704</v>
      </c>
      <c r="EA8" s="38">
        <v>4996405</v>
      </c>
      <c r="EB8" s="39">
        <v>4892638.0028998805</v>
      </c>
      <c r="EC8" s="42">
        <v>-103767</v>
      </c>
      <c r="ED8" s="38">
        <v>5325092</v>
      </c>
      <c r="EE8" s="39">
        <v>5285256.1994502647</v>
      </c>
      <c r="EF8" s="42">
        <v>-39836</v>
      </c>
      <c r="EG8" s="38">
        <v>5432923.3977707</v>
      </c>
      <c r="EH8" s="39">
        <v>5434243</v>
      </c>
      <c r="EI8" s="42">
        <v>1319.6022292999551</v>
      </c>
      <c r="EJ8" s="38">
        <v>6189463.1370000001</v>
      </c>
      <c r="EK8" s="39">
        <v>5857641.0970000001</v>
      </c>
      <c r="EL8" s="42">
        <v>-331822.03999999998</v>
      </c>
      <c r="EM8" s="38">
        <v>6912034.5676666666</v>
      </c>
      <c r="EN8" s="39">
        <v>6888366.5676666666</v>
      </c>
      <c r="EO8" s="42">
        <v>-23668</v>
      </c>
      <c r="EP8" s="364">
        <v>6878861</v>
      </c>
      <c r="EQ8" s="365">
        <v>6855193</v>
      </c>
      <c r="ER8" s="366">
        <v>-23668</v>
      </c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</row>
    <row r="9" spans="1:199">
      <c r="A9" s="327" t="s">
        <v>653</v>
      </c>
      <c r="B9" s="38">
        <v>11017.700437079146</v>
      </c>
      <c r="C9" s="39">
        <v>5416.112166183485</v>
      </c>
      <c r="D9" s="42">
        <v>-5601.5882708956606</v>
      </c>
      <c r="E9" s="38">
        <v>10066.120554744615</v>
      </c>
      <c r="F9" s="39">
        <v>5471.7124844467271</v>
      </c>
      <c r="G9" s="42">
        <v>-4594.4080702978881</v>
      </c>
      <c r="H9" s="361">
        <v>8967.7628588123134</v>
      </c>
      <c r="I9" s="361">
        <v>6702.3304858942865</v>
      </c>
      <c r="J9" s="42">
        <v>-2265.4323729180269</v>
      </c>
      <c r="K9" s="360">
        <v>11213.260612511698</v>
      </c>
      <c r="L9" s="361">
        <v>9465.0643299231288</v>
      </c>
      <c r="M9" s="42">
        <v>-1748.1962825885694</v>
      </c>
      <c r="N9" s="361">
        <v>11929.438225879114</v>
      </c>
      <c r="O9" s="361">
        <v>9145.9272565635292</v>
      </c>
      <c r="P9" s="42">
        <v>-2783.5109693155846</v>
      </c>
      <c r="Q9" s="360">
        <v>11383.369259530406</v>
      </c>
      <c r="R9" s="361">
        <v>8344.770450556025</v>
      </c>
      <c r="S9" s="42">
        <v>-3038.5988089743805</v>
      </c>
      <c r="T9" s="360">
        <v>12346.471649378702</v>
      </c>
      <c r="U9" s="361">
        <v>9696.2755864320552</v>
      </c>
      <c r="V9" s="42">
        <v>-2650.1960629466466</v>
      </c>
      <c r="W9" s="361">
        <v>13838.112857838412</v>
      </c>
      <c r="X9" s="361">
        <v>10765.355060082045</v>
      </c>
      <c r="Y9" s="42">
        <v>-3072.7577977563669</v>
      </c>
      <c r="Z9" s="38">
        <v>14924.690955816035</v>
      </c>
      <c r="AA9" s="39">
        <v>11950.337325480072</v>
      </c>
      <c r="AB9" s="42">
        <v>-2974.3536303359633</v>
      </c>
      <c r="AC9" s="38">
        <v>16689.300912350307</v>
      </c>
      <c r="AD9" s="39">
        <v>12112.106150072112</v>
      </c>
      <c r="AE9" s="42">
        <v>-4577.1947622781954</v>
      </c>
      <c r="AF9" s="38">
        <v>16520.907691906104</v>
      </c>
      <c r="AG9" s="39">
        <v>13114.974550053445</v>
      </c>
      <c r="AH9" s="42">
        <v>-3405.9331418526599</v>
      </c>
      <c r="AI9" s="38">
        <v>16255.491514603109</v>
      </c>
      <c r="AJ9" s="39">
        <v>12305.651572428025</v>
      </c>
      <c r="AK9" s="42">
        <v>-3949.8399421750837</v>
      </c>
      <c r="AL9" s="38">
        <v>18798.078112448537</v>
      </c>
      <c r="AM9" s="39">
        <v>13905.580209666463</v>
      </c>
      <c r="AN9" s="42">
        <v>-4892.4979027820737</v>
      </c>
      <c r="AO9" s="38">
        <v>24657.659878570688</v>
      </c>
      <c r="AP9" s="39">
        <v>14313.961991419677</v>
      </c>
      <c r="AQ9" s="42">
        <v>-10343.697887151011</v>
      </c>
      <c r="AR9" s="38">
        <v>22457.423748861955</v>
      </c>
      <c r="AS9" s="39">
        <v>17795.861401360409</v>
      </c>
      <c r="AT9" s="42">
        <v>-4661.5623475015454</v>
      </c>
      <c r="AU9" s="38">
        <v>24787.7228358668</v>
      </c>
      <c r="AV9" s="39">
        <v>19629.250359934445</v>
      </c>
      <c r="AW9" s="42">
        <v>-5158.4724759323544</v>
      </c>
      <c r="AX9" s="38">
        <v>29832.262992004264</v>
      </c>
      <c r="AY9" s="39">
        <v>25363.220594640883</v>
      </c>
      <c r="AZ9" s="42">
        <v>-4469.0423973633806</v>
      </c>
      <c r="BA9" s="38">
        <v>35431.363058054121</v>
      </c>
      <c r="BB9" s="39">
        <v>29567.19687797916</v>
      </c>
      <c r="BC9" s="42">
        <v>-5864.1661800749607</v>
      </c>
      <c r="BD9" s="38">
        <v>38601.201630025636</v>
      </c>
      <c r="BE9" s="39">
        <v>34126.447759355549</v>
      </c>
      <c r="BF9" s="42">
        <v>-4474.7538706700871</v>
      </c>
      <c r="BG9" s="38">
        <v>41390.655641074613</v>
      </c>
      <c r="BH9" s="39">
        <v>37346.814934898517</v>
      </c>
      <c r="BI9" s="42">
        <v>-4043.8407061760954</v>
      </c>
      <c r="BJ9" s="38">
        <v>46398.855962412657</v>
      </c>
      <c r="BK9" s="39">
        <v>37504.29912405301</v>
      </c>
      <c r="BL9" s="42">
        <v>-8894.5568383596474</v>
      </c>
      <c r="BM9" s="38">
        <v>48890.837289149138</v>
      </c>
      <c r="BN9" s="39">
        <v>40640.965102565198</v>
      </c>
      <c r="BO9" s="42">
        <v>-8249.8721865839398</v>
      </c>
      <c r="BP9" s="38">
        <v>58804.846048541403</v>
      </c>
      <c r="BQ9" s="39">
        <v>46013.683286095751</v>
      </c>
      <c r="BR9" s="42">
        <v>-12791.162762445652</v>
      </c>
      <c r="BS9" s="38">
        <v>68505.716959007652</v>
      </c>
      <c r="BT9" s="39">
        <v>54230.423590331164</v>
      </c>
      <c r="BU9" s="42">
        <v>-14275.293368676488</v>
      </c>
      <c r="BV9" s="38">
        <v>78006.730951035133</v>
      </c>
      <c r="BW9" s="39">
        <v>63918.937075159985</v>
      </c>
      <c r="BX9" s="42">
        <v>-14087.793875875148</v>
      </c>
      <c r="BY9" s="38">
        <v>97830.325777160833</v>
      </c>
      <c r="BZ9" s="39">
        <v>78676.350048183609</v>
      </c>
      <c r="CA9" s="42">
        <v>-19153.975728977224</v>
      </c>
      <c r="CB9" s="38">
        <v>145528.15209869156</v>
      </c>
      <c r="CC9" s="39">
        <v>93118.892785011907</v>
      </c>
      <c r="CD9" s="42">
        <v>-52409.259313679649</v>
      </c>
      <c r="CE9" s="38">
        <v>126156.48710737459</v>
      </c>
      <c r="CF9" s="39">
        <v>76574.038488156002</v>
      </c>
      <c r="CG9" s="42">
        <v>-49582.448619218587</v>
      </c>
      <c r="CH9" s="38">
        <v>148091.34576624268</v>
      </c>
      <c r="CI9" s="39">
        <v>84325.980742300046</v>
      </c>
      <c r="CJ9" s="42">
        <v>-63765.365023942635</v>
      </c>
      <c r="CK9" s="38">
        <v>211373.08390556747</v>
      </c>
      <c r="CL9" s="39">
        <v>119220.46067453508</v>
      </c>
      <c r="CM9" s="42">
        <v>-92152.623231032398</v>
      </c>
      <c r="CN9" s="38">
        <v>257296.74559166803</v>
      </c>
      <c r="CO9" s="39">
        <v>167029.03638075336</v>
      </c>
      <c r="CP9" s="42">
        <v>-90267.709210914676</v>
      </c>
      <c r="CQ9" s="38">
        <v>373152.30228171649</v>
      </c>
      <c r="CR9" s="39">
        <v>276950.15992741042</v>
      </c>
      <c r="CS9" s="42">
        <v>-96202.142354306066</v>
      </c>
      <c r="CT9" s="38">
        <v>554078.0648285459</v>
      </c>
      <c r="CU9" s="39">
        <v>370227.06701781636</v>
      </c>
      <c r="CV9" s="42">
        <v>-183850.99781072955</v>
      </c>
      <c r="CW9" s="38">
        <v>718791.15715599922</v>
      </c>
      <c r="CX9" s="39">
        <v>418209.2299901417</v>
      </c>
      <c r="CY9" s="42">
        <v>-300581.92716585752</v>
      </c>
      <c r="CZ9" s="38">
        <v>878466.41466903989</v>
      </c>
      <c r="DA9" s="39">
        <v>507339.72350265027</v>
      </c>
      <c r="DB9" s="42">
        <v>-371126.69116638962</v>
      </c>
      <c r="DC9" s="38">
        <v>1034062.2867474119</v>
      </c>
      <c r="DD9" s="39">
        <v>743933.44072964636</v>
      </c>
      <c r="DE9" s="42">
        <v>-290128.84601776558</v>
      </c>
      <c r="DF9" s="38">
        <v>1328992.2196381877</v>
      </c>
      <c r="DG9" s="39">
        <v>1095171.7975788275</v>
      </c>
      <c r="DH9" s="42">
        <v>-233820.42205936019</v>
      </c>
      <c r="DI9" s="38">
        <v>1533060.6873512883</v>
      </c>
      <c r="DJ9" s="39">
        <v>1403497.1510940795</v>
      </c>
      <c r="DK9" s="42">
        <v>-129563.53625720879</v>
      </c>
      <c r="DL9" s="38">
        <v>1661564.67989294</v>
      </c>
      <c r="DM9" s="39">
        <v>1593561.7316566259</v>
      </c>
      <c r="DN9" s="42">
        <v>-68002.948236314114</v>
      </c>
      <c r="DO9" s="38">
        <v>2245483.5729144374</v>
      </c>
      <c r="DP9" s="39">
        <v>1956975.0730535518</v>
      </c>
      <c r="DQ9" s="42">
        <v>-288508.49986088555</v>
      </c>
      <c r="DR9" s="38">
        <v>2934941.9901196887</v>
      </c>
      <c r="DS9" s="39">
        <v>2328226.0338056548</v>
      </c>
      <c r="DT9" s="42">
        <v>-606715.95631403383</v>
      </c>
      <c r="DU9" s="38">
        <v>3448142.2434777995</v>
      </c>
      <c r="DV9" s="39">
        <v>2936299.4188091196</v>
      </c>
      <c r="DW9" s="42">
        <v>-511842.82466867985</v>
      </c>
      <c r="DX9" s="38">
        <v>4112800.740898211</v>
      </c>
      <c r="DY9" s="39">
        <v>3452485.7826413983</v>
      </c>
      <c r="DZ9" s="42">
        <v>-660314.95825681277</v>
      </c>
      <c r="EA9" s="38">
        <v>4465314</v>
      </c>
      <c r="EB9" s="39">
        <v>3567115.0108998809</v>
      </c>
      <c r="EC9" s="42">
        <v>-898199</v>
      </c>
      <c r="ED9" s="38">
        <v>4720988</v>
      </c>
      <c r="EE9" s="39">
        <v>3648592.3313391535</v>
      </c>
      <c r="EF9" s="42">
        <v>-1072395</v>
      </c>
      <c r="EG9" s="38">
        <v>4738980.3977707</v>
      </c>
      <c r="EH9" s="39">
        <v>3688899</v>
      </c>
      <c r="EI9" s="42">
        <v>-1050081.3977707</v>
      </c>
      <c r="EJ9" s="38">
        <v>5362786.1370000001</v>
      </c>
      <c r="EK9" s="39">
        <v>4212557.0970000001</v>
      </c>
      <c r="EL9" s="42">
        <v>-1150229.04</v>
      </c>
      <c r="EM9" s="38">
        <v>5972277.5676666666</v>
      </c>
      <c r="EN9" s="39">
        <v>4901568.5676666666</v>
      </c>
      <c r="EO9" s="42">
        <v>-1070709</v>
      </c>
      <c r="EP9" s="364">
        <v>5939104</v>
      </c>
      <c r="EQ9" s="365">
        <v>4868395</v>
      </c>
      <c r="ER9" s="366">
        <v>-1070709</v>
      </c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</row>
    <row r="10" spans="1:199">
      <c r="A10" s="327" t="s">
        <v>654</v>
      </c>
      <c r="B10" s="38">
        <v>9419.5015341431135</v>
      </c>
      <c r="C10" s="39">
        <v>4388.5167543240286</v>
      </c>
      <c r="D10" s="42">
        <v>-5030.9847798190849</v>
      </c>
      <c r="E10" s="38">
        <v>8257.8434658030565</v>
      </c>
      <c r="F10" s="39">
        <v>4187.9052990575265</v>
      </c>
      <c r="G10" s="42">
        <v>-4069.93816674553</v>
      </c>
      <c r="H10" s="361">
        <v>7227.9484247642413</v>
      </c>
      <c r="I10" s="361">
        <v>5432.8933820481025</v>
      </c>
      <c r="J10" s="42">
        <v>-1795.0550427161388</v>
      </c>
      <c r="K10" s="360">
        <v>8658.1442043269981</v>
      </c>
      <c r="L10" s="361">
        <v>7660.4593319813521</v>
      </c>
      <c r="M10" s="42">
        <v>-997.684872345646</v>
      </c>
      <c r="N10" s="361">
        <v>9126.0508931568511</v>
      </c>
      <c r="O10" s="361">
        <v>6913.8011026290906</v>
      </c>
      <c r="P10" s="42">
        <v>-2212.2497905277605</v>
      </c>
      <c r="Q10" s="360">
        <v>8711.9899676662226</v>
      </c>
      <c r="R10" s="361">
        <v>6386.2264908343495</v>
      </c>
      <c r="S10" s="42">
        <v>-2325.763476831873</v>
      </c>
      <c r="T10" s="360">
        <v>9233.0528935495986</v>
      </c>
      <c r="U10" s="361">
        <v>7401.4600952518585</v>
      </c>
      <c r="V10" s="42">
        <v>-1831.59279829774</v>
      </c>
      <c r="W10" s="361">
        <v>10472.881557777355</v>
      </c>
      <c r="X10" s="361">
        <v>8270.3357440138734</v>
      </c>
      <c r="Y10" s="42">
        <v>-2202.5458137634814</v>
      </c>
      <c r="Z10" s="38">
        <v>11630.241580279206</v>
      </c>
      <c r="AA10" s="39">
        <v>8729.2673793103459</v>
      </c>
      <c r="AB10" s="42">
        <v>-2900.9742009688598</v>
      </c>
      <c r="AC10" s="38">
        <v>13165.118687237993</v>
      </c>
      <c r="AD10" s="39">
        <v>8401.0541379310343</v>
      </c>
      <c r="AE10" s="42">
        <v>-4764.0645493069587</v>
      </c>
      <c r="AF10" s="38">
        <v>12630.98982001576</v>
      </c>
      <c r="AG10" s="39">
        <v>8412.4105172413801</v>
      </c>
      <c r="AH10" s="42">
        <v>-4218.5793027743803</v>
      </c>
      <c r="AI10" s="38">
        <v>12535.911958988834</v>
      </c>
      <c r="AJ10" s="39">
        <v>8467.1682413793096</v>
      </c>
      <c r="AK10" s="42">
        <v>-4068.7437176095245</v>
      </c>
      <c r="AL10" s="38">
        <v>14355.454547884319</v>
      </c>
      <c r="AM10" s="39">
        <v>9525.0772758620715</v>
      </c>
      <c r="AN10" s="42">
        <v>-4830.3772720222478</v>
      </c>
      <c r="AO10" s="38">
        <v>17469.089089987545</v>
      </c>
      <c r="AP10" s="39">
        <v>9491.9259999999995</v>
      </c>
      <c r="AQ10" s="42">
        <v>-7977.1630899875454</v>
      </c>
      <c r="AR10" s="38">
        <v>15411.737003975584</v>
      </c>
      <c r="AS10" s="39">
        <v>10829.829</v>
      </c>
      <c r="AT10" s="42">
        <v>-4581.9080039755845</v>
      </c>
      <c r="AU10" s="38">
        <v>17247.710417217324</v>
      </c>
      <c r="AV10" s="39">
        <v>12203.164000000001</v>
      </c>
      <c r="AW10" s="42">
        <v>-5044.5464172173233</v>
      </c>
      <c r="AX10" s="38">
        <v>20515.07466335654</v>
      </c>
      <c r="AY10" s="39">
        <v>15007.706</v>
      </c>
      <c r="AZ10" s="42">
        <v>-5507.3686633565394</v>
      </c>
      <c r="BA10" s="367">
        <v>24369.738576430951</v>
      </c>
      <c r="BB10" s="368">
        <v>16738.653999999999</v>
      </c>
      <c r="BC10" s="330">
        <v>-7631.0845764309524</v>
      </c>
      <c r="BD10" s="367">
        <v>27306.608960826135</v>
      </c>
      <c r="BE10" s="368">
        <v>18033.7</v>
      </c>
      <c r="BF10" s="330">
        <v>-9272.9089608261347</v>
      </c>
      <c r="BG10" s="367">
        <v>28952.697867554394</v>
      </c>
      <c r="BH10" s="368">
        <v>20319.184000000001</v>
      </c>
      <c r="BI10" s="330">
        <v>-8633.5138675543931</v>
      </c>
      <c r="BJ10" s="367">
        <v>32463.343197286998</v>
      </c>
      <c r="BK10" s="368">
        <v>22141.557000000001</v>
      </c>
      <c r="BL10" s="330">
        <v>-10321.786197286998</v>
      </c>
      <c r="BM10" s="367">
        <v>35297.615675194225</v>
      </c>
      <c r="BN10" s="368">
        <v>24974.996999999999</v>
      </c>
      <c r="BO10" s="330">
        <v>-10322.618675194226</v>
      </c>
      <c r="BP10" s="367">
        <v>42149.29579348227</v>
      </c>
      <c r="BQ10" s="368">
        <v>27463</v>
      </c>
      <c r="BR10" s="330">
        <v>-14686.29579348227</v>
      </c>
      <c r="BS10" s="367">
        <v>49403.546760197074</v>
      </c>
      <c r="BT10" s="368">
        <v>30296</v>
      </c>
      <c r="BU10" s="330">
        <v>-19107.546760197074</v>
      </c>
      <c r="BV10" s="367">
        <v>56622.884299193567</v>
      </c>
      <c r="BW10" s="368">
        <v>35304</v>
      </c>
      <c r="BX10" s="330">
        <v>-21318.884299193567</v>
      </c>
      <c r="BY10" s="367">
        <v>68444.260698597267</v>
      </c>
      <c r="BZ10" s="368">
        <v>45475</v>
      </c>
      <c r="CA10" s="330">
        <v>-22969.260698597267</v>
      </c>
      <c r="CB10" s="367">
        <v>111374.89105658945</v>
      </c>
      <c r="CC10" s="368">
        <v>58082</v>
      </c>
      <c r="CD10" s="330">
        <v>-53292.891056589448</v>
      </c>
      <c r="CE10" s="367">
        <v>94285.783791374866</v>
      </c>
      <c r="CF10" s="368">
        <v>49449</v>
      </c>
      <c r="CG10" s="330">
        <v>-44836.783791374866</v>
      </c>
      <c r="CH10" s="367">
        <v>123866.76800088373</v>
      </c>
      <c r="CI10" s="368">
        <v>55122</v>
      </c>
      <c r="CJ10" s="330">
        <v>-68744.768000883734</v>
      </c>
      <c r="CK10" s="367">
        <v>178787.72374337239</v>
      </c>
      <c r="CL10" s="368">
        <v>77926.791865305</v>
      </c>
      <c r="CM10" s="330">
        <v>-100860.93187806739</v>
      </c>
      <c r="CN10" s="367">
        <v>216078.06106861064</v>
      </c>
      <c r="CO10" s="368">
        <v>106762</v>
      </c>
      <c r="CP10" s="330">
        <v>-109316.06106861064</v>
      </c>
      <c r="CQ10" s="367">
        <v>311315.64721909218</v>
      </c>
      <c r="CR10" s="368">
        <v>176833</v>
      </c>
      <c r="CS10" s="330">
        <v>-134482.64721909218</v>
      </c>
      <c r="CT10" s="367">
        <v>456990.78873046202</v>
      </c>
      <c r="CU10" s="368">
        <v>233141</v>
      </c>
      <c r="CV10" s="330">
        <v>-223849.78873046202</v>
      </c>
      <c r="CW10" s="367">
        <v>595288.82029956218</v>
      </c>
      <c r="CX10" s="368">
        <v>257550</v>
      </c>
      <c r="CY10" s="330">
        <v>-337738.82029956218</v>
      </c>
      <c r="CZ10" s="367">
        <v>737136.59543725534</v>
      </c>
      <c r="DA10" s="368">
        <v>333878</v>
      </c>
      <c r="DB10" s="330">
        <v>-403258.59543725534</v>
      </c>
      <c r="DC10" s="367">
        <v>872429.66490822239</v>
      </c>
      <c r="DD10" s="368">
        <v>513988</v>
      </c>
      <c r="DE10" s="330">
        <v>-358441.66490822239</v>
      </c>
      <c r="DF10" s="367">
        <v>1119553.4622101914</v>
      </c>
      <c r="DG10" s="368">
        <v>767932</v>
      </c>
      <c r="DH10" s="330">
        <v>-351621.46221019141</v>
      </c>
      <c r="DI10" s="367">
        <v>1284276.1687971391</v>
      </c>
      <c r="DJ10" s="368">
        <v>977746</v>
      </c>
      <c r="DK10" s="330">
        <v>-306530.16879713908</v>
      </c>
      <c r="DL10" s="367">
        <v>1393945.6554588529</v>
      </c>
      <c r="DM10" s="368">
        <v>1085796</v>
      </c>
      <c r="DN10" s="330">
        <v>-308149.65545885288</v>
      </c>
      <c r="DO10" s="367">
        <v>1898724.678748854</v>
      </c>
      <c r="DP10" s="368">
        <v>1313719</v>
      </c>
      <c r="DQ10" s="330">
        <v>-585005.67874885397</v>
      </c>
      <c r="DR10" s="367">
        <v>2477661.0351998867</v>
      </c>
      <c r="DS10" s="368">
        <v>1585997</v>
      </c>
      <c r="DT10" s="330">
        <v>-891664.03519988665</v>
      </c>
      <c r="DU10" s="367">
        <v>2905546.9482667157</v>
      </c>
      <c r="DV10" s="368">
        <v>2021592</v>
      </c>
      <c r="DW10" s="330">
        <v>-883954.94826671574</v>
      </c>
      <c r="DX10" s="367">
        <v>3457415.5810614992</v>
      </c>
      <c r="DY10" s="368">
        <v>2340480</v>
      </c>
      <c r="DZ10" s="330">
        <v>-1116935.5810614992</v>
      </c>
      <c r="EA10" s="367">
        <v>3726973</v>
      </c>
      <c r="EB10" s="368">
        <v>2361525</v>
      </c>
      <c r="EC10" s="330">
        <v>-1365448</v>
      </c>
      <c r="ED10" s="367">
        <v>3937988</v>
      </c>
      <c r="EE10" s="368">
        <v>2482563</v>
      </c>
      <c r="EF10" s="330">
        <v>-1455425</v>
      </c>
      <c r="EG10" s="369">
        <v>3845202.6397000002</v>
      </c>
      <c r="EH10" s="368">
        <v>2557314</v>
      </c>
      <c r="EI10" s="330">
        <v>-1287888.6397000002</v>
      </c>
      <c r="EJ10" s="369">
        <v>4460593</v>
      </c>
      <c r="EK10" s="370">
        <v>3083930</v>
      </c>
      <c r="EL10" s="42">
        <v>-1376663</v>
      </c>
      <c r="EM10" s="369">
        <v>4974751</v>
      </c>
      <c r="EN10" s="368">
        <v>3629407</v>
      </c>
      <c r="EO10" s="42">
        <v>-1345344</v>
      </c>
      <c r="EP10" s="371">
        <v>4974751</v>
      </c>
      <c r="EQ10" s="372">
        <v>3629407</v>
      </c>
      <c r="ER10" s="366">
        <v>-1345344</v>
      </c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</row>
    <row r="11" spans="1:199">
      <c r="A11" s="327" t="s">
        <v>655</v>
      </c>
      <c r="B11" s="38">
        <v>1598.1989029360316</v>
      </c>
      <c r="C11" s="39">
        <v>1027.5954118594564</v>
      </c>
      <c r="D11" s="42">
        <v>-570.60349107657521</v>
      </c>
      <c r="E11" s="38">
        <v>1808.2770889415581</v>
      </c>
      <c r="F11" s="39">
        <v>1283.8071853892006</v>
      </c>
      <c r="G11" s="42">
        <v>-524.46990355235744</v>
      </c>
      <c r="H11" s="361">
        <v>1739.8144340480726</v>
      </c>
      <c r="I11" s="361">
        <v>1269.4371038461845</v>
      </c>
      <c r="J11" s="42">
        <v>-470.37733020188807</v>
      </c>
      <c r="K11" s="360">
        <v>2555.1164081846996</v>
      </c>
      <c r="L11" s="361">
        <v>1804.6049979417762</v>
      </c>
      <c r="M11" s="42">
        <v>-750.51141024292338</v>
      </c>
      <c r="N11" s="361">
        <v>2803.3873327222623</v>
      </c>
      <c r="O11" s="361">
        <v>2232.1261539344382</v>
      </c>
      <c r="P11" s="42">
        <v>-571.26117878782406</v>
      </c>
      <c r="Q11" s="360">
        <v>2671.3792918641821</v>
      </c>
      <c r="R11" s="361">
        <v>1958.5439597216759</v>
      </c>
      <c r="S11" s="42">
        <v>-712.8353321425061</v>
      </c>
      <c r="T11" s="360">
        <v>3113.4187558291042</v>
      </c>
      <c r="U11" s="361">
        <v>2294.8154911801967</v>
      </c>
      <c r="V11" s="42">
        <v>-818.6032646489075</v>
      </c>
      <c r="W11" s="361">
        <v>3365.2313000610566</v>
      </c>
      <c r="X11" s="361">
        <v>2495.019316068172</v>
      </c>
      <c r="Y11" s="42">
        <v>-870.2119839928846</v>
      </c>
      <c r="Z11" s="38">
        <v>3294.4493755368294</v>
      </c>
      <c r="AA11" s="39">
        <v>3221.0699461697259</v>
      </c>
      <c r="AB11" s="42">
        <v>-73.379429367103512</v>
      </c>
      <c r="AC11" s="38">
        <v>3524.1822251123126</v>
      </c>
      <c r="AD11" s="39">
        <v>3711.0520121410768</v>
      </c>
      <c r="AE11" s="42">
        <v>186.86978702876422</v>
      </c>
      <c r="AF11" s="38">
        <v>3889.9178718903459</v>
      </c>
      <c r="AG11" s="39">
        <v>4702.5640328120644</v>
      </c>
      <c r="AH11" s="42">
        <v>812.64616092171855</v>
      </c>
      <c r="AI11" s="38">
        <v>3719.5795556142748</v>
      </c>
      <c r="AJ11" s="39">
        <v>3838.4833310487161</v>
      </c>
      <c r="AK11" s="42">
        <v>118.90377543444129</v>
      </c>
      <c r="AL11" s="38">
        <v>4442.6235645642164</v>
      </c>
      <c r="AM11" s="39">
        <v>4380.5029338043905</v>
      </c>
      <c r="AN11" s="42">
        <v>-62.120630759825872</v>
      </c>
      <c r="AO11" s="38">
        <v>7188.5707885831453</v>
      </c>
      <c r="AP11" s="39">
        <v>4822.0359914196779</v>
      </c>
      <c r="AQ11" s="42">
        <v>-2366.5347971634674</v>
      </c>
      <c r="AR11" s="38">
        <v>7045.6867448863695</v>
      </c>
      <c r="AS11" s="39">
        <v>6966.0324013604086</v>
      </c>
      <c r="AT11" s="42">
        <v>-79.65434352596094</v>
      </c>
      <c r="AU11" s="38">
        <v>7540.012418649475</v>
      </c>
      <c r="AV11" s="39">
        <v>7426.0863599344439</v>
      </c>
      <c r="AW11" s="42">
        <v>-113.9260587150311</v>
      </c>
      <c r="AX11" s="38">
        <v>9317.1883286477241</v>
      </c>
      <c r="AY11" s="39">
        <v>10355.514594640883</v>
      </c>
      <c r="AZ11" s="42">
        <v>1038.3262659931588</v>
      </c>
      <c r="BA11" s="38">
        <v>11061.624481623174</v>
      </c>
      <c r="BB11" s="39">
        <v>12828.542877979162</v>
      </c>
      <c r="BC11" s="42">
        <v>1766.9183963559881</v>
      </c>
      <c r="BD11" s="38">
        <v>11294.592669199499</v>
      </c>
      <c r="BE11" s="39">
        <v>16092.747759355545</v>
      </c>
      <c r="BF11" s="42">
        <v>4798.1550901560458</v>
      </c>
      <c r="BG11" s="38">
        <v>12437.957773520218</v>
      </c>
      <c r="BH11" s="39">
        <v>17027.630934898516</v>
      </c>
      <c r="BI11" s="42">
        <v>4589.6731613782977</v>
      </c>
      <c r="BJ11" s="38">
        <v>13935.512765125659</v>
      </c>
      <c r="BK11" s="39">
        <v>15362.742124053009</v>
      </c>
      <c r="BL11" s="42">
        <v>1427.2293589273504</v>
      </c>
      <c r="BM11" s="38">
        <v>13593.221613954911</v>
      </c>
      <c r="BN11" s="39">
        <v>15665.968102565197</v>
      </c>
      <c r="BO11" s="42">
        <v>2072.7464886102862</v>
      </c>
      <c r="BP11" s="38">
        <v>16655.550255059134</v>
      </c>
      <c r="BQ11" s="39">
        <v>18550.683286095751</v>
      </c>
      <c r="BR11" s="42">
        <v>1895.1330310366175</v>
      </c>
      <c r="BS11" s="38">
        <v>19102.170198810578</v>
      </c>
      <c r="BT11" s="39">
        <v>23934.42359033116</v>
      </c>
      <c r="BU11" s="42">
        <v>4832.2533915205822</v>
      </c>
      <c r="BV11" s="38">
        <v>21383.846651841566</v>
      </c>
      <c r="BW11" s="39">
        <v>28614.937075159985</v>
      </c>
      <c r="BX11" s="42">
        <v>7231.0904233184192</v>
      </c>
      <c r="BY11" s="38">
        <v>29386.065078563563</v>
      </c>
      <c r="BZ11" s="39">
        <v>33201.350048183602</v>
      </c>
      <c r="CA11" s="42">
        <v>3815.2849696200392</v>
      </c>
      <c r="CB11" s="38">
        <v>34153.261042102109</v>
      </c>
      <c r="CC11" s="39">
        <v>35036.892785011914</v>
      </c>
      <c r="CD11" s="42">
        <v>883.63174290980533</v>
      </c>
      <c r="CE11" s="38">
        <v>31870.703315999715</v>
      </c>
      <c r="CF11" s="39">
        <v>27125.038488156006</v>
      </c>
      <c r="CG11" s="42">
        <v>-4745.6648278437096</v>
      </c>
      <c r="CH11" s="38">
        <v>24224.577765358947</v>
      </c>
      <c r="CI11" s="39">
        <v>29203.980742300042</v>
      </c>
      <c r="CJ11" s="42">
        <v>4979.4029769410954</v>
      </c>
      <c r="CK11" s="38">
        <v>32585.360162195073</v>
      </c>
      <c r="CL11" s="39">
        <v>41293.668809230068</v>
      </c>
      <c r="CM11" s="42">
        <v>8708.3086470349954</v>
      </c>
      <c r="CN11" s="38">
        <v>41218.684523057404</v>
      </c>
      <c r="CO11" s="39">
        <v>60267.036380753358</v>
      </c>
      <c r="CP11" s="42">
        <v>19048.351857695954</v>
      </c>
      <c r="CQ11" s="38">
        <v>61836.655062624333</v>
      </c>
      <c r="CR11" s="39">
        <v>100117.15992741041</v>
      </c>
      <c r="CS11" s="42">
        <v>38280.504864786075</v>
      </c>
      <c r="CT11" s="38">
        <v>97087.276098083894</v>
      </c>
      <c r="CU11" s="39">
        <v>137086.06701781639</v>
      </c>
      <c r="CV11" s="42">
        <v>39998.790919732492</v>
      </c>
      <c r="CW11" s="38">
        <v>123502.33685643699</v>
      </c>
      <c r="CX11" s="39">
        <v>160659.2299901417</v>
      </c>
      <c r="CY11" s="42">
        <v>37156.893133704711</v>
      </c>
      <c r="CZ11" s="38">
        <v>141329.81923178458</v>
      </c>
      <c r="DA11" s="39">
        <v>173461.72350265025</v>
      </c>
      <c r="DB11" s="42">
        <v>32131.904270865663</v>
      </c>
      <c r="DC11" s="38">
        <v>161632.62183918955</v>
      </c>
      <c r="DD11" s="39">
        <v>229945.44072964639</v>
      </c>
      <c r="DE11" s="42">
        <v>68312.818890456838</v>
      </c>
      <c r="DF11" s="38">
        <v>209438.75742799617</v>
      </c>
      <c r="DG11" s="39">
        <v>327239.79757882736</v>
      </c>
      <c r="DH11" s="42">
        <v>117801.04015083119</v>
      </c>
      <c r="DI11" s="38">
        <v>248784.5185541492</v>
      </c>
      <c r="DJ11" s="39">
        <v>425751.15109407948</v>
      </c>
      <c r="DK11" s="42">
        <v>176966.63253993029</v>
      </c>
      <c r="DL11" s="38">
        <v>267619.02443408698</v>
      </c>
      <c r="DM11" s="39">
        <v>507765.73165662598</v>
      </c>
      <c r="DN11" s="42">
        <v>240146.707222539</v>
      </c>
      <c r="DO11" s="38">
        <v>346758.8941655833</v>
      </c>
      <c r="DP11" s="39">
        <v>643256.07305355195</v>
      </c>
      <c r="DQ11" s="42">
        <v>296497.17888796865</v>
      </c>
      <c r="DR11" s="38">
        <v>457280.95491980214</v>
      </c>
      <c r="DS11" s="39">
        <v>742229.03380565473</v>
      </c>
      <c r="DT11" s="42">
        <v>284948.07888585259</v>
      </c>
      <c r="DU11" s="38">
        <v>542595.29521108384</v>
      </c>
      <c r="DV11" s="39">
        <v>914707.41880911973</v>
      </c>
      <c r="DW11" s="42">
        <v>372112.12359803589</v>
      </c>
      <c r="DX11" s="38">
        <v>655385.15983671194</v>
      </c>
      <c r="DY11" s="39">
        <v>1112005.7826413983</v>
      </c>
      <c r="DZ11" s="42">
        <v>456620.62280468631</v>
      </c>
      <c r="EA11" s="38">
        <v>738342</v>
      </c>
      <c r="EB11" s="39">
        <v>1205590.0108998807</v>
      </c>
      <c r="EC11" s="42">
        <v>467248</v>
      </c>
      <c r="ED11" s="38">
        <v>783000</v>
      </c>
      <c r="EE11" s="39">
        <v>1166029.3313391535</v>
      </c>
      <c r="EF11" s="42">
        <v>383030</v>
      </c>
      <c r="EG11" s="38">
        <v>893777.75807069999</v>
      </c>
      <c r="EH11" s="39">
        <v>1131585</v>
      </c>
      <c r="EI11" s="42">
        <v>237807.24192930001</v>
      </c>
      <c r="EJ11" s="38">
        <v>902193.13699999999</v>
      </c>
      <c r="EK11" s="39">
        <v>1128627.0970000001</v>
      </c>
      <c r="EL11" s="42">
        <v>226433.96</v>
      </c>
      <c r="EM11" s="38">
        <v>997526.5676666667</v>
      </c>
      <c r="EN11" s="39">
        <v>1272161.5676666666</v>
      </c>
      <c r="EO11" s="42">
        <v>274635</v>
      </c>
      <c r="EP11" s="364">
        <v>964353</v>
      </c>
      <c r="EQ11" s="365">
        <v>1238988</v>
      </c>
      <c r="ER11" s="366">
        <v>274635</v>
      </c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</row>
    <row r="12" spans="1:199">
      <c r="A12" s="327" t="s">
        <v>656</v>
      </c>
      <c r="B12" s="38">
        <v>856.08083613853762</v>
      </c>
      <c r="C12" s="39">
        <v>133.02371161577361</v>
      </c>
      <c r="D12" s="42">
        <v>-723.05712452276407</v>
      </c>
      <c r="E12" s="38">
        <v>755.32759278513299</v>
      </c>
      <c r="F12" s="39">
        <v>117.48559085401422</v>
      </c>
      <c r="G12" s="42">
        <v>-637.84200193111883</v>
      </c>
      <c r="H12" s="361">
        <v>678.95857611312522</v>
      </c>
      <c r="I12" s="361">
        <v>156.18648417248048</v>
      </c>
      <c r="J12" s="42">
        <v>-522.77209194064471</v>
      </c>
      <c r="K12" s="360">
        <v>803.0503446269563</v>
      </c>
      <c r="L12" s="361">
        <v>205.38849017266821</v>
      </c>
      <c r="M12" s="42">
        <v>-597.66185445428812</v>
      </c>
      <c r="N12" s="361">
        <v>845.17038991132904</v>
      </c>
      <c r="O12" s="361">
        <v>196.59059852966979</v>
      </c>
      <c r="P12" s="42">
        <v>-648.57979138165922</v>
      </c>
      <c r="Q12" s="360">
        <v>802.57604792047323</v>
      </c>
      <c r="R12" s="361">
        <v>191.47096979234573</v>
      </c>
      <c r="S12" s="42">
        <v>-611.1050781281275</v>
      </c>
      <c r="T12" s="360">
        <v>851.65848858675122</v>
      </c>
      <c r="U12" s="361">
        <v>236.8717328239147</v>
      </c>
      <c r="V12" s="42">
        <v>-614.78675576283649</v>
      </c>
      <c r="W12" s="361">
        <v>951.33122309273733</v>
      </c>
      <c r="X12" s="361">
        <v>272.22227903379479</v>
      </c>
      <c r="Y12" s="42">
        <v>-679.1089440589426</v>
      </c>
      <c r="Z12" s="38">
        <v>1060.1972548701413</v>
      </c>
      <c r="AA12" s="39">
        <v>331.11812212177267</v>
      </c>
      <c r="AB12" s="42">
        <v>-729.07913274836858</v>
      </c>
      <c r="AC12" s="38">
        <v>1207.5036097854231</v>
      </c>
      <c r="AD12" s="39">
        <v>371.19053182352945</v>
      </c>
      <c r="AE12" s="42">
        <v>-836.31307796189367</v>
      </c>
      <c r="AF12" s="38">
        <v>1167.5063027114784</v>
      </c>
      <c r="AG12" s="39">
        <v>431.50236489978641</v>
      </c>
      <c r="AH12" s="42">
        <v>-736.00393781169191</v>
      </c>
      <c r="AI12" s="38">
        <v>1141.4655011190262</v>
      </c>
      <c r="AJ12" s="39">
        <v>448.129120228528</v>
      </c>
      <c r="AK12" s="42">
        <v>-693.33638089049816</v>
      </c>
      <c r="AL12" s="38">
        <v>1293.4203579530988</v>
      </c>
      <c r="AM12" s="39">
        <v>516.83085078639135</v>
      </c>
      <c r="AN12" s="42">
        <v>-776.58950716670745</v>
      </c>
      <c r="AO12" s="38">
        <v>1546.6489109187637</v>
      </c>
      <c r="AP12" s="39">
        <v>547.71231458721536</v>
      </c>
      <c r="AQ12" s="42">
        <v>-998.93659633154834</v>
      </c>
      <c r="AR12" s="38">
        <v>1353.6773711910732</v>
      </c>
      <c r="AS12" s="39">
        <v>592.61451821111996</v>
      </c>
      <c r="AT12" s="42">
        <v>-761.06285297995328</v>
      </c>
      <c r="AU12" s="38">
        <v>1530.6306859840274</v>
      </c>
      <c r="AV12" s="39">
        <v>696.02818550668815</v>
      </c>
      <c r="AW12" s="42">
        <v>-834.60250047733928</v>
      </c>
      <c r="AX12" s="38">
        <v>1793.4711008618178</v>
      </c>
      <c r="AY12" s="39">
        <v>799.86313947798612</v>
      </c>
      <c r="AZ12" s="42">
        <v>-993.60796138383171</v>
      </c>
      <c r="BA12" s="38">
        <v>2062.5618336296334</v>
      </c>
      <c r="BB12" s="39">
        <v>926.26777781116198</v>
      </c>
      <c r="BC12" s="42">
        <v>-1136.2940558184714</v>
      </c>
      <c r="BD12" s="38">
        <v>2357.1900897594496</v>
      </c>
      <c r="BE12" s="39">
        <v>1086.2531105875448</v>
      </c>
      <c r="BF12" s="42">
        <v>-1270.9369791719048</v>
      </c>
      <c r="BG12" s="38">
        <v>2659.114862462573</v>
      </c>
      <c r="BH12" s="39">
        <v>1330.2500302825172</v>
      </c>
      <c r="BI12" s="42">
        <v>-1328.8648321800558</v>
      </c>
      <c r="BJ12" s="38">
        <v>2883.6164891435737</v>
      </c>
      <c r="BK12" s="39">
        <v>1576.5906613986078</v>
      </c>
      <c r="BL12" s="42">
        <v>-1307.0258277449659</v>
      </c>
      <c r="BM12" s="38">
        <v>3213.9973746169353</v>
      </c>
      <c r="BN12" s="39">
        <v>1910.4986266755973</v>
      </c>
      <c r="BO12" s="42">
        <v>-1303.498747941338</v>
      </c>
      <c r="BP12" s="38">
        <v>4048.5699447615161</v>
      </c>
      <c r="BQ12" s="39">
        <v>2454.3166383085504</v>
      </c>
      <c r="BR12" s="42">
        <v>-1594.2533064529657</v>
      </c>
      <c r="BS12" s="38">
        <v>4403.2081622876958</v>
      </c>
      <c r="BT12" s="39">
        <v>3359.3672684579587</v>
      </c>
      <c r="BU12" s="42">
        <v>-1043.8408938297371</v>
      </c>
      <c r="BV12" s="38">
        <v>4931.7487575890973</v>
      </c>
      <c r="BW12" s="39">
        <v>4086.3649447559869</v>
      </c>
      <c r="BX12" s="42">
        <v>-845.38381283311037</v>
      </c>
      <c r="BY12" s="38">
        <v>6516.7602832999128</v>
      </c>
      <c r="BZ12" s="39">
        <v>4542.0667074404009</v>
      </c>
      <c r="CA12" s="42">
        <v>-1974.6935758595118</v>
      </c>
      <c r="CB12" s="38">
        <v>7929.2946188058468</v>
      </c>
      <c r="CC12" s="39">
        <v>5284.7993214799153</v>
      </c>
      <c r="CD12" s="42">
        <v>-2644.4952973259315</v>
      </c>
      <c r="CE12" s="38">
        <v>6910.8379031163977</v>
      </c>
      <c r="CF12" s="39">
        <v>4687.835351565207</v>
      </c>
      <c r="CG12" s="42">
        <v>-2223.0025515511907</v>
      </c>
      <c r="CH12" s="38">
        <v>8522.4944346782358</v>
      </c>
      <c r="CI12" s="39">
        <v>5146.6283731000422</v>
      </c>
      <c r="CJ12" s="42">
        <v>-3375.8660615781937</v>
      </c>
      <c r="CK12" s="38">
        <v>13034.982921326275</v>
      </c>
      <c r="CL12" s="39">
        <v>9556.5380492300701</v>
      </c>
      <c r="CM12" s="42">
        <v>-3478.4448720962046</v>
      </c>
      <c r="CN12" s="38">
        <v>16898.544024213181</v>
      </c>
      <c r="CO12" s="39">
        <v>10928.068864553356</v>
      </c>
      <c r="CP12" s="42">
        <v>-5970.4751596598253</v>
      </c>
      <c r="CQ12" s="38">
        <v>25355.677090029385</v>
      </c>
      <c r="CR12" s="39">
        <v>19544.694992210403</v>
      </c>
      <c r="CS12" s="42">
        <v>-5810.9820978189819</v>
      </c>
      <c r="CT12" s="38">
        <v>33292.865814562996</v>
      </c>
      <c r="CU12" s="39">
        <v>25970.800708314149</v>
      </c>
      <c r="CV12" s="42">
        <v>-7322.0651062488469</v>
      </c>
      <c r="CW12" s="38">
        <v>39474.436642777699</v>
      </c>
      <c r="CX12" s="39">
        <v>33527.628166110422</v>
      </c>
      <c r="CY12" s="42">
        <v>-5946.8084766672764</v>
      </c>
      <c r="CZ12" s="38">
        <v>51192.513976533912</v>
      </c>
      <c r="DA12" s="39">
        <v>36717.378385720738</v>
      </c>
      <c r="DB12" s="42">
        <v>-14475.135590813174</v>
      </c>
      <c r="DC12" s="38">
        <v>52654.437298228688</v>
      </c>
      <c r="DD12" s="39">
        <v>46896.594382798954</v>
      </c>
      <c r="DE12" s="42">
        <v>-5757.8429154297337</v>
      </c>
      <c r="DF12" s="38">
        <v>71219.203582289163</v>
      </c>
      <c r="DG12" s="39">
        <v>67476.321547452244</v>
      </c>
      <c r="DH12" s="42">
        <v>-3742.882034836919</v>
      </c>
      <c r="DI12" s="38">
        <v>84820.552989367643</v>
      </c>
      <c r="DJ12" s="39">
        <v>80311.083716691792</v>
      </c>
      <c r="DK12" s="42">
        <v>-4509.4692726758512</v>
      </c>
      <c r="DL12" s="38">
        <v>83472.982804575149</v>
      </c>
      <c r="DM12" s="39">
        <v>98418.460117657014</v>
      </c>
      <c r="DN12" s="42">
        <v>14945.477313081865</v>
      </c>
      <c r="DO12" s="38">
        <v>110722.76754824503</v>
      </c>
      <c r="DP12" s="39">
        <v>106826.76084373303</v>
      </c>
      <c r="DQ12" s="42">
        <v>-3896.006704511994</v>
      </c>
      <c r="DR12" s="38">
        <v>155397.29009531782</v>
      </c>
      <c r="DS12" s="39">
        <v>115350.74606164311</v>
      </c>
      <c r="DT12" s="42">
        <v>-40046.544033674712</v>
      </c>
      <c r="DU12" s="38">
        <v>182419.135558101</v>
      </c>
      <c r="DV12" s="39">
        <v>147109.06954618599</v>
      </c>
      <c r="DW12" s="42">
        <v>-35310.066011915012</v>
      </c>
      <c r="DX12" s="38">
        <v>206377.25868385041</v>
      </c>
      <c r="DY12" s="39">
        <v>190061.33192694266</v>
      </c>
      <c r="DZ12" s="42">
        <v>-16315.926756907749</v>
      </c>
      <c r="EA12" s="38">
        <v>228898</v>
      </c>
      <c r="EB12" s="39">
        <v>196529.82249771483</v>
      </c>
      <c r="EC12" s="42">
        <v>-32369</v>
      </c>
      <c r="ED12" s="38">
        <v>226082</v>
      </c>
      <c r="EE12" s="39">
        <v>195567.62719211396</v>
      </c>
      <c r="EF12" s="42">
        <v>-30515</v>
      </c>
      <c r="EG12" s="38">
        <v>214164.1868193</v>
      </c>
      <c r="EH12" s="39">
        <v>189732</v>
      </c>
      <c r="EI12" s="42">
        <v>-24432.186819299997</v>
      </c>
      <c r="EJ12" s="38">
        <v>237715</v>
      </c>
      <c r="EK12" s="39">
        <v>169923</v>
      </c>
      <c r="EL12" s="42">
        <v>-67792</v>
      </c>
      <c r="EM12" s="38">
        <v>257060</v>
      </c>
      <c r="EN12" s="39">
        <v>229235</v>
      </c>
      <c r="EO12" s="42">
        <v>-27825</v>
      </c>
      <c r="EP12" s="364">
        <v>257060</v>
      </c>
      <c r="EQ12" s="365">
        <v>229235</v>
      </c>
      <c r="ER12" s="366">
        <v>-27825</v>
      </c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</row>
    <row r="13" spans="1:199">
      <c r="A13" s="327" t="s">
        <v>657</v>
      </c>
      <c r="B13" s="38">
        <v>752.25208357861243</v>
      </c>
      <c r="C13" s="39">
        <v>58.951746131141263</v>
      </c>
      <c r="D13" s="42">
        <v>-693.30033744747118</v>
      </c>
      <c r="E13" s="38">
        <v>659.42370831599465</v>
      </c>
      <c r="F13" s="39">
        <v>56.209880088300551</v>
      </c>
      <c r="G13" s="42">
        <v>-603.21382822769408</v>
      </c>
      <c r="H13" s="361">
        <v>577.09988347495369</v>
      </c>
      <c r="I13" s="361">
        <v>73.080477888087898</v>
      </c>
      <c r="J13" s="42">
        <v>-504.01940558686579</v>
      </c>
      <c r="K13" s="360">
        <v>685.19915659218532</v>
      </c>
      <c r="L13" s="361">
        <v>102.12956308336314</v>
      </c>
      <c r="M13" s="42">
        <v>-583.06959350882221</v>
      </c>
      <c r="N13" s="361">
        <v>715.95318074137344</v>
      </c>
      <c r="O13" s="361">
        <v>91.296555554885501</v>
      </c>
      <c r="P13" s="42">
        <v>-624.65662518648799</v>
      </c>
      <c r="Q13" s="360">
        <v>677.45190162288554</v>
      </c>
      <c r="R13" s="361">
        <v>83.558497117364354</v>
      </c>
      <c r="S13" s="42">
        <v>-593.89340450552118</v>
      </c>
      <c r="T13" s="360">
        <v>711.52652197549241</v>
      </c>
      <c r="U13" s="361">
        <v>95.935817737471524</v>
      </c>
      <c r="V13" s="42">
        <v>-615.59070423802086</v>
      </c>
      <c r="W13" s="361">
        <v>799.82942689634081</v>
      </c>
      <c r="X13" s="361">
        <v>106.16703061949508</v>
      </c>
      <c r="Y13" s="42">
        <v>-693.6623962768457</v>
      </c>
      <c r="Z13" s="38">
        <v>879.96722148264621</v>
      </c>
      <c r="AA13" s="39">
        <v>110.83752499830254</v>
      </c>
      <c r="AB13" s="42">
        <v>-769.12969648434364</v>
      </c>
      <c r="AC13" s="38">
        <v>987.08468918356959</v>
      </c>
      <c r="AD13" s="39">
        <v>105.59920918062009</v>
      </c>
      <c r="AE13" s="42">
        <v>-881.48548000294954</v>
      </c>
      <c r="AF13" s="38">
        <v>938.40000610763855</v>
      </c>
      <c r="AG13" s="39">
        <v>104.77304679967226</v>
      </c>
      <c r="AH13" s="42">
        <v>-833.62695930796633</v>
      </c>
      <c r="AI13" s="38">
        <v>922.26256667173038</v>
      </c>
      <c r="AJ13" s="39">
        <v>104.18047819743175</v>
      </c>
      <c r="AK13" s="42">
        <v>-818.08208847429864</v>
      </c>
      <c r="AL13" s="38">
        <v>1046.7708102188758</v>
      </c>
      <c r="AM13" s="39">
        <v>116.22865075072613</v>
      </c>
      <c r="AN13" s="42">
        <v>-930.54215946814963</v>
      </c>
      <c r="AO13" s="38">
        <v>1261.9168747541789</v>
      </c>
      <c r="AP13" s="39">
        <v>114.59952822140859</v>
      </c>
      <c r="AQ13" s="42">
        <v>-1147.3173465327704</v>
      </c>
      <c r="AR13" s="38">
        <v>1102.6058987417275</v>
      </c>
      <c r="AS13" s="39">
        <v>129.39808404019396</v>
      </c>
      <c r="AT13" s="42">
        <v>-973.20781470153361</v>
      </c>
      <c r="AU13" s="38">
        <v>1221.9444572242801</v>
      </c>
      <c r="AV13" s="39">
        <v>144.1715990876356</v>
      </c>
      <c r="AW13" s="42">
        <v>-1077.7728581366446</v>
      </c>
      <c r="AX13" s="38">
        <v>1439.2123094665137</v>
      </c>
      <c r="AY13" s="39">
        <v>175.31893548723579</v>
      </c>
      <c r="AZ13" s="42">
        <v>-1263.8933739792778</v>
      </c>
      <c r="BA13" s="38">
        <v>1691.5787975403036</v>
      </c>
      <c r="BB13" s="39">
        <v>193.17617008146703</v>
      </c>
      <c r="BC13" s="42">
        <v>-1498.4026274588366</v>
      </c>
      <c r="BD13" s="38">
        <v>1875.9712609232336</v>
      </c>
      <c r="BE13" s="39">
        <v>205.45435367439364</v>
      </c>
      <c r="BF13" s="42">
        <v>-1670.51690724884</v>
      </c>
      <c r="BG13" s="38">
        <v>1969.0998666860569</v>
      </c>
      <c r="BH13" s="39">
        <v>228.95623182832745</v>
      </c>
      <c r="BI13" s="42">
        <v>-1740.1436348577295</v>
      </c>
      <c r="BJ13" s="38">
        <v>2186.7999881988417</v>
      </c>
      <c r="BK13" s="39">
        <v>247.05404374447147</v>
      </c>
      <c r="BL13" s="42">
        <v>-1939.7459444543701</v>
      </c>
      <c r="BM13" s="38">
        <v>2354.2766641691824</v>
      </c>
      <c r="BN13" s="39">
        <v>275.72982921772149</v>
      </c>
      <c r="BO13" s="42">
        <v>-2078.5468349514608</v>
      </c>
      <c r="BP13" s="38">
        <v>2780.1910725534553</v>
      </c>
      <c r="BQ13" s="39">
        <v>298.86911596800002</v>
      </c>
      <c r="BR13" s="42">
        <v>-2481.3219565854552</v>
      </c>
      <c r="BS13" s="38">
        <v>3245.3174551129077</v>
      </c>
      <c r="BT13" s="39">
        <v>297.40985424239994</v>
      </c>
      <c r="BU13" s="42">
        <v>-2947.9076008705078</v>
      </c>
      <c r="BV13" s="38">
        <v>3586.7122033806954</v>
      </c>
      <c r="BW13" s="39">
        <v>339.51126830600003</v>
      </c>
      <c r="BX13" s="42">
        <v>-3247.2009350746953</v>
      </c>
      <c r="BY13" s="38">
        <v>4913.66154534833</v>
      </c>
      <c r="BZ13" s="39">
        <v>416.29262850560008</v>
      </c>
      <c r="CA13" s="42">
        <v>-4497.36891684273</v>
      </c>
      <c r="CB13" s="38">
        <v>5755.0618823600835</v>
      </c>
      <c r="CC13" s="39">
        <v>535.87176723000005</v>
      </c>
      <c r="CD13" s="42">
        <v>-5219.1901151300835</v>
      </c>
      <c r="CE13" s="38">
        <v>4931.9366288939418</v>
      </c>
      <c r="CF13" s="39">
        <v>460.15445863440004</v>
      </c>
      <c r="CG13" s="42">
        <v>-4471.782170259542</v>
      </c>
      <c r="CH13" s="38">
        <v>6334.9980403995633</v>
      </c>
      <c r="CI13" s="39">
        <v>503.12981160000004</v>
      </c>
      <c r="CJ13" s="42">
        <v>-5831.8682287995634</v>
      </c>
      <c r="CK13" s="38">
        <v>8805.5075750788164</v>
      </c>
      <c r="CL13" s="39">
        <v>669.64846</v>
      </c>
      <c r="CM13" s="42">
        <v>-8135.8591150788161</v>
      </c>
      <c r="CN13" s="38">
        <v>10654.535725196063</v>
      </c>
      <c r="CO13" s="39">
        <v>1078.9737567000002</v>
      </c>
      <c r="CP13" s="42">
        <v>-9575.561968496062</v>
      </c>
      <c r="CQ13" s="38">
        <v>15653.496159781374</v>
      </c>
      <c r="CR13" s="39">
        <v>1769.2205692000005</v>
      </c>
      <c r="CS13" s="42">
        <v>-13884.275590581374</v>
      </c>
      <c r="CT13" s="38">
        <v>19012.535380901223</v>
      </c>
      <c r="CU13" s="39">
        <v>2316.7573884000003</v>
      </c>
      <c r="CV13" s="42">
        <v>-16695.777992501222</v>
      </c>
      <c r="CW13" s="38">
        <v>22062.414521231214</v>
      </c>
      <c r="CX13" s="39">
        <v>2389.7978880000001</v>
      </c>
      <c r="CY13" s="42">
        <v>-19672.616633231213</v>
      </c>
      <c r="CZ13" s="38">
        <v>30520.947562197005</v>
      </c>
      <c r="DA13" s="39">
        <v>4026.6181697000006</v>
      </c>
      <c r="DB13" s="42">
        <v>-26494.329392497006</v>
      </c>
      <c r="DC13" s="38">
        <v>29106.020598811043</v>
      </c>
      <c r="DD13" s="39">
        <v>5762.9356959999996</v>
      </c>
      <c r="DE13" s="42">
        <v>-23343.084902811042</v>
      </c>
      <c r="DF13" s="38">
        <v>36855.592486684036</v>
      </c>
      <c r="DG13" s="39">
        <v>9486.8303400000004</v>
      </c>
      <c r="DH13" s="42">
        <v>-27368.762146684036</v>
      </c>
      <c r="DI13" s="38">
        <v>41116.0421694572</v>
      </c>
      <c r="DJ13" s="39">
        <v>10718.662445999998</v>
      </c>
      <c r="DK13" s="42">
        <v>-30397.379723457201</v>
      </c>
      <c r="DL13" s="38">
        <v>43939.812847170622</v>
      </c>
      <c r="DM13" s="39">
        <v>12305.993160600001</v>
      </c>
      <c r="DN13" s="42">
        <v>-31633.81968657062</v>
      </c>
      <c r="DO13" s="38">
        <v>62524.501181122265</v>
      </c>
      <c r="DP13" s="39">
        <v>15493.247060199999</v>
      </c>
      <c r="DQ13" s="42">
        <v>-47031.254120922269</v>
      </c>
      <c r="DR13" s="38">
        <v>94060.757572122631</v>
      </c>
      <c r="DS13" s="39">
        <v>15934.260383999999</v>
      </c>
      <c r="DT13" s="42">
        <v>-78126.497188122637</v>
      </c>
      <c r="DU13" s="38">
        <v>111358.2151293348</v>
      </c>
      <c r="DV13" s="39">
        <v>26381.814255900001</v>
      </c>
      <c r="DW13" s="42">
        <v>-84976.400873434803</v>
      </c>
      <c r="DX13" s="38">
        <v>117559.50794960558</v>
      </c>
      <c r="DY13" s="39">
        <v>33976.4016825</v>
      </c>
      <c r="DZ13" s="42">
        <v>-83583.106267105584</v>
      </c>
      <c r="EA13" s="38">
        <v>130230</v>
      </c>
      <c r="EB13" s="39">
        <v>35743.6305135</v>
      </c>
      <c r="EC13" s="42">
        <v>-94486</v>
      </c>
      <c r="ED13" s="38">
        <v>138837</v>
      </c>
      <c r="EE13" s="39">
        <v>37745.294859999995</v>
      </c>
      <c r="EF13" s="42">
        <v>-101091</v>
      </c>
      <c r="EG13" s="38">
        <v>132798.1868193</v>
      </c>
      <c r="EH13" s="39">
        <v>43648</v>
      </c>
      <c r="EI13" s="42">
        <v>-89150.186819299997</v>
      </c>
      <c r="EJ13" s="38">
        <v>154803</v>
      </c>
      <c r="EK13" s="39">
        <v>45758</v>
      </c>
      <c r="EL13" s="42">
        <v>-109045</v>
      </c>
      <c r="EM13" s="38">
        <v>172268</v>
      </c>
      <c r="EN13" s="39">
        <v>49592</v>
      </c>
      <c r="EO13" s="42">
        <v>-122676</v>
      </c>
      <c r="EP13" s="364">
        <v>172268</v>
      </c>
      <c r="EQ13" s="365">
        <v>49592</v>
      </c>
      <c r="ER13" s="366">
        <v>-122676</v>
      </c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</row>
    <row r="14" spans="1:199">
      <c r="A14" s="327" t="s">
        <v>658</v>
      </c>
      <c r="B14" s="38">
        <v>103.82875255992523</v>
      </c>
      <c r="C14" s="39">
        <v>74.071965484632329</v>
      </c>
      <c r="D14" s="42">
        <v>-29.756787075292905</v>
      </c>
      <c r="E14" s="38">
        <v>95.903884469138333</v>
      </c>
      <c r="F14" s="39">
        <v>61.275710765713661</v>
      </c>
      <c r="G14" s="42">
        <v>-34.628173703424672</v>
      </c>
      <c r="H14" s="361">
        <v>101.85869263817153</v>
      </c>
      <c r="I14" s="361">
        <v>83.106006284392578</v>
      </c>
      <c r="J14" s="42">
        <v>-18.752686353778955</v>
      </c>
      <c r="K14" s="360">
        <v>117.85118803477104</v>
      </c>
      <c r="L14" s="361">
        <v>103.25892708930508</v>
      </c>
      <c r="M14" s="42">
        <v>-14.592260945465966</v>
      </c>
      <c r="N14" s="361">
        <v>129.21720916995559</v>
      </c>
      <c r="O14" s="361">
        <v>105.29404297478429</v>
      </c>
      <c r="P14" s="42">
        <v>-23.923166195171305</v>
      </c>
      <c r="Q14" s="360">
        <v>125.12414629758766</v>
      </c>
      <c r="R14" s="361">
        <v>107.91247267498139</v>
      </c>
      <c r="S14" s="42">
        <v>-17.21167362260627</v>
      </c>
      <c r="T14" s="360">
        <v>140.13196661125886</v>
      </c>
      <c r="U14" s="361">
        <v>140.93591508644317</v>
      </c>
      <c r="V14" s="42">
        <v>0.80394847518431334</v>
      </c>
      <c r="W14" s="361">
        <v>151.50179619639655</v>
      </c>
      <c r="X14" s="361">
        <v>166.05524841429971</v>
      </c>
      <c r="Y14" s="42">
        <v>14.553452217903157</v>
      </c>
      <c r="Z14" s="38">
        <v>180.23003338749498</v>
      </c>
      <c r="AA14" s="39">
        <v>220.28059712347013</v>
      </c>
      <c r="AB14" s="42">
        <v>40.050563735975146</v>
      </c>
      <c r="AC14" s="38">
        <v>220.41892060185353</v>
      </c>
      <c r="AD14" s="39">
        <v>265.59132264290935</v>
      </c>
      <c r="AE14" s="42">
        <v>45.172402041055818</v>
      </c>
      <c r="AF14" s="38">
        <v>229.10629660383972</v>
      </c>
      <c r="AG14" s="39">
        <v>326.72931810011414</v>
      </c>
      <c r="AH14" s="42">
        <v>97.623021496274418</v>
      </c>
      <c r="AI14" s="38">
        <v>219.20293444729566</v>
      </c>
      <c r="AJ14" s="39">
        <v>343.94864203109626</v>
      </c>
      <c r="AK14" s="42">
        <v>124.74570758380059</v>
      </c>
      <c r="AL14" s="38">
        <v>246.64954773422295</v>
      </c>
      <c r="AM14" s="39">
        <v>400.60220003566519</v>
      </c>
      <c r="AN14" s="42">
        <v>153.95265230144224</v>
      </c>
      <c r="AO14" s="38">
        <v>284.73203616458471</v>
      </c>
      <c r="AP14" s="39">
        <v>433.11278636580676</v>
      </c>
      <c r="AQ14" s="42">
        <v>148.38075020122204</v>
      </c>
      <c r="AR14" s="38">
        <v>251.07147244934583</v>
      </c>
      <c r="AS14" s="39">
        <v>463.21643417092605</v>
      </c>
      <c r="AT14" s="42">
        <v>212.14496172158022</v>
      </c>
      <c r="AU14" s="38">
        <v>308.68622875974745</v>
      </c>
      <c r="AV14" s="39">
        <v>551.85658641905252</v>
      </c>
      <c r="AW14" s="42">
        <v>243.17035765930507</v>
      </c>
      <c r="AX14" s="38">
        <v>354.25879139530412</v>
      </c>
      <c r="AY14" s="39">
        <v>624.54420399075036</v>
      </c>
      <c r="AZ14" s="42">
        <v>270.28541259544625</v>
      </c>
      <c r="BA14" s="38">
        <v>370.98303608932986</v>
      </c>
      <c r="BB14" s="39">
        <v>733.09160772969494</v>
      </c>
      <c r="BC14" s="42">
        <v>362.10857164036508</v>
      </c>
      <c r="BD14" s="38">
        <v>481.21882883621629</v>
      </c>
      <c r="BE14" s="39">
        <v>880.79875691315112</v>
      </c>
      <c r="BF14" s="42">
        <v>399.57992807693483</v>
      </c>
      <c r="BG14" s="38">
        <v>690.014995776516</v>
      </c>
      <c r="BH14" s="39">
        <v>1101.2937984541898</v>
      </c>
      <c r="BI14" s="42">
        <v>411.27880267767375</v>
      </c>
      <c r="BJ14" s="38">
        <v>696.81650094473207</v>
      </c>
      <c r="BK14" s="39">
        <v>1329.5366176541363</v>
      </c>
      <c r="BL14" s="42">
        <v>632.72011670940424</v>
      </c>
      <c r="BM14" s="38">
        <v>859.72071044775282</v>
      </c>
      <c r="BN14" s="39">
        <v>1634.7687974578757</v>
      </c>
      <c r="BO14" s="42">
        <v>775.04808701012291</v>
      </c>
      <c r="BP14" s="38">
        <v>1268.3788722080608</v>
      </c>
      <c r="BQ14" s="39">
        <v>2155.4475223405502</v>
      </c>
      <c r="BR14" s="42">
        <v>887.06865013248944</v>
      </c>
      <c r="BS14" s="38">
        <v>1157.8907071747885</v>
      </c>
      <c r="BT14" s="39">
        <v>3061.9574142155589</v>
      </c>
      <c r="BU14" s="42">
        <v>1904.0667070407703</v>
      </c>
      <c r="BV14" s="38">
        <v>1345.0365542084016</v>
      </c>
      <c r="BW14" s="39">
        <v>3746.8536764499868</v>
      </c>
      <c r="BX14" s="42">
        <v>2401.8171222415849</v>
      </c>
      <c r="BY14" s="38">
        <v>1603.0987379515827</v>
      </c>
      <c r="BZ14" s="39">
        <v>4125.7740789348009</v>
      </c>
      <c r="CA14" s="42">
        <v>2522.6753409832181</v>
      </c>
      <c r="CB14" s="38">
        <v>2174.2327364457628</v>
      </c>
      <c r="CC14" s="39">
        <v>4748.9275542499154</v>
      </c>
      <c r="CD14" s="42">
        <v>2574.6948178041525</v>
      </c>
      <c r="CE14" s="38">
        <v>1978.9012742224556</v>
      </c>
      <c r="CF14" s="39">
        <v>4227.6808929308072</v>
      </c>
      <c r="CG14" s="42">
        <v>2248.7796187083513</v>
      </c>
      <c r="CH14" s="38">
        <v>2187.4963942786735</v>
      </c>
      <c r="CI14" s="39">
        <v>4643.4985615000423</v>
      </c>
      <c r="CJ14" s="42">
        <v>2456.0021672213688</v>
      </c>
      <c r="CK14" s="38">
        <v>4229.4753462474582</v>
      </c>
      <c r="CL14" s="39">
        <v>8886.8895892300698</v>
      </c>
      <c r="CM14" s="42">
        <v>4657.4142429826115</v>
      </c>
      <c r="CN14" s="38">
        <v>6244.0082990171195</v>
      </c>
      <c r="CO14" s="39">
        <v>9849.0951078533544</v>
      </c>
      <c r="CP14" s="42">
        <v>3605.0868088362349</v>
      </c>
      <c r="CQ14" s="38">
        <v>9702.1809302480124</v>
      </c>
      <c r="CR14" s="39">
        <v>17775.474423010404</v>
      </c>
      <c r="CS14" s="42">
        <v>8073.2934927623919</v>
      </c>
      <c r="CT14" s="38">
        <v>14280.330433661775</v>
      </c>
      <c r="CU14" s="39">
        <v>23654.043319914148</v>
      </c>
      <c r="CV14" s="42">
        <v>9373.7128862523732</v>
      </c>
      <c r="CW14" s="38">
        <v>17412.022121546481</v>
      </c>
      <c r="CX14" s="39">
        <v>31137.830278110421</v>
      </c>
      <c r="CY14" s="42">
        <v>13725.80815656394</v>
      </c>
      <c r="CZ14" s="38">
        <v>20671.566414336907</v>
      </c>
      <c r="DA14" s="39">
        <v>32690.760216020739</v>
      </c>
      <c r="DB14" s="42">
        <v>12019.193801683832</v>
      </c>
      <c r="DC14" s="38">
        <v>23548.416699417648</v>
      </c>
      <c r="DD14" s="39">
        <v>41133.658686798954</v>
      </c>
      <c r="DE14" s="42">
        <v>17585.241987381305</v>
      </c>
      <c r="DF14" s="38">
        <v>34363.611095605134</v>
      </c>
      <c r="DG14" s="39">
        <v>57989.491207452244</v>
      </c>
      <c r="DH14" s="42">
        <v>23625.880111847109</v>
      </c>
      <c r="DI14" s="38">
        <v>43704.510819910443</v>
      </c>
      <c r="DJ14" s="39">
        <v>69592.42127069179</v>
      </c>
      <c r="DK14" s="42">
        <v>25887.910450781346</v>
      </c>
      <c r="DL14" s="38">
        <v>39533.169957404534</v>
      </c>
      <c r="DM14" s="39">
        <v>86112.466957057011</v>
      </c>
      <c r="DN14" s="42">
        <v>46579.296999652477</v>
      </c>
      <c r="DO14" s="38">
        <v>48198.266367122756</v>
      </c>
      <c r="DP14" s="39">
        <v>91333.513783533039</v>
      </c>
      <c r="DQ14" s="42">
        <v>43135.247416410282</v>
      </c>
      <c r="DR14" s="38">
        <v>61336.532523195201</v>
      </c>
      <c r="DS14" s="39">
        <v>99416.485677643112</v>
      </c>
      <c r="DT14" s="42">
        <v>38079.95315444791</v>
      </c>
      <c r="DU14" s="38">
        <v>71060.920428766214</v>
      </c>
      <c r="DV14" s="39">
        <v>120727.25529028598</v>
      </c>
      <c r="DW14" s="42">
        <v>49666.334861519761</v>
      </c>
      <c r="DX14" s="38">
        <v>88817.750734244823</v>
      </c>
      <c r="DY14" s="39">
        <v>156084.93024444266</v>
      </c>
      <c r="DZ14" s="42">
        <v>67267.179510197835</v>
      </c>
      <c r="EA14" s="38">
        <v>98668.679302108474</v>
      </c>
      <c r="EB14" s="39">
        <v>160786.19198421485</v>
      </c>
      <c r="EC14" s="42">
        <v>62117.512682106375</v>
      </c>
      <c r="ED14" s="38">
        <v>87245.727645354491</v>
      </c>
      <c r="EE14" s="39">
        <v>157822.33233211396</v>
      </c>
      <c r="EF14" s="42">
        <v>70576.60468675947</v>
      </c>
      <c r="EG14" s="38">
        <v>81366</v>
      </c>
      <c r="EH14" s="39">
        <v>146084</v>
      </c>
      <c r="EI14" s="42">
        <v>64718</v>
      </c>
      <c r="EJ14" s="38">
        <v>82912</v>
      </c>
      <c r="EK14" s="39">
        <v>124165</v>
      </c>
      <c r="EL14" s="42">
        <v>41253</v>
      </c>
      <c r="EM14" s="38">
        <v>84792</v>
      </c>
      <c r="EN14" s="39">
        <v>179643</v>
      </c>
      <c r="EO14" s="42">
        <v>94851</v>
      </c>
      <c r="EP14" s="364">
        <v>84792</v>
      </c>
      <c r="EQ14" s="365">
        <v>179643</v>
      </c>
      <c r="ER14" s="366">
        <v>94851</v>
      </c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</row>
    <row r="15" spans="1:199">
      <c r="A15" s="327" t="s">
        <v>659</v>
      </c>
      <c r="B15" s="38">
        <v>76.975287485959754</v>
      </c>
      <c r="C15" s="39">
        <v>299.98485513638082</v>
      </c>
      <c r="D15" s="42">
        <v>223.00956765042105</v>
      </c>
      <c r="E15" s="38">
        <v>92.370344983151696</v>
      </c>
      <c r="F15" s="39">
        <v>340.0749970670492</v>
      </c>
      <c r="G15" s="42">
        <v>247.70465208389749</v>
      </c>
      <c r="H15" s="361">
        <v>130.26587113008571</v>
      </c>
      <c r="I15" s="361">
        <v>345.60467181610693</v>
      </c>
      <c r="J15" s="42">
        <v>215.33880068602122</v>
      </c>
      <c r="K15" s="360">
        <v>316.19079628848078</v>
      </c>
      <c r="L15" s="361">
        <v>533.61361328406906</v>
      </c>
      <c r="M15" s="42">
        <v>217.42281699558828</v>
      </c>
      <c r="N15" s="361">
        <v>436.98278588183308</v>
      </c>
      <c r="O15" s="361">
        <v>608.26422239634826</v>
      </c>
      <c r="P15" s="42">
        <v>171.28143651451518</v>
      </c>
      <c r="Q15" s="360">
        <v>242.76821437879613</v>
      </c>
      <c r="R15" s="361">
        <v>429.93221173923706</v>
      </c>
      <c r="S15" s="42">
        <v>187.16399736044093</v>
      </c>
      <c r="T15" s="360">
        <v>354.08632243541484</v>
      </c>
      <c r="U15" s="361">
        <v>615.17631583267041</v>
      </c>
      <c r="V15" s="42">
        <v>261.08999339725557</v>
      </c>
      <c r="W15" s="361">
        <v>420.40349319254938</v>
      </c>
      <c r="X15" s="361">
        <v>724.38739212656014</v>
      </c>
      <c r="Y15" s="42">
        <v>303.98389893401077</v>
      </c>
      <c r="Z15" s="38">
        <v>360.00749839587331</v>
      </c>
      <c r="AA15" s="39">
        <v>818.39186286054121</v>
      </c>
      <c r="AB15" s="42">
        <v>458.3843644646679</v>
      </c>
      <c r="AC15" s="38">
        <v>350.53361685913973</v>
      </c>
      <c r="AD15" s="39">
        <v>962.1634063360417</v>
      </c>
      <c r="AE15" s="42">
        <v>611.62978947690203</v>
      </c>
      <c r="AF15" s="38">
        <v>453.56207857111667</v>
      </c>
      <c r="AG15" s="39">
        <v>1016.0777351393544</v>
      </c>
      <c r="AH15" s="42">
        <v>562.51565656823777</v>
      </c>
      <c r="AI15" s="38">
        <v>416.85078761627432</v>
      </c>
      <c r="AJ15" s="39">
        <v>988.42936139406595</v>
      </c>
      <c r="AK15" s="42">
        <v>571.57857377779169</v>
      </c>
      <c r="AL15" s="38">
        <v>441.71972665019979</v>
      </c>
      <c r="AM15" s="39">
        <v>937.27986996528205</v>
      </c>
      <c r="AN15" s="42">
        <v>495.56014331508226</v>
      </c>
      <c r="AO15" s="38">
        <v>605.14418315885291</v>
      </c>
      <c r="AP15" s="39">
        <v>1230.3526316653408</v>
      </c>
      <c r="AQ15" s="42">
        <v>625.20844850648791</v>
      </c>
      <c r="AR15" s="38">
        <v>856.2020438822907</v>
      </c>
      <c r="AS15" s="39">
        <v>2004.5070965334203</v>
      </c>
      <c r="AT15" s="42">
        <v>1148.3050526511297</v>
      </c>
      <c r="AU15" s="38">
        <v>1132.1288436396542</v>
      </c>
      <c r="AV15" s="39">
        <v>2961.1408281204044</v>
      </c>
      <c r="AW15" s="42">
        <v>1829.0119844807502</v>
      </c>
      <c r="AX15" s="38">
        <v>1819.5026046991068</v>
      </c>
      <c r="AY15" s="39">
        <v>4933.0982246236972</v>
      </c>
      <c r="AZ15" s="42">
        <v>3113.5956199245902</v>
      </c>
      <c r="BA15" s="38">
        <v>2808.0049887765931</v>
      </c>
      <c r="BB15" s="39">
        <v>6645</v>
      </c>
      <c r="BC15" s="42">
        <v>3836.9950112234069</v>
      </c>
      <c r="BD15" s="38">
        <v>2792.7249281428149</v>
      </c>
      <c r="BE15" s="39">
        <v>10035</v>
      </c>
      <c r="BF15" s="42">
        <v>7242.2750718571851</v>
      </c>
      <c r="BG15" s="38">
        <v>2403.6710766212359</v>
      </c>
      <c r="BH15" s="39">
        <v>10135</v>
      </c>
      <c r="BI15" s="42">
        <v>7731.3289233787636</v>
      </c>
      <c r="BJ15" s="38">
        <v>2243.8181346063275</v>
      </c>
      <c r="BK15" s="39">
        <v>8071</v>
      </c>
      <c r="BL15" s="42">
        <v>5827.1818653936725</v>
      </c>
      <c r="BM15" s="38">
        <v>2521.2100045733746</v>
      </c>
      <c r="BN15" s="39">
        <v>6778</v>
      </c>
      <c r="BO15" s="42">
        <v>4256.789995426625</v>
      </c>
      <c r="BP15" s="38">
        <v>3313.4223789707894</v>
      </c>
      <c r="BQ15" s="39">
        <v>8874</v>
      </c>
      <c r="BR15" s="42">
        <v>5560.5776210292106</v>
      </c>
      <c r="BS15" s="38">
        <v>3924.6248043219102</v>
      </c>
      <c r="BT15" s="39">
        <v>12106</v>
      </c>
      <c r="BU15" s="42">
        <v>8181.3751956780898</v>
      </c>
      <c r="BV15" s="38">
        <v>4914.3025776789182</v>
      </c>
      <c r="BW15" s="39">
        <v>14495</v>
      </c>
      <c r="BX15" s="42">
        <v>9580.6974223210818</v>
      </c>
      <c r="BY15" s="38">
        <v>6680.9126647995627</v>
      </c>
      <c r="BZ15" s="39">
        <v>17414</v>
      </c>
      <c r="CA15" s="42">
        <v>10733.087335200438</v>
      </c>
      <c r="CB15" s="38">
        <v>7620.0486991371508</v>
      </c>
      <c r="CC15" s="39">
        <v>15598</v>
      </c>
      <c r="CD15" s="42">
        <v>7977.9513008628492</v>
      </c>
      <c r="CE15" s="38">
        <v>7783.4278089906229</v>
      </c>
      <c r="CF15" s="51">
        <v>9057</v>
      </c>
      <c r="CG15" s="42">
        <v>1273.5721910093771</v>
      </c>
      <c r="CH15" s="38">
        <v>5179.9405548507511</v>
      </c>
      <c r="CI15" s="39">
        <v>12853</v>
      </c>
      <c r="CJ15" s="42">
        <v>7673.0594451492489</v>
      </c>
      <c r="CK15" s="38">
        <v>6095.5688035979119</v>
      </c>
      <c r="CL15" s="39">
        <v>19894</v>
      </c>
      <c r="CM15" s="42">
        <v>13798.431196402089</v>
      </c>
      <c r="CN15" s="38">
        <v>8401.6825700188729</v>
      </c>
      <c r="CO15" s="39">
        <v>33854</v>
      </c>
      <c r="CP15" s="42">
        <v>25452.317429981129</v>
      </c>
      <c r="CQ15" s="38">
        <v>14224.561060767823</v>
      </c>
      <c r="CR15" s="39">
        <v>59239</v>
      </c>
      <c r="CS15" s="42">
        <v>45014.438939232175</v>
      </c>
      <c r="CT15" s="38">
        <v>17117.194077669956</v>
      </c>
      <c r="CU15" s="39">
        <v>73707</v>
      </c>
      <c r="CV15" s="42">
        <v>56589.805922330044</v>
      </c>
      <c r="CW15" s="38">
        <v>18022.243822901422</v>
      </c>
      <c r="CX15" s="39">
        <v>81754</v>
      </c>
      <c r="CY15" s="42">
        <v>63731.756177098578</v>
      </c>
      <c r="CZ15" s="38">
        <v>23460.77001924688</v>
      </c>
      <c r="DA15" s="39">
        <v>89486</v>
      </c>
      <c r="DB15" s="42">
        <v>66025.229980753124</v>
      </c>
      <c r="DC15" s="38">
        <v>30185.172087388735</v>
      </c>
      <c r="DD15" s="39">
        <v>119765</v>
      </c>
      <c r="DE15" s="42">
        <v>89579.827912611261</v>
      </c>
      <c r="DF15" s="38">
        <v>39256.826546734796</v>
      </c>
      <c r="DG15" s="39">
        <v>180812</v>
      </c>
      <c r="DH15" s="42">
        <v>141555.17345326522</v>
      </c>
      <c r="DI15" s="38">
        <v>47479.849946266419</v>
      </c>
      <c r="DJ15" s="39">
        <v>246357</v>
      </c>
      <c r="DK15" s="42">
        <v>198877.15005373358</v>
      </c>
      <c r="DL15" s="38">
        <v>57887.922016428296</v>
      </c>
      <c r="DM15" s="39">
        <v>293390</v>
      </c>
      <c r="DN15" s="42">
        <v>235502.07798357171</v>
      </c>
      <c r="DO15" s="38">
        <v>72782.454966523306</v>
      </c>
      <c r="DP15" s="39">
        <v>390955</v>
      </c>
      <c r="DQ15" s="42">
        <v>318172.54503347666</v>
      </c>
      <c r="DR15" s="38">
        <v>97023.683467372393</v>
      </c>
      <c r="DS15" s="39">
        <v>454907</v>
      </c>
      <c r="DT15" s="42">
        <v>357883.31653262762</v>
      </c>
      <c r="DU15" s="38">
        <v>120770.07308154297</v>
      </c>
      <c r="DV15" s="39">
        <v>558145</v>
      </c>
      <c r="DW15" s="42">
        <v>437374.92691845703</v>
      </c>
      <c r="DX15" s="38">
        <v>165309.09905044688</v>
      </c>
      <c r="DY15" s="39">
        <v>667871</v>
      </c>
      <c r="DZ15" s="42">
        <v>502561.90094955312</v>
      </c>
      <c r="EA15" s="38">
        <v>194468.17511336485</v>
      </c>
      <c r="EB15" s="39">
        <v>734655</v>
      </c>
      <c r="EC15" s="42">
        <v>540186.82488663518</v>
      </c>
      <c r="ED15" s="38">
        <v>220568.2402028706</v>
      </c>
      <c r="EE15" s="39">
        <v>705733</v>
      </c>
      <c r="EF15" s="42">
        <v>485164.75979712943</v>
      </c>
      <c r="EG15" s="38">
        <v>305046</v>
      </c>
      <c r="EH15" s="39">
        <v>653984</v>
      </c>
      <c r="EI15" s="42">
        <v>348938</v>
      </c>
      <c r="EJ15" s="38">
        <v>282132</v>
      </c>
      <c r="EK15" s="39">
        <v>680800</v>
      </c>
      <c r="EL15" s="42">
        <v>398668</v>
      </c>
      <c r="EM15" s="38">
        <v>316710</v>
      </c>
      <c r="EN15" s="39">
        <v>727383</v>
      </c>
      <c r="EO15" s="42">
        <v>410673</v>
      </c>
      <c r="EP15" s="364">
        <v>316710</v>
      </c>
      <c r="EQ15" s="365">
        <v>727383</v>
      </c>
      <c r="ER15" s="366">
        <v>410673</v>
      </c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</row>
    <row r="16" spans="1:199">
      <c r="A16" s="327" t="s">
        <v>660</v>
      </c>
      <c r="B16" s="367">
        <v>492.27094429519917</v>
      </c>
      <c r="C16" s="368">
        <v>432.30238887729752</v>
      </c>
      <c r="D16" s="330">
        <v>-59.968555417901655</v>
      </c>
      <c r="E16" s="367">
        <v>519.63070243595519</v>
      </c>
      <c r="F16" s="368">
        <v>438.1750717007356</v>
      </c>
      <c r="G16" s="330">
        <v>-81.455630735219586</v>
      </c>
      <c r="H16" s="373">
        <v>529.7277606800269</v>
      </c>
      <c r="I16" s="373">
        <v>448.36891983987101</v>
      </c>
      <c r="J16" s="330">
        <v>-81.358840840155892</v>
      </c>
      <c r="K16" s="374">
        <v>561.4945365344671</v>
      </c>
      <c r="L16" s="373">
        <v>437.63260733415245</v>
      </c>
      <c r="M16" s="330">
        <v>-123.86192920031465</v>
      </c>
      <c r="N16" s="373">
        <v>604.26181466854086</v>
      </c>
      <c r="O16" s="373">
        <v>539.99870818567865</v>
      </c>
      <c r="P16" s="330">
        <v>-64.263106482862213</v>
      </c>
      <c r="Q16" s="374">
        <v>623.87946425282621</v>
      </c>
      <c r="R16" s="373">
        <v>515.13472815550585</v>
      </c>
      <c r="S16" s="330">
        <v>-108.74473609732036</v>
      </c>
      <c r="T16" s="374">
        <v>649.96871034026958</v>
      </c>
      <c r="U16" s="373">
        <v>530.79935697021745</v>
      </c>
      <c r="V16" s="330">
        <v>-119.16935337005214</v>
      </c>
      <c r="W16" s="373">
        <v>658.12429299741473</v>
      </c>
      <c r="X16" s="373">
        <v>508.82725420094238</v>
      </c>
      <c r="Y16" s="330">
        <v>-149.29703879647235</v>
      </c>
      <c r="Z16" s="367">
        <v>751.8303891212779</v>
      </c>
      <c r="AA16" s="368">
        <v>605.70797067508977</v>
      </c>
      <c r="AB16" s="330">
        <v>-146.12241844618814</v>
      </c>
      <c r="AC16" s="367">
        <v>806.14993161900941</v>
      </c>
      <c r="AD16" s="368">
        <v>691.35089837406895</v>
      </c>
      <c r="AE16" s="330">
        <v>-114.79903324494046</v>
      </c>
      <c r="AF16" s="367">
        <v>910.92869960987377</v>
      </c>
      <c r="AG16" s="368">
        <v>861.2882033803586</v>
      </c>
      <c r="AH16" s="330">
        <v>-49.640496229515179</v>
      </c>
      <c r="AI16" s="367">
        <v>983.73047763727243</v>
      </c>
      <c r="AJ16" s="368">
        <v>899.02966781782072</v>
      </c>
      <c r="AK16" s="330">
        <v>-84.700809819451706</v>
      </c>
      <c r="AL16" s="367">
        <v>1071.4645195889368</v>
      </c>
      <c r="AM16" s="368">
        <v>966.63100792733792</v>
      </c>
      <c r="AN16" s="330">
        <v>-104.83351166159889</v>
      </c>
      <c r="AO16" s="367">
        <v>1225.4619725243999</v>
      </c>
      <c r="AP16" s="368">
        <v>1040.7062324767999</v>
      </c>
      <c r="AQ16" s="330">
        <v>-184.75574004760006</v>
      </c>
      <c r="AR16" s="367">
        <v>1218.8602588420001</v>
      </c>
      <c r="AS16" s="368">
        <v>1048.0109919648</v>
      </c>
      <c r="AT16" s="330">
        <v>-170.84926687720008</v>
      </c>
      <c r="AU16" s="367">
        <v>1288.4751877664</v>
      </c>
      <c r="AV16" s="368">
        <v>1108.7502097616</v>
      </c>
      <c r="AW16" s="330">
        <v>-179.72497800480005</v>
      </c>
      <c r="AX16" s="367">
        <v>1372.8336230867999</v>
      </c>
      <c r="AY16" s="368">
        <v>1284.6802305392</v>
      </c>
      <c r="AZ16" s="330">
        <v>-88.153392547599879</v>
      </c>
      <c r="BA16" s="38">
        <v>1477.8436592169478</v>
      </c>
      <c r="BB16" s="39">
        <v>1375.885100168</v>
      </c>
      <c r="BC16" s="42">
        <v>-101.95855904894779</v>
      </c>
      <c r="BD16" s="38">
        <v>1600.7976512972343</v>
      </c>
      <c r="BE16" s="39">
        <v>1426.587648768</v>
      </c>
      <c r="BF16" s="42">
        <v>-174.21000252923432</v>
      </c>
      <c r="BG16" s="38">
        <v>1712.8678344364102</v>
      </c>
      <c r="BH16" s="39">
        <v>1393.194904616</v>
      </c>
      <c r="BI16" s="42">
        <v>-319.67292982041022</v>
      </c>
      <c r="BJ16" s="38">
        <v>1881.8981413757565</v>
      </c>
      <c r="BK16" s="39">
        <v>1472.7114626544001</v>
      </c>
      <c r="BL16" s="42">
        <v>-409.18667872135643</v>
      </c>
      <c r="BM16" s="38">
        <v>1875.7652347646006</v>
      </c>
      <c r="BN16" s="39">
        <v>1462.6364758896</v>
      </c>
      <c r="BO16" s="42">
        <v>-413.12875887500059</v>
      </c>
      <c r="BP16" s="38">
        <v>1938.1139313268297</v>
      </c>
      <c r="BQ16" s="39">
        <v>1577.7456477871999</v>
      </c>
      <c r="BR16" s="42">
        <v>-360.36828353962983</v>
      </c>
      <c r="BS16" s="38">
        <v>2184.8522322009717</v>
      </c>
      <c r="BT16" s="39">
        <v>1758.3243218732</v>
      </c>
      <c r="BU16" s="42">
        <v>-426.52791032777168</v>
      </c>
      <c r="BV16" s="38">
        <v>2523.9753165735519</v>
      </c>
      <c r="BW16" s="39">
        <v>2047.941130404</v>
      </c>
      <c r="BX16" s="42">
        <v>-476.03418616955196</v>
      </c>
      <c r="BY16" s="38">
        <v>3558.2611304640864</v>
      </c>
      <c r="BZ16" s="39">
        <v>2724.1823407431998</v>
      </c>
      <c r="CA16" s="42">
        <v>-834.07878972088656</v>
      </c>
      <c r="CB16" s="38">
        <v>3847.914724159109</v>
      </c>
      <c r="CC16" s="39">
        <v>3348.0134635320001</v>
      </c>
      <c r="CD16" s="42">
        <v>-499.90126062710897</v>
      </c>
      <c r="CE16" s="38">
        <v>3940.7216038926949</v>
      </c>
      <c r="CF16" s="39">
        <v>3491.5331365908</v>
      </c>
      <c r="CG16" s="42">
        <v>-449.18846730189489</v>
      </c>
      <c r="CH16" s="38">
        <v>4345.4017758299615</v>
      </c>
      <c r="CI16" s="39">
        <v>3375.8513691999997</v>
      </c>
      <c r="CJ16" s="42">
        <v>-969.5504066299618</v>
      </c>
      <c r="CK16" s="38">
        <v>5445.4394372708884</v>
      </c>
      <c r="CL16" s="39">
        <v>4718.0367600000009</v>
      </c>
      <c r="CM16" s="42">
        <v>-727.40267727088758</v>
      </c>
      <c r="CN16" s="38">
        <v>6532.4719288253482</v>
      </c>
      <c r="CO16" s="39">
        <v>5395.5315161999997</v>
      </c>
      <c r="CP16" s="42">
        <v>-1136.9404126253485</v>
      </c>
      <c r="CQ16" s="38">
        <v>8964.6039118271274</v>
      </c>
      <c r="CR16" s="39">
        <v>8036.6789351999996</v>
      </c>
      <c r="CS16" s="42">
        <v>-927.92497662712776</v>
      </c>
      <c r="CT16" s="38">
        <v>10107.867314257588</v>
      </c>
      <c r="CU16" s="39">
        <v>8444.9164996</v>
      </c>
      <c r="CV16" s="42">
        <v>-1662.9508146575881</v>
      </c>
      <c r="CW16" s="38">
        <v>13139.379157008356</v>
      </c>
      <c r="CX16" s="39">
        <v>9734.7916640000003</v>
      </c>
      <c r="CY16" s="42">
        <v>-3404.5874930083555</v>
      </c>
      <c r="CZ16" s="38">
        <v>16624.118610050678</v>
      </c>
      <c r="DA16" s="39">
        <v>13391.4500866</v>
      </c>
      <c r="DB16" s="42">
        <v>-3232.6685234506785</v>
      </c>
      <c r="DC16" s="38">
        <v>20598.197234949395</v>
      </c>
      <c r="DD16" s="39">
        <v>15146.874350799999</v>
      </c>
      <c r="DE16" s="42">
        <v>-5451.3228841493965</v>
      </c>
      <c r="DF16" s="38">
        <v>25166.555878737712</v>
      </c>
      <c r="DG16" s="39">
        <v>14703.278743999999</v>
      </c>
      <c r="DH16" s="42">
        <v>-10463.277134737713</v>
      </c>
      <c r="DI16" s="38">
        <v>26463.173066772892</v>
      </c>
      <c r="DJ16" s="39">
        <v>14185.2512462</v>
      </c>
      <c r="DK16" s="42">
        <v>-12277.921820572892</v>
      </c>
      <c r="DL16" s="38">
        <v>28174.708194553903</v>
      </c>
      <c r="DM16" s="39">
        <v>15819.637702800001</v>
      </c>
      <c r="DN16" s="42">
        <v>-12355.070491753902</v>
      </c>
      <c r="DO16" s="38">
        <v>32232.708834066776</v>
      </c>
      <c r="DP16" s="39">
        <v>22867.676311799998</v>
      </c>
      <c r="DQ16" s="42">
        <v>-9365.032522266778</v>
      </c>
      <c r="DR16" s="38">
        <v>39019.447678440491</v>
      </c>
      <c r="DS16" s="39">
        <v>29032.062672</v>
      </c>
      <c r="DT16" s="42">
        <v>-9987.3850064404905</v>
      </c>
      <c r="DU16" s="38">
        <v>44681.06361810922</v>
      </c>
      <c r="DV16" s="39">
        <v>35823.985894600002</v>
      </c>
      <c r="DW16" s="42">
        <v>-8857.0777235092173</v>
      </c>
      <c r="DX16" s="38">
        <v>52961.430400050529</v>
      </c>
      <c r="DY16" s="39">
        <v>47126.278134599997</v>
      </c>
      <c r="DZ16" s="42">
        <v>-5835.1522654505316</v>
      </c>
      <c r="EA16" s="38">
        <v>56379</v>
      </c>
      <c r="EB16" s="39">
        <v>45894.412328600003</v>
      </c>
      <c r="EC16" s="42">
        <v>-10485</v>
      </c>
      <c r="ED16" s="38">
        <v>63789</v>
      </c>
      <c r="EE16" s="39">
        <v>41445.006296</v>
      </c>
      <c r="EF16" s="42">
        <v>-22344</v>
      </c>
      <c r="EG16" s="38">
        <v>69915.571251400004</v>
      </c>
      <c r="EH16" s="39">
        <v>41822</v>
      </c>
      <c r="EI16" s="42">
        <v>-28093.571251400004</v>
      </c>
      <c r="EJ16" s="38">
        <v>71074.137000000002</v>
      </c>
      <c r="EK16" s="39">
        <v>35759.097000000002</v>
      </c>
      <c r="EL16" s="42">
        <v>-35315.040000000001</v>
      </c>
      <c r="EM16" s="38">
        <v>81248.56766666667</v>
      </c>
      <c r="EN16" s="39">
        <v>49779.56766666667</v>
      </c>
      <c r="EO16" s="42">
        <v>-31469</v>
      </c>
      <c r="EP16" s="364">
        <v>48075</v>
      </c>
      <c r="EQ16" s="365">
        <v>16606</v>
      </c>
      <c r="ER16" s="366">
        <v>-31469</v>
      </c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</row>
    <row r="17" spans="1:199">
      <c r="A17" s="327" t="s">
        <v>661</v>
      </c>
      <c r="B17" s="38">
        <v>37.19180597185391</v>
      </c>
      <c r="C17" s="39">
        <v>62.607560524111108</v>
      </c>
      <c r="D17" s="42">
        <v>25.415754552257198</v>
      </c>
      <c r="E17" s="38">
        <v>94.866055812265046</v>
      </c>
      <c r="F17" s="39">
        <v>149.71373168809174</v>
      </c>
      <c r="G17" s="42">
        <v>54.847675875826695</v>
      </c>
      <c r="H17" s="361">
        <v>86.241868920240947</v>
      </c>
      <c r="I17" s="361">
        <v>123.17357016156643</v>
      </c>
      <c r="J17" s="42">
        <v>36.931701241325484</v>
      </c>
      <c r="K17" s="360">
        <v>188.11507658227549</v>
      </c>
      <c r="L17" s="361">
        <v>242.26403854982121</v>
      </c>
      <c r="M17" s="42">
        <v>54.148961967545716</v>
      </c>
      <c r="N17" s="361">
        <v>197.27827515505115</v>
      </c>
      <c r="O17" s="361">
        <v>342.30003199595529</v>
      </c>
      <c r="P17" s="42">
        <v>145.02175684090415</v>
      </c>
      <c r="Q17" s="360">
        <v>215.60467230060232</v>
      </c>
      <c r="R17" s="361">
        <v>317.12090439386708</v>
      </c>
      <c r="S17" s="42">
        <v>101.51623209326476</v>
      </c>
      <c r="T17" s="360">
        <v>270.5838637372558</v>
      </c>
      <c r="U17" s="361">
        <v>351.8272694670157</v>
      </c>
      <c r="V17" s="42">
        <v>81.2434057297599</v>
      </c>
      <c r="W17" s="361">
        <v>287.29322584055251</v>
      </c>
      <c r="X17" s="361">
        <v>381.77001580463389</v>
      </c>
      <c r="Y17" s="42">
        <v>94.476789964081377</v>
      </c>
      <c r="Z17" s="38">
        <v>241.47723297667457</v>
      </c>
      <c r="AA17" s="39">
        <v>565.50959560365561</v>
      </c>
      <c r="AB17" s="42">
        <v>324.03236262698101</v>
      </c>
      <c r="AC17" s="38">
        <v>249.56240818794737</v>
      </c>
      <c r="AD17" s="39">
        <v>650.57421588098043</v>
      </c>
      <c r="AE17" s="42">
        <v>401.01180769303306</v>
      </c>
      <c r="AF17" s="38">
        <v>292.14433096731608</v>
      </c>
      <c r="AG17" s="39">
        <v>923.461517730639</v>
      </c>
      <c r="AH17" s="42">
        <v>631.31718676332298</v>
      </c>
      <c r="AI17" s="38">
        <v>253.33548995320771</v>
      </c>
      <c r="AJ17" s="39">
        <v>579.80045181024616</v>
      </c>
      <c r="AK17" s="42">
        <v>326.46496185703847</v>
      </c>
      <c r="AL17" s="38">
        <v>351.97462753073336</v>
      </c>
      <c r="AM17" s="39">
        <v>756.05434502486344</v>
      </c>
      <c r="AN17" s="42">
        <v>404.07971749413008</v>
      </c>
      <c r="AO17" s="38">
        <v>819.92576212701692</v>
      </c>
      <c r="AP17" s="39">
        <v>772.98410402289812</v>
      </c>
      <c r="AQ17" s="42">
        <v>-46.941658104118801</v>
      </c>
      <c r="AR17" s="38">
        <v>778.11136627574979</v>
      </c>
      <c r="AS17" s="39">
        <v>1281.4095950054543</v>
      </c>
      <c r="AT17" s="42">
        <v>503.29822872970453</v>
      </c>
      <c r="AU17" s="38">
        <v>772.05130890600105</v>
      </c>
      <c r="AV17" s="39">
        <v>1026.4578589749572</v>
      </c>
      <c r="AW17" s="42">
        <v>254.40655006895611</v>
      </c>
      <c r="AX17" s="38">
        <v>606.36199999999974</v>
      </c>
      <c r="AY17" s="39">
        <v>1169.9030000000002</v>
      </c>
      <c r="AZ17" s="42">
        <v>563.54100000000051</v>
      </c>
      <c r="BA17" s="38">
        <v>647.30200000000002</v>
      </c>
      <c r="BB17" s="39">
        <v>1519.4949999999999</v>
      </c>
      <c r="BC17" s="42">
        <v>872.19299999999987</v>
      </c>
      <c r="BD17" s="38">
        <v>1137.665</v>
      </c>
      <c r="BE17" s="39">
        <v>1442.3119999999999</v>
      </c>
      <c r="BF17" s="42">
        <v>304.64699999999993</v>
      </c>
      <c r="BG17" s="38">
        <v>1112.3429999999998</v>
      </c>
      <c r="BH17" s="39">
        <v>1321.7190000000001</v>
      </c>
      <c r="BI17" s="42">
        <v>209.3760000000002</v>
      </c>
      <c r="BJ17" s="38">
        <v>1429.462</v>
      </c>
      <c r="BK17" s="39">
        <v>1488.1390000000001</v>
      </c>
      <c r="BL17" s="42">
        <v>58.677000000000135</v>
      </c>
      <c r="BM17" s="38">
        <v>1580.9849999999999</v>
      </c>
      <c r="BN17" s="39">
        <v>1924.357</v>
      </c>
      <c r="BO17" s="42">
        <v>343.37200000000007</v>
      </c>
      <c r="BP17" s="38">
        <v>1439.2370000000001</v>
      </c>
      <c r="BQ17" s="39">
        <v>1883.223</v>
      </c>
      <c r="BR17" s="42">
        <v>443.98599999999988</v>
      </c>
      <c r="BS17" s="38">
        <v>1845.7170000000001</v>
      </c>
      <c r="BT17" s="39">
        <v>2331.3940000000002</v>
      </c>
      <c r="BU17" s="42">
        <v>485.67700000000013</v>
      </c>
      <c r="BV17" s="38">
        <v>1909.432</v>
      </c>
      <c r="BW17" s="39">
        <v>3337.3530000000001</v>
      </c>
      <c r="BX17" s="42">
        <v>1427.921</v>
      </c>
      <c r="BY17" s="38">
        <v>3099.1779999999999</v>
      </c>
      <c r="BZ17" s="39">
        <v>3695.9590000000003</v>
      </c>
      <c r="CA17" s="42">
        <v>596.7810000000004</v>
      </c>
      <c r="CB17" s="38">
        <v>3504.4209999999998</v>
      </c>
      <c r="CC17" s="39">
        <v>4765.5889999999999</v>
      </c>
      <c r="CD17" s="42">
        <v>1261.1680000000001</v>
      </c>
      <c r="CE17" s="38">
        <v>3744.7159999999994</v>
      </c>
      <c r="CF17" s="39">
        <v>4781.67</v>
      </c>
      <c r="CG17" s="42">
        <v>1036.9540000000006</v>
      </c>
      <c r="CH17" s="38">
        <v>3560.741</v>
      </c>
      <c r="CI17" s="39">
        <v>3733.5009999999997</v>
      </c>
      <c r="CJ17" s="42">
        <v>172.76</v>
      </c>
      <c r="CK17" s="38">
        <v>4568.3689999999997</v>
      </c>
      <c r="CL17" s="39">
        <v>5124.0940000000001</v>
      </c>
      <c r="CM17" s="42">
        <v>555.72500000000002</v>
      </c>
      <c r="CN17" s="38">
        <v>5659.9859999999999</v>
      </c>
      <c r="CO17" s="39">
        <v>7734.4360000000006</v>
      </c>
      <c r="CP17" s="42">
        <v>2074.4499999999998</v>
      </c>
      <c r="CQ17" s="38">
        <v>7661.8130000000001</v>
      </c>
      <c r="CR17" s="39">
        <v>7618.7860000000001</v>
      </c>
      <c r="CS17" s="42">
        <v>-43.027000000000044</v>
      </c>
      <c r="CT17" s="38">
        <v>28316.372891593346</v>
      </c>
      <c r="CU17" s="39">
        <v>23244.81680990223</v>
      </c>
      <c r="CV17" s="42">
        <v>-5071.5560816911166</v>
      </c>
      <c r="CW17" s="38">
        <v>36466.292233749511</v>
      </c>
      <c r="CX17" s="39">
        <v>28064.135160031277</v>
      </c>
      <c r="CY17" s="42">
        <v>-8402.1570737182337</v>
      </c>
      <c r="CZ17" s="38">
        <v>42154.591625953108</v>
      </c>
      <c r="DA17" s="39">
        <v>31045.915030329517</v>
      </c>
      <c r="DB17" s="42">
        <v>-11108.67659562359</v>
      </c>
      <c r="DC17" s="38">
        <v>49435.229218622728</v>
      </c>
      <c r="DD17" s="39">
        <v>43514.549996047426</v>
      </c>
      <c r="DE17" s="42">
        <v>-5920.6792225753015</v>
      </c>
      <c r="DF17" s="38">
        <v>63365.759420234506</v>
      </c>
      <c r="DG17" s="39">
        <v>59438.441287375113</v>
      </c>
      <c r="DH17" s="42">
        <v>-3927.3181328593928</v>
      </c>
      <c r="DI17" s="38">
        <v>76327.37555174224</v>
      </c>
      <c r="DJ17" s="39">
        <v>78821.577131187718</v>
      </c>
      <c r="DK17" s="42">
        <v>2494.2015794454783</v>
      </c>
      <c r="DL17" s="38">
        <v>82669.673418529623</v>
      </c>
      <c r="DM17" s="39">
        <v>93050.677836168965</v>
      </c>
      <c r="DN17" s="42">
        <v>10381.004417639342</v>
      </c>
      <c r="DO17" s="38">
        <v>107316.13681674819</v>
      </c>
      <c r="DP17" s="39">
        <v>116598.73189801892</v>
      </c>
      <c r="DQ17" s="42">
        <v>9282.5950812707306</v>
      </c>
      <c r="DR17" s="38">
        <v>140898.11867867142</v>
      </c>
      <c r="DS17" s="39">
        <v>136682.12607201166</v>
      </c>
      <c r="DT17" s="42">
        <v>-4215.9926066597691</v>
      </c>
      <c r="DU17" s="38">
        <v>167763.65495333064</v>
      </c>
      <c r="DV17" s="39">
        <v>167520.36336833378</v>
      </c>
      <c r="DW17" s="42">
        <v>-243.29158499685582</v>
      </c>
      <c r="DX17" s="38">
        <v>201457.8897023641</v>
      </c>
      <c r="DY17" s="39">
        <v>201137.47557985561</v>
      </c>
      <c r="DZ17" s="42">
        <v>-320.41412250848953</v>
      </c>
      <c r="EA17" s="38">
        <v>226153.17765416339</v>
      </c>
      <c r="EB17" s="39">
        <v>222508.44007356581</v>
      </c>
      <c r="EC17" s="42">
        <v>-3644.7375805975753</v>
      </c>
      <c r="ED17" s="38">
        <v>240882.70244654233</v>
      </c>
      <c r="EE17" s="39">
        <v>216950.1078510395</v>
      </c>
      <c r="EF17" s="42">
        <v>-23932.594595502829</v>
      </c>
      <c r="EG17" s="38">
        <v>268944</v>
      </c>
      <c r="EH17" s="39">
        <v>237919</v>
      </c>
      <c r="EI17" s="42">
        <v>-31025</v>
      </c>
      <c r="EJ17" s="38">
        <v>273041</v>
      </c>
      <c r="EK17" s="39">
        <v>233251</v>
      </c>
      <c r="EL17" s="42">
        <v>-39790</v>
      </c>
      <c r="EM17" s="38">
        <v>301338</v>
      </c>
      <c r="EN17" s="39">
        <v>254482</v>
      </c>
      <c r="EO17" s="42">
        <v>-46856</v>
      </c>
      <c r="EP17" s="364">
        <v>301338</v>
      </c>
      <c r="EQ17" s="365">
        <v>254482</v>
      </c>
      <c r="ER17" s="366">
        <v>-46856</v>
      </c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</row>
    <row r="18" spans="1:199">
      <c r="A18" s="327" t="s">
        <v>662</v>
      </c>
      <c r="B18" s="38">
        <v>135.68002904448102</v>
      </c>
      <c r="C18" s="39">
        <v>99.676895705893273</v>
      </c>
      <c r="D18" s="42">
        <v>-36.003133338587745</v>
      </c>
      <c r="E18" s="38">
        <v>346.08239292505306</v>
      </c>
      <c r="F18" s="39">
        <v>238.35779407931</v>
      </c>
      <c r="G18" s="42">
        <v>-107.72459884574306</v>
      </c>
      <c r="H18" s="361">
        <v>314.62035720459369</v>
      </c>
      <c r="I18" s="361">
        <v>196.10345785615959</v>
      </c>
      <c r="J18" s="42">
        <v>-118.51689934843409</v>
      </c>
      <c r="K18" s="360">
        <v>686.26565415252003</v>
      </c>
      <c r="L18" s="361">
        <v>385.70624860106523</v>
      </c>
      <c r="M18" s="42">
        <v>-300.5594055514548</v>
      </c>
      <c r="N18" s="361">
        <v>719.694067105508</v>
      </c>
      <c r="O18" s="361">
        <v>544.97259282678601</v>
      </c>
      <c r="P18" s="42">
        <v>-174.72147427872198</v>
      </c>
      <c r="Q18" s="360">
        <v>786.55089301148428</v>
      </c>
      <c r="R18" s="361">
        <v>504.88514564072028</v>
      </c>
      <c r="S18" s="42">
        <v>-281.665747370764</v>
      </c>
      <c r="T18" s="360">
        <v>987.12137072941277</v>
      </c>
      <c r="U18" s="361">
        <v>560.14081608637844</v>
      </c>
      <c r="V18" s="42">
        <v>-426.98055464303434</v>
      </c>
      <c r="W18" s="361">
        <v>1048.0790649378027</v>
      </c>
      <c r="X18" s="361">
        <v>607.81237490224055</v>
      </c>
      <c r="Y18" s="42">
        <v>-440.26669003556219</v>
      </c>
      <c r="Z18" s="38">
        <v>880.93700017286233</v>
      </c>
      <c r="AA18" s="39">
        <v>900.34239490866639</v>
      </c>
      <c r="AB18" s="42">
        <v>19.405394735804066</v>
      </c>
      <c r="AC18" s="38">
        <v>910.43265866079287</v>
      </c>
      <c r="AD18" s="39">
        <v>1035.7729597264563</v>
      </c>
      <c r="AE18" s="42">
        <v>125.34030106566343</v>
      </c>
      <c r="AF18" s="38">
        <v>1065.7764600305611</v>
      </c>
      <c r="AG18" s="39">
        <v>1470.2342116619257</v>
      </c>
      <c r="AH18" s="42">
        <v>404.45775163136454</v>
      </c>
      <c r="AI18" s="38">
        <v>924.19729928849392</v>
      </c>
      <c r="AJ18" s="39">
        <v>923.09472979805514</v>
      </c>
      <c r="AK18" s="42">
        <v>-1.1025694904387819</v>
      </c>
      <c r="AL18" s="38">
        <v>1284.044332841248</v>
      </c>
      <c r="AM18" s="39">
        <v>1203.7068601005155</v>
      </c>
      <c r="AN18" s="42">
        <v>-80.337472740732437</v>
      </c>
      <c r="AO18" s="38">
        <v>2991.3899598541125</v>
      </c>
      <c r="AP18" s="39">
        <v>1230.2807086674234</v>
      </c>
      <c r="AQ18" s="42">
        <v>-1761.1092511866891</v>
      </c>
      <c r="AR18" s="38">
        <v>2838.8357046952556</v>
      </c>
      <c r="AS18" s="39">
        <v>2039.4901996456138</v>
      </c>
      <c r="AT18" s="42">
        <v>-799.34550504964182</v>
      </c>
      <c r="AU18" s="38">
        <v>2816.7263923533924</v>
      </c>
      <c r="AV18" s="39">
        <v>1633.7092775707943</v>
      </c>
      <c r="AW18" s="42">
        <v>-1183.0171147825981</v>
      </c>
      <c r="AX18" s="38">
        <v>3725.0190000000002</v>
      </c>
      <c r="AY18" s="39">
        <v>2167.9699999999998</v>
      </c>
      <c r="AZ18" s="42">
        <v>-1557.0490000000004</v>
      </c>
      <c r="BA18" s="38">
        <v>4065.9119999999998</v>
      </c>
      <c r="BB18" s="39">
        <v>2361.895</v>
      </c>
      <c r="BC18" s="42">
        <v>-1704.0169999999998</v>
      </c>
      <c r="BD18" s="38">
        <v>3406.2150000000001</v>
      </c>
      <c r="BE18" s="39">
        <v>2102.5949999999998</v>
      </c>
      <c r="BF18" s="42">
        <v>-1303.6199999999999</v>
      </c>
      <c r="BG18" s="38">
        <v>4549.9610000000002</v>
      </c>
      <c r="BH18" s="39">
        <v>2847.4670000000001</v>
      </c>
      <c r="BI18" s="42">
        <v>-1702.4940000000001</v>
      </c>
      <c r="BJ18" s="38">
        <v>5496.7179999999998</v>
      </c>
      <c r="BK18" s="39">
        <v>2754.3010000000004</v>
      </c>
      <c r="BL18" s="42">
        <v>-2742.4169999999995</v>
      </c>
      <c r="BM18" s="38">
        <v>4401.2640000000001</v>
      </c>
      <c r="BN18" s="39">
        <v>3590.4759999999997</v>
      </c>
      <c r="BO18" s="42">
        <v>-810.78800000000047</v>
      </c>
      <c r="BP18" s="38">
        <v>5916.2069999999994</v>
      </c>
      <c r="BQ18" s="39">
        <v>3761.3980000000001</v>
      </c>
      <c r="BR18" s="42">
        <v>-2154.8089999999993</v>
      </c>
      <c r="BS18" s="38">
        <v>6743.7680000000009</v>
      </c>
      <c r="BT18" s="39">
        <v>4379.3379999999997</v>
      </c>
      <c r="BU18" s="42">
        <v>-2364.4299999999998</v>
      </c>
      <c r="BV18" s="38">
        <v>7104.3879999999999</v>
      </c>
      <c r="BW18" s="39">
        <v>4648.2780000000002</v>
      </c>
      <c r="BX18" s="42">
        <v>-2456.11</v>
      </c>
      <c r="BY18" s="38">
        <v>9530.9530000000013</v>
      </c>
      <c r="BZ18" s="39">
        <v>4825.1419999999998</v>
      </c>
      <c r="CA18" s="42">
        <v>-4705.8110000000015</v>
      </c>
      <c r="CB18" s="38">
        <v>11251.582</v>
      </c>
      <c r="CC18" s="39">
        <v>6040.491</v>
      </c>
      <c r="CD18" s="42">
        <v>-5211.0910000000003</v>
      </c>
      <c r="CE18" s="38">
        <v>9491</v>
      </c>
      <c r="CF18" s="39">
        <v>5107</v>
      </c>
      <c r="CG18" s="42">
        <v>-4384</v>
      </c>
      <c r="CH18" s="38">
        <v>2616</v>
      </c>
      <c r="CI18" s="39">
        <v>4095</v>
      </c>
      <c r="CJ18" s="42">
        <v>1479</v>
      </c>
      <c r="CK18" s="38">
        <v>3441</v>
      </c>
      <c r="CL18" s="39">
        <v>2001</v>
      </c>
      <c r="CM18" s="42">
        <v>-1440</v>
      </c>
      <c r="CN18" s="38">
        <v>3726</v>
      </c>
      <c r="CO18" s="39">
        <v>2355</v>
      </c>
      <c r="CP18" s="42">
        <v>-1371</v>
      </c>
      <c r="CQ18" s="38">
        <v>5630</v>
      </c>
      <c r="CR18" s="39">
        <v>5678</v>
      </c>
      <c r="CS18" s="42">
        <v>48</v>
      </c>
      <c r="CT18" s="38">
        <v>8252.9760000000006</v>
      </c>
      <c r="CU18" s="39">
        <v>5718.5330000000004</v>
      </c>
      <c r="CV18" s="42">
        <v>-2534.4430000000002</v>
      </c>
      <c r="CW18" s="38">
        <v>16399.985000000001</v>
      </c>
      <c r="CX18" s="39">
        <v>7578.6750000000002</v>
      </c>
      <c r="CY18" s="42">
        <v>-8821.31</v>
      </c>
      <c r="CZ18" s="38">
        <v>7897.8249999999998</v>
      </c>
      <c r="DA18" s="39">
        <v>2820.98</v>
      </c>
      <c r="DB18" s="42">
        <v>-5076.8449999999993</v>
      </c>
      <c r="DC18" s="38">
        <v>8759.5859999999993</v>
      </c>
      <c r="DD18" s="39">
        <v>4622.4219999999996</v>
      </c>
      <c r="DE18" s="42">
        <v>-4137.1639999999998</v>
      </c>
      <c r="DF18" s="38">
        <v>10430.412</v>
      </c>
      <c r="DG18" s="39">
        <v>4809.7560000000003</v>
      </c>
      <c r="DH18" s="42">
        <v>-5620.6559999999999</v>
      </c>
      <c r="DI18" s="38">
        <v>13693.566999999999</v>
      </c>
      <c r="DJ18" s="39">
        <v>6076.2389999999996</v>
      </c>
      <c r="DK18" s="42">
        <v>-7617.3279999999995</v>
      </c>
      <c r="DL18" s="38">
        <v>15413.737999999999</v>
      </c>
      <c r="DM18" s="39">
        <v>7086.9560000000001</v>
      </c>
      <c r="DN18" s="42">
        <v>-8326.7819999999992</v>
      </c>
      <c r="DO18" s="38">
        <v>23704.826000000001</v>
      </c>
      <c r="DP18" s="39">
        <v>6007.9040000000005</v>
      </c>
      <c r="DQ18" s="42">
        <v>-17696.921999999999</v>
      </c>
      <c r="DR18" s="38">
        <v>24942.415000000001</v>
      </c>
      <c r="DS18" s="39">
        <v>6257.0990000000002</v>
      </c>
      <c r="DT18" s="42">
        <v>-18685.315999999999</v>
      </c>
      <c r="DU18" s="38">
        <v>26961.367999999999</v>
      </c>
      <c r="DV18" s="39">
        <v>6109</v>
      </c>
      <c r="DW18" s="42">
        <v>-20852.367999999999</v>
      </c>
      <c r="DX18" s="38">
        <v>29279.482</v>
      </c>
      <c r="DY18" s="39">
        <v>5809.6970000000001</v>
      </c>
      <c r="DZ18" s="42">
        <v>-23469.785</v>
      </c>
      <c r="EA18" s="38">
        <v>32442.393</v>
      </c>
      <c r="EB18" s="39">
        <v>6002.3360000000002</v>
      </c>
      <c r="EC18" s="42">
        <v>-26440.057000000001</v>
      </c>
      <c r="ED18" s="38">
        <v>31677.922999999999</v>
      </c>
      <c r="EE18" s="39">
        <v>6333.59</v>
      </c>
      <c r="EF18" s="42">
        <v>-25344.332999999999</v>
      </c>
      <c r="EG18" s="38">
        <v>35708</v>
      </c>
      <c r="EH18" s="39">
        <v>8128</v>
      </c>
      <c r="EI18" s="42">
        <v>-27580</v>
      </c>
      <c r="EJ18" s="38">
        <v>38231</v>
      </c>
      <c r="EK18" s="39">
        <v>8894</v>
      </c>
      <c r="EL18" s="42">
        <v>-29337</v>
      </c>
      <c r="EM18" s="38">
        <v>41170</v>
      </c>
      <c r="EN18" s="39">
        <v>11282</v>
      </c>
      <c r="EO18" s="42">
        <v>-29888</v>
      </c>
      <c r="EP18" s="364">
        <v>41170</v>
      </c>
      <c r="EQ18" s="365">
        <v>11282</v>
      </c>
      <c r="ER18" s="366">
        <v>-29888</v>
      </c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</row>
    <row r="19" spans="1:199">
      <c r="A19" s="327" t="s">
        <v>663</v>
      </c>
      <c r="B19" s="38">
        <v>182.88614527094742</v>
      </c>
      <c r="C19" s="39">
        <v>510.26673357020593</v>
      </c>
      <c r="D19" s="42">
        <v>327.38058829925853</v>
      </c>
      <c r="E19" s="38">
        <v>100.76755895198184</v>
      </c>
      <c r="F19" s="39">
        <v>356.50740636353595</v>
      </c>
      <c r="G19" s="42">
        <v>255.73984741155411</v>
      </c>
      <c r="H19" s="361">
        <v>124.24323541089258</v>
      </c>
      <c r="I19" s="361">
        <v>395.03563887181821</v>
      </c>
      <c r="J19" s="42">
        <v>270.79240346092564</v>
      </c>
      <c r="K19" s="360">
        <v>146.06180724000944</v>
      </c>
      <c r="L19" s="361">
        <v>580.07562120644911</v>
      </c>
      <c r="M19" s="42">
        <v>434.01381396643967</v>
      </c>
      <c r="N19" s="361">
        <v>160.74390100241678</v>
      </c>
      <c r="O19" s="361">
        <v>345.46920636753902</v>
      </c>
      <c r="P19" s="42">
        <v>184.72530536512224</v>
      </c>
      <c r="Q19" s="360">
        <v>211.10808852723147</v>
      </c>
      <c r="R19" s="361">
        <v>478.32932438821706</v>
      </c>
      <c r="S19" s="42">
        <v>267.22123586098559</v>
      </c>
      <c r="T19" s="360">
        <v>201.20065110167548</v>
      </c>
      <c r="U19" s="361">
        <v>504.79240495430946</v>
      </c>
      <c r="V19" s="42">
        <v>303.59175385263399</v>
      </c>
      <c r="W19" s="361">
        <v>227.09152796253591</v>
      </c>
      <c r="X19" s="361">
        <v>475.0938862270167</v>
      </c>
      <c r="Y19" s="42">
        <v>248.00235826448079</v>
      </c>
      <c r="Z19" s="38">
        <v>258.68105915049921</v>
      </c>
      <c r="AA19" s="39">
        <v>528.89843040044718</v>
      </c>
      <c r="AB19" s="42">
        <v>270.21737124994797</v>
      </c>
      <c r="AC19" s="38">
        <v>252.04761247027039</v>
      </c>
      <c r="AD19" s="39">
        <v>608.64127492518344</v>
      </c>
      <c r="AE19" s="42">
        <v>356.59366245491304</v>
      </c>
      <c r="AF19" s="38">
        <v>253.51145995439862</v>
      </c>
      <c r="AG19" s="39">
        <v>587.1843201605376</v>
      </c>
      <c r="AH19" s="42">
        <v>333.67286020613898</v>
      </c>
      <c r="AI19" s="38">
        <v>254.15200401949696</v>
      </c>
      <c r="AJ19" s="39">
        <v>508.38322828060285</v>
      </c>
      <c r="AK19" s="42">
        <v>254.23122426110589</v>
      </c>
      <c r="AL19" s="38">
        <v>283.02395452070533</v>
      </c>
      <c r="AM19" s="39">
        <v>617.36240213585654</v>
      </c>
      <c r="AN19" s="42">
        <v>334.33844761515121</v>
      </c>
      <c r="AO19" s="38">
        <v>610.05503930624377</v>
      </c>
      <c r="AP19" s="39">
        <v>642.43769161442822</v>
      </c>
      <c r="AQ19" s="42">
        <v>32.382652308184447</v>
      </c>
      <c r="AR19" s="38">
        <v>705.81276457443983</v>
      </c>
      <c r="AS19" s="39">
        <v>861.3814122938993</v>
      </c>
      <c r="AT19" s="42">
        <v>155.56864771945948</v>
      </c>
      <c r="AU19" s="38">
        <v>756.0385218596856</v>
      </c>
      <c r="AV19" s="39">
        <v>897.22940119736222</v>
      </c>
      <c r="AW19" s="42">
        <v>141.19087933767662</v>
      </c>
      <c r="AX19" s="38">
        <v>1087.6189999999999</v>
      </c>
      <c r="AY19" s="39">
        <v>1505.127</v>
      </c>
      <c r="AZ19" s="42">
        <v>417.50800000000004</v>
      </c>
      <c r="BA19" s="38">
        <v>1187.758</v>
      </c>
      <c r="BB19" s="39">
        <v>1768.0119999999999</v>
      </c>
      <c r="BC19" s="42">
        <v>580.25400000000002</v>
      </c>
      <c r="BD19" s="38">
        <v>1463.643</v>
      </c>
      <c r="BE19" s="39">
        <v>1888.1189999999999</v>
      </c>
      <c r="BF19" s="42">
        <v>424.476</v>
      </c>
      <c r="BG19" s="38">
        <v>1544.7850000000001</v>
      </c>
      <c r="BH19" s="39">
        <v>2635.67</v>
      </c>
      <c r="BI19" s="42">
        <v>1090.885</v>
      </c>
      <c r="BJ19" s="38">
        <v>1787.5309999999999</v>
      </c>
      <c r="BK19" s="39">
        <v>2742.3470000000002</v>
      </c>
      <c r="BL19" s="42">
        <v>954.81600000000003</v>
      </c>
      <c r="BM19" s="38">
        <v>2254.0549999999998</v>
      </c>
      <c r="BN19" s="39">
        <v>2971.3793000000001</v>
      </c>
      <c r="BO19" s="42">
        <v>717.32429999999999</v>
      </c>
      <c r="BP19" s="38">
        <v>2862.1959999999999</v>
      </c>
      <c r="BQ19" s="39">
        <v>2807.598</v>
      </c>
      <c r="BR19" s="42">
        <v>-54.598000000000027</v>
      </c>
      <c r="BS19" s="38">
        <v>3250.2629999999999</v>
      </c>
      <c r="BT19" s="39">
        <v>2397.5479999999998</v>
      </c>
      <c r="BU19" s="42">
        <v>-852.71500000000003</v>
      </c>
      <c r="BV19" s="38">
        <v>4087.8290000000002</v>
      </c>
      <c r="BW19" s="39">
        <v>2918.0279999999998</v>
      </c>
      <c r="BX19" s="42">
        <v>-1169.8010000000002</v>
      </c>
      <c r="BY19" s="38">
        <v>5775.0460000000003</v>
      </c>
      <c r="BZ19" s="39">
        <v>4360.8159999999998</v>
      </c>
      <c r="CA19" s="42">
        <v>-1414.23</v>
      </c>
      <c r="CB19" s="38">
        <v>8138.0439999999999</v>
      </c>
      <c r="CC19" s="39">
        <v>6754.616</v>
      </c>
      <c r="CD19" s="42">
        <v>-1383.4280000000001</v>
      </c>
      <c r="CE19" s="38">
        <v>8950.0079999999998</v>
      </c>
      <c r="CF19" s="39">
        <v>4731.53</v>
      </c>
      <c r="CG19" s="42">
        <v>-4218.4780000000001</v>
      </c>
      <c r="CH19" s="38">
        <v>12131.1</v>
      </c>
      <c r="CI19" s="39">
        <v>3363.5</v>
      </c>
      <c r="CJ19" s="42">
        <v>-8767.6</v>
      </c>
      <c r="CK19" s="38">
        <v>16178.496999999999</v>
      </c>
      <c r="CL19" s="39">
        <v>4344.2030000000004</v>
      </c>
      <c r="CM19" s="42">
        <v>-11834.294</v>
      </c>
      <c r="CN19" s="38">
        <v>24294.023000000001</v>
      </c>
      <c r="CO19" s="39">
        <v>6263.9639999999999</v>
      </c>
      <c r="CP19" s="42">
        <v>-18030.059000000001</v>
      </c>
      <c r="CQ19" s="38">
        <v>34161.595999999998</v>
      </c>
      <c r="CR19" s="39">
        <v>10307.163</v>
      </c>
      <c r="CS19" s="42">
        <v>-23854.433000000001</v>
      </c>
      <c r="CT19" s="38">
        <v>48106.838000000003</v>
      </c>
      <c r="CU19" s="39">
        <v>12665.731</v>
      </c>
      <c r="CV19" s="42">
        <v>-35441.107000000004</v>
      </c>
      <c r="CW19" s="38">
        <v>84941.088000000003</v>
      </c>
      <c r="CX19" s="39">
        <v>15193</v>
      </c>
      <c r="CY19" s="42">
        <v>-69748.088000000003</v>
      </c>
      <c r="CZ19" s="38">
        <v>136106.97099999999</v>
      </c>
      <c r="DA19" s="39">
        <v>15769.008</v>
      </c>
      <c r="DB19" s="42">
        <v>-120337.963</v>
      </c>
      <c r="DC19" s="38">
        <v>171172.166</v>
      </c>
      <c r="DD19" s="39">
        <v>22795.268</v>
      </c>
      <c r="DE19" s="42">
        <v>-148376.89799999999</v>
      </c>
      <c r="DF19" s="38">
        <v>240235.302</v>
      </c>
      <c r="DG19" s="39">
        <v>30906.031999999999</v>
      </c>
      <c r="DH19" s="42">
        <v>-209329.27</v>
      </c>
      <c r="DI19" s="38">
        <v>275556.679</v>
      </c>
      <c r="DJ19" s="39">
        <v>46471.595000000001</v>
      </c>
      <c r="DK19" s="42">
        <v>-229085.084</v>
      </c>
      <c r="DL19" s="38">
        <v>241635.927</v>
      </c>
      <c r="DM19" s="39">
        <v>49650.451000000001</v>
      </c>
      <c r="DN19" s="42">
        <v>-191985.476</v>
      </c>
      <c r="DO19" s="38">
        <v>215018.679</v>
      </c>
      <c r="DP19" s="39">
        <v>62376.091999999997</v>
      </c>
      <c r="DQ19" s="42">
        <v>-152642.587</v>
      </c>
      <c r="DR19" s="38">
        <v>234080.25</v>
      </c>
      <c r="DS19" s="39">
        <v>87648.59</v>
      </c>
      <c r="DT19" s="42">
        <v>-146431.66</v>
      </c>
      <c r="DU19" s="38">
        <v>263098.533</v>
      </c>
      <c r="DV19" s="39">
        <v>146552.32800000001</v>
      </c>
      <c r="DW19" s="42">
        <v>-116546.205</v>
      </c>
      <c r="DX19" s="38">
        <v>312183.20899999997</v>
      </c>
      <c r="DY19" s="39">
        <v>236417.65100000001</v>
      </c>
      <c r="DZ19" s="42">
        <v>-75765.558000000005</v>
      </c>
      <c r="EA19" s="38">
        <v>349049.10800000001</v>
      </c>
      <c r="EB19" s="39">
        <v>275635.99200000003</v>
      </c>
      <c r="EC19" s="42">
        <v>-73413.115999999995</v>
      </c>
      <c r="ED19" s="38">
        <v>398321.05958823528</v>
      </c>
      <c r="EE19" s="39">
        <v>379347.86811111111</v>
      </c>
      <c r="EF19" s="42">
        <v>-18973.191477124186</v>
      </c>
      <c r="EG19" s="38">
        <v>422808</v>
      </c>
      <c r="EH19" s="39">
        <v>399989</v>
      </c>
      <c r="EI19" s="42">
        <v>-22819</v>
      </c>
      <c r="EJ19" s="38">
        <v>494714</v>
      </c>
      <c r="EK19" s="39">
        <v>416470</v>
      </c>
      <c r="EL19" s="42">
        <v>-78244</v>
      </c>
      <c r="EM19" s="38">
        <v>650437</v>
      </c>
      <c r="EN19" s="39">
        <v>620515</v>
      </c>
      <c r="EO19" s="42">
        <v>-29922</v>
      </c>
      <c r="EP19" s="364">
        <v>650437</v>
      </c>
      <c r="EQ19" s="365">
        <v>620515</v>
      </c>
      <c r="ER19" s="366">
        <v>-29922</v>
      </c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</row>
    <row r="20" spans="1:199">
      <c r="A20" s="327" t="s">
        <v>664</v>
      </c>
      <c r="B20" s="38">
        <v>7.300079216004546</v>
      </c>
      <c r="C20" s="39">
        <v>14.466479954209564</v>
      </c>
      <c r="D20" s="42">
        <v>7.1664007382050183</v>
      </c>
      <c r="E20" s="38">
        <v>18.620491913286958</v>
      </c>
      <c r="F20" s="39">
        <v>34.593756412240261</v>
      </c>
      <c r="G20" s="42">
        <v>15.973264498953302</v>
      </c>
      <c r="H20" s="361">
        <v>16.927719921169963</v>
      </c>
      <c r="I20" s="361">
        <v>28.461226866434032</v>
      </c>
      <c r="J20" s="42">
        <v>11.533506945264069</v>
      </c>
      <c r="K20" s="360">
        <v>36.923589078051982</v>
      </c>
      <c r="L20" s="361">
        <v>55.978987648897878</v>
      </c>
      <c r="M20" s="42">
        <v>19.055398570845895</v>
      </c>
      <c r="N20" s="361">
        <v>38.722159319676287</v>
      </c>
      <c r="O20" s="361">
        <v>79.093906706167502</v>
      </c>
      <c r="P20" s="42">
        <v>40.371747386491215</v>
      </c>
      <c r="Q20" s="360">
        <v>42.31929980292491</v>
      </c>
      <c r="R20" s="361">
        <v>73.275865855018012</v>
      </c>
      <c r="S20" s="42">
        <v>30.956566052093102</v>
      </c>
      <c r="T20" s="360">
        <v>53.110721252670764</v>
      </c>
      <c r="U20" s="361">
        <v>81.29532756876462</v>
      </c>
      <c r="V20" s="42">
        <v>28.184606316093856</v>
      </c>
      <c r="W20" s="361">
        <v>56.390466987397438</v>
      </c>
      <c r="X20" s="361">
        <v>88.214078851212676</v>
      </c>
      <c r="Y20" s="42">
        <v>31.823611863815238</v>
      </c>
      <c r="Z20" s="38">
        <v>47.397615779275895</v>
      </c>
      <c r="AA20" s="39">
        <v>130.67005262987118</v>
      </c>
      <c r="AB20" s="42">
        <v>83.272436850595284</v>
      </c>
      <c r="AC20" s="38">
        <v>48.984589521885574</v>
      </c>
      <c r="AD20" s="39">
        <v>150.32559604591677</v>
      </c>
      <c r="AE20" s="42">
        <v>101.3410065240312</v>
      </c>
      <c r="AF20" s="38">
        <v>57.342651232963249</v>
      </c>
      <c r="AG20" s="39">
        <v>213.38057932459105</v>
      </c>
      <c r="AH20" s="42">
        <v>156.0379280916278</v>
      </c>
      <c r="AI20" s="38">
        <v>49.725177268436767</v>
      </c>
      <c r="AJ20" s="39">
        <v>133.97218392376683</v>
      </c>
      <c r="AK20" s="42">
        <v>84.247006655330068</v>
      </c>
      <c r="AL20" s="38">
        <v>69.086256928274906</v>
      </c>
      <c r="AM20" s="39">
        <v>174.69846988181334</v>
      </c>
      <c r="AN20" s="42">
        <v>105.61221295353843</v>
      </c>
      <c r="AO20" s="38">
        <v>160.93369415061807</v>
      </c>
      <c r="AP20" s="39">
        <v>178.5501539249025</v>
      </c>
      <c r="AQ20" s="42">
        <v>17.616459774284436</v>
      </c>
      <c r="AR20" s="38">
        <v>152.72643258639587</v>
      </c>
      <c r="AS20" s="39">
        <v>295.99040813172178</v>
      </c>
      <c r="AT20" s="42">
        <v>143.26397554532591</v>
      </c>
      <c r="AU20" s="38">
        <v>151.53697438868252</v>
      </c>
      <c r="AV20" s="39">
        <v>237.09958298440685</v>
      </c>
      <c r="AW20" s="42">
        <v>85.562608595724328</v>
      </c>
      <c r="AX20" s="38">
        <v>230.02199999999999</v>
      </c>
      <c r="AY20" s="39">
        <v>198.44900000000001</v>
      </c>
      <c r="AZ20" s="42">
        <v>-31.572999999999979</v>
      </c>
      <c r="BA20" s="38">
        <v>178.61599999999999</v>
      </c>
      <c r="BB20" s="39">
        <v>234.42400000000001</v>
      </c>
      <c r="BC20" s="42">
        <v>55.808000000000021</v>
      </c>
      <c r="BD20" s="38">
        <v>322.76400000000001</v>
      </c>
      <c r="BE20" s="39">
        <v>427.15899999999999</v>
      </c>
      <c r="BF20" s="42">
        <v>104.395</v>
      </c>
      <c r="BG20" s="38">
        <v>213.93400000000003</v>
      </c>
      <c r="BH20" s="39">
        <v>736.09199999999998</v>
      </c>
      <c r="BI20" s="42">
        <v>522.1579999999999</v>
      </c>
      <c r="BJ20" s="38">
        <v>220.244</v>
      </c>
      <c r="BK20" s="39">
        <v>682.51600000000008</v>
      </c>
      <c r="BL20" s="42">
        <v>462.27200000000005</v>
      </c>
      <c r="BM20" s="38">
        <v>242.529</v>
      </c>
      <c r="BN20" s="39">
        <v>382.22899999999998</v>
      </c>
      <c r="BO20" s="42">
        <v>139.69999999999999</v>
      </c>
      <c r="BP20" s="38">
        <v>329.43600000000004</v>
      </c>
      <c r="BQ20" s="39">
        <v>400.63</v>
      </c>
      <c r="BR20" s="42">
        <v>71.19399999999996</v>
      </c>
      <c r="BS20" s="38">
        <v>257.59800000000001</v>
      </c>
      <c r="BT20" s="39">
        <v>529.68299999999999</v>
      </c>
      <c r="BU20" s="42">
        <v>272.08499999999998</v>
      </c>
      <c r="BV20" s="38">
        <v>306.09700000000004</v>
      </c>
      <c r="BW20" s="39">
        <v>632.23699999999997</v>
      </c>
      <c r="BX20" s="42">
        <v>326.14</v>
      </c>
      <c r="BY20" s="38">
        <v>448.24099999999999</v>
      </c>
      <c r="BZ20" s="39">
        <v>675.37</v>
      </c>
      <c r="CA20" s="42">
        <v>227.12900000000002</v>
      </c>
      <c r="CB20" s="38">
        <v>703.57300000000009</v>
      </c>
      <c r="CC20" s="39">
        <v>725.96900000000005</v>
      </c>
      <c r="CD20" s="42">
        <v>22.395999999999958</v>
      </c>
      <c r="CE20" s="38">
        <v>578.83900000000006</v>
      </c>
      <c r="CF20" s="39">
        <v>615.93299999999999</v>
      </c>
      <c r="CG20" s="42">
        <v>37.093999999999937</v>
      </c>
      <c r="CH20" s="38">
        <v>667</v>
      </c>
      <c r="CI20" s="39">
        <v>510.1</v>
      </c>
      <c r="CJ20" s="42">
        <v>-156.9</v>
      </c>
      <c r="CK20" s="38">
        <v>1022.383</v>
      </c>
      <c r="CL20" s="39">
        <v>926.67900000000009</v>
      </c>
      <c r="CM20" s="42">
        <v>-95.703999999999951</v>
      </c>
      <c r="CN20" s="38">
        <v>802.62599999999998</v>
      </c>
      <c r="CO20" s="39">
        <v>1041.9949999999999</v>
      </c>
      <c r="CP20" s="42">
        <v>239.36899999999991</v>
      </c>
      <c r="CQ20" s="38">
        <v>787.15599999999995</v>
      </c>
      <c r="CR20" s="39">
        <v>1575.413</v>
      </c>
      <c r="CS20" s="42">
        <v>788.25700000000006</v>
      </c>
      <c r="CT20" s="38">
        <v>1629.58</v>
      </c>
      <c r="CU20" s="39">
        <v>2041.2660000000001</v>
      </c>
      <c r="CV20" s="42">
        <v>411.68600000000015</v>
      </c>
      <c r="CW20" s="38">
        <v>1120.816</v>
      </c>
      <c r="CX20" s="39">
        <v>2827.0520000000001</v>
      </c>
      <c r="CY20" s="42">
        <v>1706.2360000000001</v>
      </c>
      <c r="CZ20" s="38">
        <v>1424.605</v>
      </c>
      <c r="DA20" s="39">
        <v>2835.5340000000001</v>
      </c>
      <c r="DB20" s="42">
        <v>1410.9290000000001</v>
      </c>
      <c r="DC20" s="38">
        <v>1980.2650000000001</v>
      </c>
      <c r="DD20" s="39">
        <v>4226.1620000000003</v>
      </c>
      <c r="DE20" s="42">
        <v>2245.8969999999999</v>
      </c>
      <c r="DF20" s="38">
        <v>1684.932</v>
      </c>
      <c r="DG20" s="39">
        <v>7222.3909999999996</v>
      </c>
      <c r="DH20" s="42">
        <v>5537.4589999999998</v>
      </c>
      <c r="DI20" s="38">
        <v>2478.6860000000001</v>
      </c>
      <c r="DJ20" s="39">
        <v>12317.025</v>
      </c>
      <c r="DK20" s="42">
        <v>9838.3389999999999</v>
      </c>
      <c r="DL20" s="38">
        <v>5590.4579999999996</v>
      </c>
      <c r="DM20" s="39">
        <v>10947.423000000001</v>
      </c>
      <c r="DN20" s="42">
        <v>5356.9650000000011</v>
      </c>
      <c r="DO20" s="38">
        <v>3855.7049999999999</v>
      </c>
      <c r="DP20" s="39">
        <v>16697.514999999999</v>
      </c>
      <c r="DQ20" s="42">
        <v>12841.81</v>
      </c>
      <c r="DR20" s="38">
        <v>4165.0330000000004</v>
      </c>
      <c r="DS20" s="39">
        <v>21119.552</v>
      </c>
      <c r="DT20" s="42">
        <v>16954.519</v>
      </c>
      <c r="DU20" s="38">
        <v>5801.6030000000001</v>
      </c>
      <c r="DV20" s="39">
        <v>22779.136999999999</v>
      </c>
      <c r="DW20" s="42">
        <v>16977.534</v>
      </c>
      <c r="DX20" s="38">
        <v>12992.474</v>
      </c>
      <c r="DY20" s="39">
        <v>30426.722000000002</v>
      </c>
      <c r="DZ20" s="42">
        <v>17434.248</v>
      </c>
      <c r="EA20" s="38">
        <v>15884.343000000001</v>
      </c>
      <c r="EB20" s="39">
        <v>28961.608</v>
      </c>
      <c r="EC20" s="42">
        <v>13077.264999999999</v>
      </c>
      <c r="ED20" s="38">
        <v>15461.029</v>
      </c>
      <c r="EE20" s="39">
        <v>15668.087</v>
      </c>
      <c r="EF20" s="42">
        <v>207.05799999999908</v>
      </c>
      <c r="EG20" s="38">
        <v>8335</v>
      </c>
      <c r="EH20" s="39">
        <v>21853</v>
      </c>
      <c r="EI20" s="42">
        <v>13518</v>
      </c>
      <c r="EJ20" s="38">
        <v>10975</v>
      </c>
      <c r="EK20" s="39">
        <v>22555</v>
      </c>
      <c r="EL20" s="42">
        <v>11580</v>
      </c>
      <c r="EM20" s="38">
        <v>12734</v>
      </c>
      <c r="EN20" s="39">
        <v>24032</v>
      </c>
      <c r="EO20" s="42">
        <v>11298</v>
      </c>
      <c r="EP20" s="364">
        <v>12734</v>
      </c>
      <c r="EQ20" s="365">
        <v>24032</v>
      </c>
      <c r="ER20" s="366">
        <v>11298</v>
      </c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</row>
    <row r="21" spans="1:199">
      <c r="A21" s="327" t="s">
        <v>665</v>
      </c>
      <c r="B21" s="38">
        <v>172</v>
      </c>
      <c r="C21" s="39">
        <v>495</v>
      </c>
      <c r="D21" s="42">
        <v>323</v>
      </c>
      <c r="E21" s="38">
        <v>73</v>
      </c>
      <c r="F21" s="39">
        <v>320</v>
      </c>
      <c r="G21" s="42">
        <v>247</v>
      </c>
      <c r="H21" s="361">
        <v>99</v>
      </c>
      <c r="I21" s="361">
        <v>365</v>
      </c>
      <c r="J21" s="42">
        <v>266</v>
      </c>
      <c r="K21" s="360">
        <v>91</v>
      </c>
      <c r="L21" s="361">
        <v>521</v>
      </c>
      <c r="M21" s="42">
        <v>430</v>
      </c>
      <c r="N21" s="361">
        <v>103</v>
      </c>
      <c r="O21" s="361">
        <v>262</v>
      </c>
      <c r="P21" s="42">
        <v>159</v>
      </c>
      <c r="Q21" s="360">
        <v>148</v>
      </c>
      <c r="R21" s="361">
        <v>401</v>
      </c>
      <c r="S21" s="42">
        <v>253</v>
      </c>
      <c r="T21" s="360">
        <v>122</v>
      </c>
      <c r="U21" s="361">
        <v>419</v>
      </c>
      <c r="V21" s="42">
        <v>297</v>
      </c>
      <c r="W21" s="361">
        <v>143</v>
      </c>
      <c r="X21" s="361">
        <v>382</v>
      </c>
      <c r="Y21" s="42">
        <v>239</v>
      </c>
      <c r="Z21" s="38">
        <v>188</v>
      </c>
      <c r="AA21" s="39">
        <v>391</v>
      </c>
      <c r="AB21" s="42">
        <v>203</v>
      </c>
      <c r="AC21" s="38">
        <v>179</v>
      </c>
      <c r="AD21" s="39">
        <v>450</v>
      </c>
      <c r="AE21" s="42">
        <v>271</v>
      </c>
      <c r="AF21" s="38">
        <v>168</v>
      </c>
      <c r="AG21" s="39">
        <v>362</v>
      </c>
      <c r="AH21" s="42">
        <v>194</v>
      </c>
      <c r="AI21" s="38">
        <v>180</v>
      </c>
      <c r="AJ21" s="39">
        <v>367</v>
      </c>
      <c r="AK21" s="42">
        <v>187</v>
      </c>
      <c r="AL21" s="38">
        <v>180</v>
      </c>
      <c r="AM21" s="39">
        <v>433</v>
      </c>
      <c r="AN21" s="42">
        <v>253</v>
      </c>
      <c r="AO21" s="38">
        <v>370</v>
      </c>
      <c r="AP21" s="39">
        <v>454</v>
      </c>
      <c r="AQ21" s="42">
        <v>84</v>
      </c>
      <c r="AR21" s="38">
        <v>478</v>
      </c>
      <c r="AS21" s="39">
        <v>549</v>
      </c>
      <c r="AT21" s="42">
        <v>71</v>
      </c>
      <c r="AU21" s="38">
        <v>530</v>
      </c>
      <c r="AV21" s="39">
        <v>647</v>
      </c>
      <c r="AW21" s="42">
        <v>117</v>
      </c>
      <c r="AX21" s="38">
        <v>771</v>
      </c>
      <c r="AY21" s="39">
        <v>1290</v>
      </c>
      <c r="AZ21" s="42">
        <v>519</v>
      </c>
      <c r="BA21" s="38">
        <v>928</v>
      </c>
      <c r="BB21" s="39">
        <v>1518</v>
      </c>
      <c r="BC21" s="42">
        <v>590</v>
      </c>
      <c r="BD21" s="38">
        <v>1069</v>
      </c>
      <c r="BE21" s="39">
        <v>1441</v>
      </c>
      <c r="BF21" s="42">
        <v>372</v>
      </c>
      <c r="BG21" s="38">
        <v>1239</v>
      </c>
      <c r="BH21" s="39">
        <v>1877</v>
      </c>
      <c r="BI21" s="42">
        <v>638</v>
      </c>
      <c r="BJ21" s="38">
        <v>1452</v>
      </c>
      <c r="BK21" s="39">
        <v>2043</v>
      </c>
      <c r="BL21" s="42">
        <v>591</v>
      </c>
      <c r="BM21" s="38">
        <v>1891</v>
      </c>
      <c r="BN21" s="39">
        <v>2564</v>
      </c>
      <c r="BO21" s="42">
        <v>673</v>
      </c>
      <c r="BP21" s="38">
        <v>2392</v>
      </c>
      <c r="BQ21" s="39">
        <v>2381</v>
      </c>
      <c r="BR21" s="42">
        <v>-11</v>
      </c>
      <c r="BS21" s="38">
        <v>2806</v>
      </c>
      <c r="BT21" s="39">
        <v>1843</v>
      </c>
      <c r="BU21" s="42">
        <v>-963</v>
      </c>
      <c r="BV21" s="38">
        <v>3506</v>
      </c>
      <c r="BW21" s="39">
        <v>2261</v>
      </c>
      <c r="BX21" s="42">
        <v>-1245</v>
      </c>
      <c r="BY21" s="38">
        <v>4970</v>
      </c>
      <c r="BZ21" s="39">
        <v>3647</v>
      </c>
      <c r="CA21" s="42">
        <v>-1323</v>
      </c>
      <c r="CB21" s="38">
        <v>7008</v>
      </c>
      <c r="CC21" s="39">
        <v>5982</v>
      </c>
      <c r="CD21" s="42">
        <v>-1026</v>
      </c>
      <c r="CE21" s="38">
        <v>8178</v>
      </c>
      <c r="CF21" s="39">
        <v>4013</v>
      </c>
      <c r="CG21" s="42">
        <v>-4165</v>
      </c>
      <c r="CH21" s="38">
        <v>10964</v>
      </c>
      <c r="CI21" s="39">
        <v>2796</v>
      </c>
      <c r="CJ21" s="42">
        <v>-8168</v>
      </c>
      <c r="CK21" s="38">
        <v>14392</v>
      </c>
      <c r="CL21" s="39">
        <v>3312</v>
      </c>
      <c r="CM21" s="42">
        <v>-11080</v>
      </c>
      <c r="CN21" s="38">
        <v>22695</v>
      </c>
      <c r="CO21" s="39">
        <v>5139</v>
      </c>
      <c r="CP21" s="42">
        <v>-17556</v>
      </c>
      <c r="CQ21" s="38">
        <v>32273</v>
      </c>
      <c r="CR21" s="39">
        <v>8583</v>
      </c>
      <c r="CS21" s="42">
        <v>-23690</v>
      </c>
      <c r="CT21" s="38">
        <v>44929</v>
      </c>
      <c r="CU21" s="39">
        <v>10438</v>
      </c>
      <c r="CV21" s="42">
        <v>-34491</v>
      </c>
      <c r="CW21" s="38">
        <v>81678</v>
      </c>
      <c r="CX21" s="39">
        <v>12062</v>
      </c>
      <c r="CY21" s="42">
        <v>-69616</v>
      </c>
      <c r="CZ21" s="38">
        <v>131534</v>
      </c>
      <c r="DA21" s="39">
        <v>12623</v>
      </c>
      <c r="DB21" s="42">
        <v>-118911</v>
      </c>
      <c r="DC21" s="38">
        <v>165017</v>
      </c>
      <c r="DD21" s="39">
        <v>18147</v>
      </c>
      <c r="DE21" s="42">
        <v>-146870</v>
      </c>
      <c r="DF21" s="38">
        <v>234349</v>
      </c>
      <c r="DG21" s="39">
        <v>23194</v>
      </c>
      <c r="DH21" s="42">
        <v>-211155</v>
      </c>
      <c r="DI21" s="38">
        <v>267397</v>
      </c>
      <c r="DJ21" s="39">
        <v>33537</v>
      </c>
      <c r="DK21" s="42">
        <v>-233860</v>
      </c>
      <c r="DL21" s="38">
        <v>228289</v>
      </c>
      <c r="DM21" s="39">
        <v>37875</v>
      </c>
      <c r="DN21" s="42">
        <v>-190414</v>
      </c>
      <c r="DO21" s="38">
        <v>199549</v>
      </c>
      <c r="DP21" s="39">
        <v>44779</v>
      </c>
      <c r="DQ21" s="42">
        <v>-154770</v>
      </c>
      <c r="DR21" s="38">
        <v>218859</v>
      </c>
      <c r="DS21" s="39">
        <v>65509</v>
      </c>
      <c r="DT21" s="42">
        <v>-153350</v>
      </c>
      <c r="DU21" s="38">
        <v>246514</v>
      </c>
      <c r="DV21" s="39">
        <v>122517</v>
      </c>
      <c r="DW21" s="42">
        <v>-123997</v>
      </c>
      <c r="DX21" s="38">
        <v>282800</v>
      </c>
      <c r="DY21" s="39">
        <v>204104</v>
      </c>
      <c r="DZ21" s="42">
        <v>-78696</v>
      </c>
      <c r="EA21" s="38">
        <v>316600</v>
      </c>
      <c r="EB21" s="39">
        <v>244508</v>
      </c>
      <c r="EC21" s="42">
        <v>-72092</v>
      </c>
      <c r="ED21" s="38">
        <v>362232</v>
      </c>
      <c r="EE21" s="39">
        <v>355672</v>
      </c>
      <c r="EF21" s="42">
        <v>-6560</v>
      </c>
      <c r="EG21" s="38">
        <v>386387</v>
      </c>
      <c r="EH21" s="39">
        <v>372333</v>
      </c>
      <c r="EI21" s="42">
        <v>-14054</v>
      </c>
      <c r="EJ21" s="38">
        <v>449508</v>
      </c>
      <c r="EK21" s="39">
        <v>389004</v>
      </c>
      <c r="EL21" s="42">
        <v>-60504</v>
      </c>
      <c r="EM21" s="38">
        <v>602044</v>
      </c>
      <c r="EN21" s="39">
        <v>593510</v>
      </c>
      <c r="EO21" s="42">
        <v>-8534</v>
      </c>
      <c r="EP21" s="364">
        <v>602044</v>
      </c>
      <c r="EQ21" s="365">
        <v>593510</v>
      </c>
      <c r="ER21" s="366">
        <v>-8534</v>
      </c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</row>
    <row r="22" spans="1:199">
      <c r="A22" s="327" t="s">
        <v>666</v>
      </c>
      <c r="B22" s="38">
        <v>3.5860660549428802</v>
      </c>
      <c r="C22" s="39">
        <v>0.80025361599637834</v>
      </c>
      <c r="D22" s="42">
        <v>-2.7858124389465018</v>
      </c>
      <c r="E22" s="38">
        <v>9.1470670386948836</v>
      </c>
      <c r="F22" s="39">
        <v>1.9136499512956873</v>
      </c>
      <c r="G22" s="42">
        <v>-7.2334170873991965</v>
      </c>
      <c r="H22" s="361">
        <v>8.3155154897226211</v>
      </c>
      <c r="I22" s="361">
        <v>1.574412005384179</v>
      </c>
      <c r="J22" s="42">
        <v>-6.7411034843384421</v>
      </c>
      <c r="K22" s="360">
        <v>18.138218161957468</v>
      </c>
      <c r="L22" s="361">
        <v>3.0966335575512027</v>
      </c>
      <c r="M22" s="42">
        <v>-15.041584604406266</v>
      </c>
      <c r="N22" s="361">
        <v>19.021741682740494</v>
      </c>
      <c r="O22" s="361">
        <v>4.3752996613715034</v>
      </c>
      <c r="P22" s="42">
        <v>-14.646442021368991</v>
      </c>
      <c r="Q22" s="360">
        <v>20.788788724306556</v>
      </c>
      <c r="R22" s="361">
        <v>4.0534585331990467</v>
      </c>
      <c r="S22" s="42">
        <v>-16.735330191107508</v>
      </c>
      <c r="T22" s="360">
        <v>26.089929849004726</v>
      </c>
      <c r="U22" s="361">
        <v>4.4970773855448654</v>
      </c>
      <c r="V22" s="42">
        <v>-21.59285246345986</v>
      </c>
      <c r="W22" s="361">
        <v>27.701060975138482</v>
      </c>
      <c r="X22" s="361">
        <v>4.8798073758040026</v>
      </c>
      <c r="Y22" s="42">
        <v>-22.821253599334479</v>
      </c>
      <c r="Z22" s="38">
        <v>23.283443371223338</v>
      </c>
      <c r="AA22" s="39">
        <v>7.2283777705759826</v>
      </c>
      <c r="AB22" s="42">
        <v>-16.055065600647357</v>
      </c>
      <c r="AC22" s="38">
        <v>24.063022948384834</v>
      </c>
      <c r="AD22" s="39">
        <v>8.3156788792667147</v>
      </c>
      <c r="AE22" s="42">
        <v>-15.747344069118119</v>
      </c>
      <c r="AF22" s="38">
        <v>28.168808721435379</v>
      </c>
      <c r="AG22" s="39">
        <v>11.803740835946581</v>
      </c>
      <c r="AH22" s="42">
        <v>-16.365067885488799</v>
      </c>
      <c r="AI22" s="38">
        <v>24.426826751060201</v>
      </c>
      <c r="AJ22" s="39">
        <v>7.411044356836026</v>
      </c>
      <c r="AK22" s="42">
        <v>-17.015782394224175</v>
      </c>
      <c r="AL22" s="38">
        <v>33.937697592430446</v>
      </c>
      <c r="AM22" s="39">
        <v>9.6639322540432211</v>
      </c>
      <c r="AN22" s="42">
        <v>-24.273765338387225</v>
      </c>
      <c r="AO22" s="38">
        <v>79.121345155625718</v>
      </c>
      <c r="AP22" s="39">
        <v>9.8875376895257521</v>
      </c>
      <c r="AQ22" s="42">
        <v>-69.233807466099961</v>
      </c>
      <c r="AR22" s="38">
        <v>75.086331988043924</v>
      </c>
      <c r="AS22" s="39">
        <v>16.391004162177488</v>
      </c>
      <c r="AT22" s="42">
        <v>-58.695327825866435</v>
      </c>
      <c r="AU22" s="38">
        <v>74.501547471003079</v>
      </c>
      <c r="AV22" s="39">
        <v>13.129818212955323</v>
      </c>
      <c r="AW22" s="42">
        <v>-61.371729258047758</v>
      </c>
      <c r="AX22" s="38">
        <v>86.596999999999994</v>
      </c>
      <c r="AY22" s="39">
        <v>16.678000000000001</v>
      </c>
      <c r="AZ22" s="42">
        <v>-69.918999999999997</v>
      </c>
      <c r="BA22" s="38">
        <v>81.14200000000001</v>
      </c>
      <c r="BB22" s="39">
        <v>15.588000000000001</v>
      </c>
      <c r="BC22" s="42">
        <v>-65.554000000000002</v>
      </c>
      <c r="BD22" s="38">
        <v>71.878999999999991</v>
      </c>
      <c r="BE22" s="39">
        <v>19.96</v>
      </c>
      <c r="BF22" s="42">
        <v>-51.918999999999997</v>
      </c>
      <c r="BG22" s="38">
        <v>91.850999999999999</v>
      </c>
      <c r="BH22" s="39">
        <v>22.578000000000003</v>
      </c>
      <c r="BI22" s="42">
        <v>-69.272999999999996</v>
      </c>
      <c r="BJ22" s="38">
        <v>115.28699999999999</v>
      </c>
      <c r="BK22" s="39">
        <v>16.831</v>
      </c>
      <c r="BL22" s="42">
        <v>-98.455999999999989</v>
      </c>
      <c r="BM22" s="38">
        <v>120.52600000000001</v>
      </c>
      <c r="BN22" s="39">
        <v>25.150300000000001</v>
      </c>
      <c r="BO22" s="42">
        <v>-95.375700000000009</v>
      </c>
      <c r="BP22" s="38">
        <v>140.76</v>
      </c>
      <c r="BQ22" s="39">
        <v>25.968</v>
      </c>
      <c r="BR22" s="42">
        <v>-114.79199999999999</v>
      </c>
      <c r="BS22" s="38">
        <v>186.66499999999999</v>
      </c>
      <c r="BT22" s="39">
        <v>24.864999999999998</v>
      </c>
      <c r="BU22" s="42">
        <v>-161.80000000000001</v>
      </c>
      <c r="BV22" s="38">
        <v>275.73200000000003</v>
      </c>
      <c r="BW22" s="39">
        <v>24.791</v>
      </c>
      <c r="BX22" s="42">
        <v>-250.94100000000003</v>
      </c>
      <c r="BY22" s="38">
        <v>356.80500000000001</v>
      </c>
      <c r="BZ22" s="39">
        <v>38.445999999999998</v>
      </c>
      <c r="CA22" s="42">
        <v>-318.35900000000004</v>
      </c>
      <c r="CB22" s="38">
        <v>426.471</v>
      </c>
      <c r="CC22" s="39">
        <v>46.646999999999998</v>
      </c>
      <c r="CD22" s="42">
        <v>-379.82400000000001</v>
      </c>
      <c r="CE22" s="38">
        <v>193.16899999999998</v>
      </c>
      <c r="CF22" s="39">
        <v>102.59700000000001</v>
      </c>
      <c r="CG22" s="42">
        <v>-90.571999999999974</v>
      </c>
      <c r="CH22" s="38">
        <v>500.1</v>
      </c>
      <c r="CI22" s="39">
        <v>57.4</v>
      </c>
      <c r="CJ22" s="42">
        <v>-442.7</v>
      </c>
      <c r="CK22" s="38">
        <v>764.11400000000003</v>
      </c>
      <c r="CL22" s="39">
        <v>105.524</v>
      </c>
      <c r="CM22" s="42">
        <v>-658.59</v>
      </c>
      <c r="CN22" s="38">
        <v>796.39699999999993</v>
      </c>
      <c r="CO22" s="39">
        <v>82.968999999999994</v>
      </c>
      <c r="CP22" s="42">
        <v>-713.42799999999988</v>
      </c>
      <c r="CQ22" s="38">
        <v>1101.44</v>
      </c>
      <c r="CR22" s="39">
        <v>148.75</v>
      </c>
      <c r="CS22" s="42">
        <v>-952.69</v>
      </c>
      <c r="CT22" s="38">
        <v>1548.258</v>
      </c>
      <c r="CU22" s="39">
        <v>186.465</v>
      </c>
      <c r="CV22" s="42">
        <v>-1361.7930000000001</v>
      </c>
      <c r="CW22" s="38">
        <v>2142.2719999999999</v>
      </c>
      <c r="CX22" s="39">
        <v>303.94799999999998</v>
      </c>
      <c r="CY22" s="42">
        <v>-1838.3240000000001</v>
      </c>
      <c r="CZ22" s="38">
        <v>3148.366</v>
      </c>
      <c r="DA22" s="39">
        <v>310.47399999999999</v>
      </c>
      <c r="DB22" s="42">
        <v>-2837.8919999999998</v>
      </c>
      <c r="DC22" s="38">
        <v>4174.9009999999998</v>
      </c>
      <c r="DD22" s="39">
        <v>422.10599999999999</v>
      </c>
      <c r="DE22" s="42">
        <v>-3752.7950000000001</v>
      </c>
      <c r="DF22" s="38">
        <v>4201.37</v>
      </c>
      <c r="DG22" s="39">
        <v>489.64100000000002</v>
      </c>
      <c r="DH22" s="42">
        <v>-3711.7289999999998</v>
      </c>
      <c r="DI22" s="38">
        <v>5680.9930000000004</v>
      </c>
      <c r="DJ22" s="39">
        <v>617.57000000000005</v>
      </c>
      <c r="DK22" s="42">
        <v>-5063.4230000000007</v>
      </c>
      <c r="DL22" s="38">
        <v>7756.4690000000001</v>
      </c>
      <c r="DM22" s="39">
        <v>828.02800000000002</v>
      </c>
      <c r="DN22" s="42">
        <v>-6928.4409999999998</v>
      </c>
      <c r="DO22" s="38">
        <v>11613.974</v>
      </c>
      <c r="DP22" s="39">
        <v>899.577</v>
      </c>
      <c r="DQ22" s="42">
        <v>-10714.397000000001</v>
      </c>
      <c r="DR22" s="38">
        <v>11056.217000000001</v>
      </c>
      <c r="DS22" s="39">
        <v>1020.038</v>
      </c>
      <c r="DT22" s="42">
        <v>-10036.179</v>
      </c>
      <c r="DU22" s="38">
        <v>10782.93</v>
      </c>
      <c r="DV22" s="39">
        <v>1256.191</v>
      </c>
      <c r="DW22" s="42">
        <v>-9526.7389999999996</v>
      </c>
      <c r="DX22" s="38">
        <v>16390.735000000001</v>
      </c>
      <c r="DY22" s="39">
        <v>1886.9290000000001</v>
      </c>
      <c r="DZ22" s="42">
        <v>-14503.806</v>
      </c>
      <c r="EA22" s="38">
        <v>16564.764999999999</v>
      </c>
      <c r="EB22" s="39">
        <v>2166.384</v>
      </c>
      <c r="EC22" s="42">
        <v>-14398.380999999999</v>
      </c>
      <c r="ED22" s="38">
        <v>20628.030588235295</v>
      </c>
      <c r="EE22" s="39">
        <v>8007.7811111111105</v>
      </c>
      <c r="EF22" s="42">
        <v>-12620.249477124184</v>
      </c>
      <c r="EG22" s="38">
        <v>28086</v>
      </c>
      <c r="EH22" s="39">
        <v>5803</v>
      </c>
      <c r="EI22" s="42">
        <v>-22283</v>
      </c>
      <c r="EJ22" s="38">
        <v>34231</v>
      </c>
      <c r="EK22" s="39">
        <v>4911</v>
      </c>
      <c r="EL22" s="42">
        <v>-29320</v>
      </c>
      <c r="EM22" s="38">
        <v>35659</v>
      </c>
      <c r="EN22" s="39">
        <v>2973</v>
      </c>
      <c r="EO22" s="42">
        <v>-32686</v>
      </c>
      <c r="EP22" s="364">
        <v>35659</v>
      </c>
      <c r="EQ22" s="365">
        <v>2973</v>
      </c>
      <c r="ER22" s="366">
        <v>-32686</v>
      </c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</row>
    <row r="23" spans="1:199">
      <c r="A23" s="327" t="s">
        <v>667</v>
      </c>
      <c r="B23" s="38">
        <v>280.77978789769179</v>
      </c>
      <c r="C23" s="39">
        <v>1397.6589450619831</v>
      </c>
      <c r="D23" s="42">
        <v>1116.8791571642914</v>
      </c>
      <c r="E23" s="38">
        <v>275.54148471615724</v>
      </c>
      <c r="F23" s="39">
        <v>1485.411224213547</v>
      </c>
      <c r="G23" s="42">
        <v>1209.8697394973897</v>
      </c>
      <c r="H23" s="361">
        <v>577.32189644416712</v>
      </c>
      <c r="I23" s="361">
        <v>2226.9504020825807</v>
      </c>
      <c r="J23" s="42">
        <v>1649.6285056384136</v>
      </c>
      <c r="K23" s="360">
        <v>334.98066126013725</v>
      </c>
      <c r="L23" s="361">
        <v>1664.424018135297</v>
      </c>
      <c r="M23" s="42">
        <v>1329.4433568751597</v>
      </c>
      <c r="N23" s="361">
        <v>205.55583281347475</v>
      </c>
      <c r="O23" s="361">
        <v>1180.8745639766898</v>
      </c>
      <c r="P23" s="42">
        <v>975.31873116321503</v>
      </c>
      <c r="Q23" s="360">
        <v>159.28945726762322</v>
      </c>
      <c r="R23" s="361">
        <v>1357.8512034457881</v>
      </c>
      <c r="S23" s="42">
        <v>1198.5617461781649</v>
      </c>
      <c r="T23" s="360">
        <v>202.4435433562071</v>
      </c>
      <c r="U23" s="361">
        <v>1447.3900145231796</v>
      </c>
      <c r="V23" s="42">
        <v>1244.9464711669725</v>
      </c>
      <c r="W23" s="361">
        <v>259.58827199001871</v>
      </c>
      <c r="X23" s="361">
        <v>1752.9388737438651</v>
      </c>
      <c r="Y23" s="42">
        <v>1493.3506017538464</v>
      </c>
      <c r="Z23" s="38">
        <v>240.13038053649407</v>
      </c>
      <c r="AA23" s="39">
        <v>2062.927029297095</v>
      </c>
      <c r="AB23" s="42">
        <v>1822.7966487606009</v>
      </c>
      <c r="AC23" s="38">
        <v>233.92014971927637</v>
      </c>
      <c r="AD23" s="39">
        <v>2645.8609330080762</v>
      </c>
      <c r="AE23" s="42">
        <v>2411.9407832888</v>
      </c>
      <c r="AF23" s="38">
        <v>213.4435433562071</v>
      </c>
      <c r="AG23" s="39">
        <v>2749.840640382376</v>
      </c>
      <c r="AH23" s="42">
        <v>2536.3970970261689</v>
      </c>
      <c r="AI23" s="38">
        <v>395.10667498440426</v>
      </c>
      <c r="AJ23" s="39">
        <v>3203.0638821328016</v>
      </c>
      <c r="AK23" s="42">
        <v>2807.9572071483972</v>
      </c>
      <c r="AL23" s="38">
        <v>417.80286961946354</v>
      </c>
      <c r="AM23" s="39">
        <v>3275.2070147273689</v>
      </c>
      <c r="AN23" s="42">
        <v>2857.4041451079056</v>
      </c>
      <c r="AO23" s="38">
        <v>515.04117280099808</v>
      </c>
      <c r="AP23" s="39">
        <v>2956.085874436425</v>
      </c>
      <c r="AQ23" s="42">
        <v>2441.0447016354269</v>
      </c>
      <c r="AR23" s="38">
        <v>343.90580162195886</v>
      </c>
      <c r="AS23" s="39">
        <v>3657.5565015409447</v>
      </c>
      <c r="AT23" s="42">
        <v>3313.650699918986</v>
      </c>
      <c r="AU23" s="38">
        <v>565.8165938864629</v>
      </c>
      <c r="AV23" s="39">
        <v>4266.1280309453068</v>
      </c>
      <c r="AW23" s="42">
        <v>3700.3114370588437</v>
      </c>
      <c r="AX23" s="38">
        <v>635</v>
      </c>
      <c r="AY23" s="39">
        <v>4743</v>
      </c>
      <c r="AZ23" s="42">
        <v>4108</v>
      </c>
      <c r="BA23" s="38">
        <v>454</v>
      </c>
      <c r="BB23" s="39">
        <v>5278</v>
      </c>
      <c r="BC23" s="42">
        <v>4824</v>
      </c>
      <c r="BD23" s="38">
        <v>447</v>
      </c>
      <c r="BE23" s="39">
        <v>6421</v>
      </c>
      <c r="BF23" s="42">
        <v>5974</v>
      </c>
      <c r="BG23" s="38">
        <v>429</v>
      </c>
      <c r="BH23" s="39">
        <v>8248</v>
      </c>
      <c r="BI23" s="42">
        <v>7819</v>
      </c>
      <c r="BJ23" s="38">
        <v>551</v>
      </c>
      <c r="BK23" s="39">
        <v>9684</v>
      </c>
      <c r="BL23" s="42">
        <v>9133</v>
      </c>
      <c r="BM23" s="38">
        <v>738</v>
      </c>
      <c r="BN23" s="39">
        <v>12964</v>
      </c>
      <c r="BO23" s="42">
        <v>12226</v>
      </c>
      <c r="BP23" s="38">
        <v>706</v>
      </c>
      <c r="BQ23" s="39">
        <v>15265</v>
      </c>
      <c r="BR23" s="42">
        <v>14559</v>
      </c>
      <c r="BS23" s="38">
        <v>910</v>
      </c>
      <c r="BT23" s="39">
        <v>19932</v>
      </c>
      <c r="BU23" s="42">
        <v>19022</v>
      </c>
      <c r="BV23" s="38">
        <v>1023</v>
      </c>
      <c r="BW23" s="39">
        <v>24908</v>
      </c>
      <c r="BX23" s="42">
        <v>23885</v>
      </c>
      <c r="BY23" s="38">
        <v>1558</v>
      </c>
      <c r="BZ23" s="39">
        <v>28676</v>
      </c>
      <c r="CA23" s="42">
        <v>27118</v>
      </c>
      <c r="CB23" s="38">
        <v>1138</v>
      </c>
      <c r="CC23" s="39">
        <v>30424</v>
      </c>
      <c r="CD23" s="42">
        <v>29286</v>
      </c>
      <c r="CE23" s="38">
        <v>1900</v>
      </c>
      <c r="CF23" s="39">
        <v>30600</v>
      </c>
      <c r="CG23" s="42">
        <v>28700</v>
      </c>
      <c r="CH23" s="38">
        <v>2389</v>
      </c>
      <c r="CI23" s="39">
        <v>30963</v>
      </c>
      <c r="CJ23" s="42">
        <v>28574</v>
      </c>
      <c r="CK23" s="38">
        <v>3476</v>
      </c>
      <c r="CL23" s="39">
        <v>46945</v>
      </c>
      <c r="CM23" s="42">
        <v>43469</v>
      </c>
      <c r="CN23" s="38">
        <v>3735</v>
      </c>
      <c r="CO23" s="39">
        <v>76314</v>
      </c>
      <c r="CP23" s="42">
        <v>72579</v>
      </c>
      <c r="CQ23" s="38">
        <v>3036</v>
      </c>
      <c r="CR23" s="39">
        <v>124244</v>
      </c>
      <c r="CS23" s="42">
        <v>121208</v>
      </c>
      <c r="CT23" s="38">
        <v>2059</v>
      </c>
      <c r="CU23" s="39">
        <v>152172</v>
      </c>
      <c r="CV23" s="42">
        <v>150113</v>
      </c>
      <c r="CW23" s="38">
        <v>1887</v>
      </c>
      <c r="CX23" s="39">
        <v>180514</v>
      </c>
      <c r="CY23" s="42">
        <v>178627</v>
      </c>
      <c r="CZ23" s="38">
        <v>3175</v>
      </c>
      <c r="DA23" s="39">
        <v>218177</v>
      </c>
      <c r="DB23" s="42">
        <v>215002</v>
      </c>
      <c r="DC23" s="38">
        <v>8077</v>
      </c>
      <c r="DD23" s="39">
        <v>250282</v>
      </c>
      <c r="DE23" s="42">
        <v>242205</v>
      </c>
      <c r="DF23" s="38">
        <v>11986</v>
      </c>
      <c r="DG23" s="39">
        <v>332288</v>
      </c>
      <c r="DH23" s="42">
        <v>320302</v>
      </c>
      <c r="DI23" s="38">
        <v>14375</v>
      </c>
      <c r="DJ23" s="39">
        <v>394061</v>
      </c>
      <c r="DK23" s="42">
        <v>379686</v>
      </c>
      <c r="DL23" s="38">
        <v>58505</v>
      </c>
      <c r="DM23" s="39">
        <v>493488</v>
      </c>
      <c r="DN23" s="42">
        <v>434983</v>
      </c>
      <c r="DO23" s="38">
        <v>83783</v>
      </c>
      <c r="DP23" s="39">
        <v>615692</v>
      </c>
      <c r="DQ23" s="42">
        <v>531909</v>
      </c>
      <c r="DR23" s="38">
        <v>89849</v>
      </c>
      <c r="DS23" s="39">
        <v>713554</v>
      </c>
      <c r="DT23" s="42">
        <v>623705</v>
      </c>
      <c r="DU23" s="38">
        <v>108192</v>
      </c>
      <c r="DV23" s="39">
        <v>824177</v>
      </c>
      <c r="DW23" s="42">
        <v>715985</v>
      </c>
      <c r="DX23" s="38">
        <v>131509</v>
      </c>
      <c r="DY23" s="39">
        <v>913402</v>
      </c>
      <c r="DZ23" s="42">
        <v>781893</v>
      </c>
      <c r="EA23" s="38">
        <v>182041</v>
      </c>
      <c r="EB23" s="39">
        <v>1049887</v>
      </c>
      <c r="EC23" s="42">
        <v>867846</v>
      </c>
      <c r="ED23" s="38">
        <v>205783</v>
      </c>
      <c r="EE23" s="39">
        <v>1257316</v>
      </c>
      <c r="EF23" s="42">
        <v>1051533</v>
      </c>
      <c r="EG23" s="38">
        <v>271135</v>
      </c>
      <c r="EH23" s="39">
        <v>1345355</v>
      </c>
      <c r="EI23" s="42">
        <v>1074220</v>
      </c>
      <c r="EJ23" s="38">
        <v>331963</v>
      </c>
      <c r="EK23" s="39">
        <v>1228614</v>
      </c>
      <c r="EL23" s="42">
        <v>896651</v>
      </c>
      <c r="EM23" s="38">
        <v>289320</v>
      </c>
      <c r="EN23" s="39">
        <v>1366283</v>
      </c>
      <c r="EO23" s="42">
        <v>1076963</v>
      </c>
      <c r="EP23" s="364">
        <v>289320</v>
      </c>
      <c r="EQ23" s="365">
        <v>1366283</v>
      </c>
      <c r="ER23" s="366">
        <v>1076963</v>
      </c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</row>
    <row r="24" spans="1:199">
      <c r="A24" s="327" t="s">
        <v>668</v>
      </c>
      <c r="B24" s="38">
        <v>30</v>
      </c>
      <c r="C24" s="39">
        <v>22</v>
      </c>
      <c r="D24" s="42">
        <v>-8</v>
      </c>
      <c r="E24" s="38">
        <v>31</v>
      </c>
      <c r="F24" s="39">
        <v>25</v>
      </c>
      <c r="G24" s="42">
        <v>-6</v>
      </c>
      <c r="H24" s="361">
        <v>349</v>
      </c>
      <c r="I24" s="361">
        <v>745</v>
      </c>
      <c r="J24" s="42">
        <v>396</v>
      </c>
      <c r="K24" s="360">
        <v>58</v>
      </c>
      <c r="L24" s="361">
        <v>35</v>
      </c>
      <c r="M24" s="42">
        <v>-23</v>
      </c>
      <c r="N24" s="361">
        <v>102</v>
      </c>
      <c r="O24" s="361">
        <v>106</v>
      </c>
      <c r="P24" s="42">
        <v>4</v>
      </c>
      <c r="Q24" s="360">
        <v>47</v>
      </c>
      <c r="R24" s="361">
        <v>30</v>
      </c>
      <c r="S24" s="42">
        <v>-17</v>
      </c>
      <c r="T24" s="360">
        <v>39</v>
      </c>
      <c r="U24" s="361">
        <v>56</v>
      </c>
      <c r="V24" s="42">
        <v>17</v>
      </c>
      <c r="W24" s="361">
        <v>40</v>
      </c>
      <c r="X24" s="361">
        <v>103</v>
      </c>
      <c r="Y24" s="42">
        <v>63</v>
      </c>
      <c r="Z24" s="38">
        <v>43</v>
      </c>
      <c r="AA24" s="39">
        <v>43</v>
      </c>
      <c r="AB24" s="42">
        <v>0</v>
      </c>
      <c r="AC24" s="38">
        <v>58</v>
      </c>
      <c r="AD24" s="39">
        <v>37</v>
      </c>
      <c r="AE24" s="42">
        <v>-21</v>
      </c>
      <c r="AF24" s="38">
        <v>50</v>
      </c>
      <c r="AG24" s="39">
        <v>36</v>
      </c>
      <c r="AH24" s="42">
        <v>-14</v>
      </c>
      <c r="AI24" s="38">
        <v>52</v>
      </c>
      <c r="AJ24" s="39">
        <v>34</v>
      </c>
      <c r="AK24" s="42">
        <v>-18</v>
      </c>
      <c r="AL24" s="38">
        <v>46</v>
      </c>
      <c r="AM24" s="39">
        <v>40</v>
      </c>
      <c r="AN24" s="42">
        <v>-6</v>
      </c>
      <c r="AO24" s="38">
        <v>137</v>
      </c>
      <c r="AP24" s="39">
        <v>30</v>
      </c>
      <c r="AQ24" s="42">
        <v>-107</v>
      </c>
      <c r="AR24" s="38">
        <v>27</v>
      </c>
      <c r="AS24" s="39">
        <v>412</v>
      </c>
      <c r="AT24" s="42">
        <v>385</v>
      </c>
      <c r="AU24" s="38">
        <v>68</v>
      </c>
      <c r="AV24" s="39">
        <v>237</v>
      </c>
      <c r="AW24" s="42">
        <v>169</v>
      </c>
      <c r="AX24" s="38">
        <v>131</v>
      </c>
      <c r="AY24" s="39">
        <v>259</v>
      </c>
      <c r="AZ24" s="42">
        <v>128</v>
      </c>
      <c r="BA24" s="38">
        <v>88</v>
      </c>
      <c r="BB24" s="39">
        <v>359</v>
      </c>
      <c r="BC24" s="42">
        <v>271</v>
      </c>
      <c r="BD24" s="38">
        <v>64</v>
      </c>
      <c r="BE24" s="39">
        <v>275</v>
      </c>
      <c r="BF24" s="42">
        <v>211</v>
      </c>
      <c r="BG24" s="38">
        <v>57</v>
      </c>
      <c r="BH24" s="39">
        <v>66</v>
      </c>
      <c r="BI24" s="42">
        <v>9</v>
      </c>
      <c r="BJ24" s="38">
        <v>71</v>
      </c>
      <c r="BK24" s="39">
        <v>119</v>
      </c>
      <c r="BL24" s="42">
        <v>48</v>
      </c>
      <c r="BM24" s="38">
        <v>71</v>
      </c>
      <c r="BN24" s="39">
        <v>276</v>
      </c>
      <c r="BO24" s="42">
        <v>205</v>
      </c>
      <c r="BP24" s="38">
        <v>144</v>
      </c>
      <c r="BQ24" s="39">
        <v>84</v>
      </c>
      <c r="BR24" s="42">
        <v>-60</v>
      </c>
      <c r="BS24" s="38">
        <v>218</v>
      </c>
      <c r="BT24" s="39">
        <v>31</v>
      </c>
      <c r="BU24" s="42">
        <v>-187</v>
      </c>
      <c r="BV24" s="38">
        <v>284</v>
      </c>
      <c r="BW24" s="39">
        <v>122</v>
      </c>
      <c r="BX24" s="42">
        <v>-162</v>
      </c>
      <c r="BY24" s="38">
        <v>468</v>
      </c>
      <c r="BZ24" s="39">
        <v>258</v>
      </c>
      <c r="CA24" s="42">
        <v>-210</v>
      </c>
      <c r="CB24" s="38">
        <v>185</v>
      </c>
      <c r="CC24" s="39">
        <v>183</v>
      </c>
      <c r="CD24" s="42">
        <v>-2</v>
      </c>
      <c r="CE24" s="38">
        <v>983</v>
      </c>
      <c r="CF24" s="39">
        <v>67</v>
      </c>
      <c r="CG24" s="42">
        <v>-916</v>
      </c>
      <c r="CH24" s="38">
        <v>1023</v>
      </c>
      <c r="CI24" s="39">
        <v>245</v>
      </c>
      <c r="CJ24" s="42">
        <v>-778</v>
      </c>
      <c r="CK24" s="38">
        <v>1146.7719999999999</v>
      </c>
      <c r="CL24" s="39">
        <v>105.07599999999999</v>
      </c>
      <c r="CM24" s="42">
        <v>-1041.6959999999999</v>
      </c>
      <c r="CN24" s="38">
        <v>149</v>
      </c>
      <c r="CO24" s="39">
        <v>105</v>
      </c>
      <c r="CP24" s="42">
        <v>-44</v>
      </c>
      <c r="CQ24" s="38">
        <v>659</v>
      </c>
      <c r="CR24" s="39">
        <v>162</v>
      </c>
      <c r="CS24" s="42">
        <v>-497</v>
      </c>
      <c r="CT24" s="38">
        <v>578</v>
      </c>
      <c r="CU24" s="39">
        <v>255</v>
      </c>
      <c r="CV24" s="42">
        <v>-323</v>
      </c>
      <c r="CW24" s="38">
        <v>57</v>
      </c>
      <c r="CX24" s="39">
        <v>300</v>
      </c>
      <c r="CY24" s="42">
        <v>243</v>
      </c>
      <c r="CZ24" s="38">
        <v>89</v>
      </c>
      <c r="DA24" s="39">
        <v>1923</v>
      </c>
      <c r="DB24" s="42">
        <v>1834</v>
      </c>
      <c r="DC24" s="38">
        <v>419</v>
      </c>
      <c r="DD24" s="39">
        <v>3060</v>
      </c>
      <c r="DE24" s="42">
        <v>2641</v>
      </c>
      <c r="DF24" s="38">
        <v>222</v>
      </c>
      <c r="DG24" s="39">
        <v>5430</v>
      </c>
      <c r="DH24" s="42">
        <v>5208</v>
      </c>
      <c r="DI24" s="38">
        <v>449</v>
      </c>
      <c r="DJ24" s="39">
        <v>21817</v>
      </c>
      <c r="DK24" s="42">
        <v>21368</v>
      </c>
      <c r="DL24" s="38">
        <v>41665</v>
      </c>
      <c r="DM24" s="39">
        <v>81029</v>
      </c>
      <c r="DN24" s="42">
        <v>39364</v>
      </c>
      <c r="DO24" s="38">
        <v>56660</v>
      </c>
      <c r="DP24" s="39">
        <v>108646</v>
      </c>
      <c r="DQ24" s="42">
        <v>51986</v>
      </c>
      <c r="DR24" s="38">
        <v>69368</v>
      </c>
      <c r="DS24" s="39">
        <v>172479</v>
      </c>
      <c r="DT24" s="42">
        <v>103111</v>
      </c>
      <c r="DU24" s="38">
        <v>80963</v>
      </c>
      <c r="DV24" s="39">
        <v>209016</v>
      </c>
      <c r="DW24" s="42">
        <v>128053</v>
      </c>
      <c r="DX24" s="38">
        <v>94397</v>
      </c>
      <c r="DY24" s="39">
        <v>237982</v>
      </c>
      <c r="DZ24" s="42">
        <v>143585</v>
      </c>
      <c r="EA24" s="38">
        <v>129394</v>
      </c>
      <c r="EB24" s="39">
        <v>331052</v>
      </c>
      <c r="EC24" s="42">
        <v>201658</v>
      </c>
      <c r="ED24" s="38">
        <v>149818</v>
      </c>
      <c r="EE24" s="39">
        <v>559825</v>
      </c>
      <c r="EF24" s="42">
        <v>410007</v>
      </c>
      <c r="EG24" s="38">
        <v>190234</v>
      </c>
      <c r="EH24" s="39">
        <v>649359</v>
      </c>
      <c r="EI24" s="42">
        <v>459125</v>
      </c>
      <c r="EJ24" s="38">
        <v>262593</v>
      </c>
      <c r="EK24" s="39">
        <v>584808</v>
      </c>
      <c r="EL24" s="42">
        <v>322215</v>
      </c>
      <c r="EM24" s="38">
        <v>215085</v>
      </c>
      <c r="EN24" s="39">
        <v>782140</v>
      </c>
      <c r="EO24" s="42">
        <v>567055</v>
      </c>
      <c r="EP24" s="364">
        <v>215085</v>
      </c>
      <c r="EQ24" s="365">
        <v>782140</v>
      </c>
      <c r="ER24" s="366">
        <v>567055</v>
      </c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</row>
    <row r="25" spans="1:199">
      <c r="A25" s="327" t="s">
        <v>669</v>
      </c>
      <c r="B25" s="38">
        <v>0</v>
      </c>
      <c r="C25" s="39">
        <v>0</v>
      </c>
      <c r="D25" s="42">
        <v>0</v>
      </c>
      <c r="E25" s="38">
        <v>0</v>
      </c>
      <c r="F25" s="39">
        <v>0</v>
      </c>
      <c r="G25" s="42">
        <v>0</v>
      </c>
      <c r="H25" s="361">
        <v>0</v>
      </c>
      <c r="I25" s="361">
        <v>0</v>
      </c>
      <c r="J25" s="42">
        <v>0</v>
      </c>
      <c r="K25" s="360">
        <v>0</v>
      </c>
      <c r="L25" s="361">
        <v>0</v>
      </c>
      <c r="M25" s="42">
        <v>0</v>
      </c>
      <c r="N25" s="361">
        <v>0</v>
      </c>
      <c r="O25" s="361">
        <v>0</v>
      </c>
      <c r="P25" s="42">
        <v>0</v>
      </c>
      <c r="Q25" s="360">
        <v>0</v>
      </c>
      <c r="R25" s="361">
        <v>0</v>
      </c>
      <c r="S25" s="42">
        <v>0</v>
      </c>
      <c r="T25" s="360">
        <v>0</v>
      </c>
      <c r="U25" s="361">
        <v>0</v>
      </c>
      <c r="V25" s="42">
        <v>0</v>
      </c>
      <c r="W25" s="361">
        <v>0</v>
      </c>
      <c r="X25" s="361">
        <v>0</v>
      </c>
      <c r="Y25" s="42">
        <v>0</v>
      </c>
      <c r="Z25" s="38">
        <v>0</v>
      </c>
      <c r="AA25" s="39">
        <v>0</v>
      </c>
      <c r="AB25" s="42">
        <v>0</v>
      </c>
      <c r="AC25" s="38">
        <v>0</v>
      </c>
      <c r="AD25" s="39">
        <v>0</v>
      </c>
      <c r="AE25" s="42">
        <v>0</v>
      </c>
      <c r="AF25" s="38">
        <v>0</v>
      </c>
      <c r="AG25" s="39">
        <v>0</v>
      </c>
      <c r="AH25" s="42">
        <v>0</v>
      </c>
      <c r="AI25" s="38">
        <v>0</v>
      </c>
      <c r="AJ25" s="39">
        <v>0</v>
      </c>
      <c r="AK25" s="42">
        <v>0</v>
      </c>
      <c r="AL25" s="38">
        <v>0</v>
      </c>
      <c r="AM25" s="39">
        <v>0</v>
      </c>
      <c r="AN25" s="42">
        <v>0</v>
      </c>
      <c r="AO25" s="38">
        <v>0</v>
      </c>
      <c r="AP25" s="39">
        <v>0</v>
      </c>
      <c r="AQ25" s="42">
        <v>0</v>
      </c>
      <c r="AR25" s="38">
        <v>0</v>
      </c>
      <c r="AS25" s="39">
        <v>0</v>
      </c>
      <c r="AT25" s="42">
        <v>0</v>
      </c>
      <c r="AU25" s="38">
        <v>0</v>
      </c>
      <c r="AV25" s="39">
        <v>0</v>
      </c>
      <c r="AW25" s="42">
        <v>0</v>
      </c>
      <c r="AX25" s="38">
        <v>0</v>
      </c>
      <c r="AY25" s="39">
        <v>0</v>
      </c>
      <c r="AZ25" s="42">
        <v>0</v>
      </c>
      <c r="BA25" s="38">
        <v>0</v>
      </c>
      <c r="BB25" s="39">
        <v>0</v>
      </c>
      <c r="BC25" s="42">
        <v>0</v>
      </c>
      <c r="BD25" s="38">
        <v>0</v>
      </c>
      <c r="BE25" s="39">
        <v>0</v>
      </c>
      <c r="BF25" s="42">
        <v>0</v>
      </c>
      <c r="BG25" s="38">
        <v>0</v>
      </c>
      <c r="BH25" s="39">
        <v>0</v>
      </c>
      <c r="BI25" s="42">
        <v>0</v>
      </c>
      <c r="BJ25" s="38">
        <v>0</v>
      </c>
      <c r="BK25" s="39">
        <v>0</v>
      </c>
      <c r="BL25" s="42">
        <v>0</v>
      </c>
      <c r="BM25" s="38">
        <v>0</v>
      </c>
      <c r="BN25" s="39">
        <v>0</v>
      </c>
      <c r="BO25" s="42">
        <v>0</v>
      </c>
      <c r="BP25" s="38">
        <v>0</v>
      </c>
      <c r="BQ25" s="39">
        <v>0</v>
      </c>
      <c r="BR25" s="42">
        <v>0</v>
      </c>
      <c r="BS25" s="38">
        <v>0</v>
      </c>
      <c r="BT25" s="39">
        <v>0</v>
      </c>
      <c r="BU25" s="42">
        <v>0</v>
      </c>
      <c r="BV25" s="38">
        <v>0</v>
      </c>
      <c r="BW25" s="39">
        <v>0</v>
      </c>
      <c r="BX25" s="42">
        <v>0</v>
      </c>
      <c r="BY25" s="38">
        <v>0</v>
      </c>
      <c r="BZ25" s="39">
        <v>0</v>
      </c>
      <c r="CA25" s="42">
        <v>0</v>
      </c>
      <c r="CB25" s="38">
        <v>0</v>
      </c>
      <c r="CC25" s="39">
        <v>0</v>
      </c>
      <c r="CD25" s="42">
        <v>0</v>
      </c>
      <c r="CE25" s="38">
        <v>0</v>
      </c>
      <c r="CF25" s="39">
        <v>0</v>
      </c>
      <c r="CG25" s="42">
        <v>0</v>
      </c>
      <c r="CH25" s="38">
        <v>0</v>
      </c>
      <c r="CI25" s="39">
        <v>0</v>
      </c>
      <c r="CJ25" s="42">
        <v>0</v>
      </c>
      <c r="CK25" s="38">
        <v>0</v>
      </c>
      <c r="CL25" s="39">
        <v>0</v>
      </c>
      <c r="CM25" s="42">
        <v>0</v>
      </c>
      <c r="CN25" s="38">
        <v>0</v>
      </c>
      <c r="CO25" s="39">
        <v>0</v>
      </c>
      <c r="CP25" s="42">
        <v>0</v>
      </c>
      <c r="CQ25" s="38">
        <v>0</v>
      </c>
      <c r="CR25" s="39">
        <v>0</v>
      </c>
      <c r="CS25" s="42">
        <v>0</v>
      </c>
      <c r="CT25" s="38">
        <v>0</v>
      </c>
      <c r="CU25" s="39">
        <v>0</v>
      </c>
      <c r="CV25" s="42">
        <v>0</v>
      </c>
      <c r="CW25" s="38">
        <v>0</v>
      </c>
      <c r="CX25" s="39">
        <v>0</v>
      </c>
      <c r="CY25" s="42">
        <v>0</v>
      </c>
      <c r="CZ25" s="38">
        <v>0</v>
      </c>
      <c r="DA25" s="39">
        <v>0</v>
      </c>
      <c r="DB25" s="42">
        <v>0</v>
      </c>
      <c r="DC25" s="38">
        <v>0</v>
      </c>
      <c r="DD25" s="39">
        <v>0</v>
      </c>
      <c r="DE25" s="42">
        <v>0</v>
      </c>
      <c r="DF25" s="38">
        <v>0</v>
      </c>
      <c r="DG25" s="39">
        <v>0</v>
      </c>
      <c r="DH25" s="42">
        <v>0</v>
      </c>
      <c r="DI25" s="38">
        <v>0</v>
      </c>
      <c r="DJ25" s="39">
        <v>0</v>
      </c>
      <c r="DK25" s="42">
        <v>0</v>
      </c>
      <c r="DL25" s="38">
        <v>41152</v>
      </c>
      <c r="DM25" s="39">
        <v>66110</v>
      </c>
      <c r="DN25" s="42">
        <v>24958</v>
      </c>
      <c r="DO25" s="38">
        <v>56157</v>
      </c>
      <c r="DP25" s="39">
        <v>100247</v>
      </c>
      <c r="DQ25" s="42">
        <v>44090</v>
      </c>
      <c r="DR25" s="38">
        <v>59548</v>
      </c>
      <c r="DS25" s="39">
        <v>152756</v>
      </c>
      <c r="DT25" s="42">
        <v>93208</v>
      </c>
      <c r="DU25" s="38">
        <v>79102</v>
      </c>
      <c r="DV25" s="39">
        <v>198662</v>
      </c>
      <c r="DW25" s="42">
        <v>119560</v>
      </c>
      <c r="DX25" s="38">
        <v>90969</v>
      </c>
      <c r="DY25" s="39">
        <v>215539</v>
      </c>
      <c r="DZ25" s="42">
        <v>124570</v>
      </c>
      <c r="EA25" s="38">
        <v>126449</v>
      </c>
      <c r="EB25" s="39">
        <v>300874</v>
      </c>
      <c r="EC25" s="42">
        <v>174425</v>
      </c>
      <c r="ED25" s="38">
        <v>145274</v>
      </c>
      <c r="EE25" s="39">
        <v>557379</v>
      </c>
      <c r="EF25" s="42">
        <v>412105</v>
      </c>
      <c r="EG25" s="38">
        <v>171692</v>
      </c>
      <c r="EH25" s="39">
        <v>627845</v>
      </c>
      <c r="EI25" s="42">
        <v>456153</v>
      </c>
      <c r="EJ25" s="38">
        <v>248455</v>
      </c>
      <c r="EK25" s="39">
        <v>526600</v>
      </c>
      <c r="EL25" s="42">
        <v>278145</v>
      </c>
      <c r="EM25" s="38">
        <v>197478</v>
      </c>
      <c r="EN25" s="39">
        <v>725964</v>
      </c>
      <c r="EO25" s="42">
        <v>528486</v>
      </c>
      <c r="EP25" s="364">
        <v>197478</v>
      </c>
      <c r="EQ25" s="365">
        <v>725964</v>
      </c>
      <c r="ER25" s="366">
        <v>528486</v>
      </c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</row>
    <row r="26" spans="1:199">
      <c r="A26" s="327" t="s">
        <v>670</v>
      </c>
      <c r="B26" s="38">
        <v>30</v>
      </c>
      <c r="C26" s="39">
        <v>22</v>
      </c>
      <c r="D26" s="42">
        <v>-8</v>
      </c>
      <c r="E26" s="38">
        <v>31</v>
      </c>
      <c r="F26" s="39">
        <v>25</v>
      </c>
      <c r="G26" s="42">
        <v>-6</v>
      </c>
      <c r="H26" s="361">
        <v>349</v>
      </c>
      <c r="I26" s="361">
        <v>745</v>
      </c>
      <c r="J26" s="42">
        <v>396</v>
      </c>
      <c r="K26" s="360">
        <v>58</v>
      </c>
      <c r="L26" s="361">
        <v>35</v>
      </c>
      <c r="M26" s="42">
        <v>-23</v>
      </c>
      <c r="N26" s="361">
        <v>102</v>
      </c>
      <c r="O26" s="361">
        <v>106</v>
      </c>
      <c r="P26" s="42">
        <v>4</v>
      </c>
      <c r="Q26" s="360">
        <v>47</v>
      </c>
      <c r="R26" s="361">
        <v>30</v>
      </c>
      <c r="S26" s="42">
        <v>-17</v>
      </c>
      <c r="T26" s="360">
        <v>39</v>
      </c>
      <c r="U26" s="361">
        <v>56</v>
      </c>
      <c r="V26" s="42">
        <v>17</v>
      </c>
      <c r="W26" s="361">
        <v>40</v>
      </c>
      <c r="X26" s="361">
        <v>103</v>
      </c>
      <c r="Y26" s="42">
        <v>63</v>
      </c>
      <c r="Z26" s="38">
        <v>43</v>
      </c>
      <c r="AA26" s="39">
        <v>43</v>
      </c>
      <c r="AB26" s="42">
        <v>0</v>
      </c>
      <c r="AC26" s="38">
        <v>58</v>
      </c>
      <c r="AD26" s="39">
        <v>37</v>
      </c>
      <c r="AE26" s="42">
        <v>-21</v>
      </c>
      <c r="AF26" s="38">
        <v>50</v>
      </c>
      <c r="AG26" s="39">
        <v>36</v>
      </c>
      <c r="AH26" s="42">
        <v>-14</v>
      </c>
      <c r="AI26" s="38">
        <v>52</v>
      </c>
      <c r="AJ26" s="39">
        <v>34</v>
      </c>
      <c r="AK26" s="42">
        <v>-18</v>
      </c>
      <c r="AL26" s="38">
        <v>46</v>
      </c>
      <c r="AM26" s="39">
        <v>40</v>
      </c>
      <c r="AN26" s="42">
        <v>-6</v>
      </c>
      <c r="AO26" s="38">
        <v>137</v>
      </c>
      <c r="AP26" s="39">
        <v>30</v>
      </c>
      <c r="AQ26" s="42">
        <v>-107</v>
      </c>
      <c r="AR26" s="38">
        <v>27</v>
      </c>
      <c r="AS26" s="39">
        <v>412</v>
      </c>
      <c r="AT26" s="42">
        <v>385</v>
      </c>
      <c r="AU26" s="38">
        <v>68</v>
      </c>
      <c r="AV26" s="39">
        <v>237</v>
      </c>
      <c r="AW26" s="42">
        <v>169</v>
      </c>
      <c r="AX26" s="38">
        <v>131</v>
      </c>
      <c r="AY26" s="39">
        <v>259</v>
      </c>
      <c r="AZ26" s="42">
        <v>128</v>
      </c>
      <c r="BA26" s="38">
        <v>88</v>
      </c>
      <c r="BB26" s="39">
        <v>359</v>
      </c>
      <c r="BC26" s="42">
        <v>271</v>
      </c>
      <c r="BD26" s="38">
        <v>64</v>
      </c>
      <c r="BE26" s="39">
        <v>275</v>
      </c>
      <c r="BF26" s="42">
        <v>211</v>
      </c>
      <c r="BG26" s="38">
        <v>57</v>
      </c>
      <c r="BH26" s="39">
        <v>66</v>
      </c>
      <c r="BI26" s="42">
        <v>9</v>
      </c>
      <c r="BJ26" s="38">
        <v>71</v>
      </c>
      <c r="BK26" s="39">
        <v>119</v>
      </c>
      <c r="BL26" s="42">
        <v>48</v>
      </c>
      <c r="BM26" s="38">
        <v>71</v>
      </c>
      <c r="BN26" s="39">
        <v>276</v>
      </c>
      <c r="BO26" s="42">
        <v>205</v>
      </c>
      <c r="BP26" s="38">
        <v>144</v>
      </c>
      <c r="BQ26" s="39">
        <v>84</v>
      </c>
      <c r="BR26" s="42">
        <v>-60</v>
      </c>
      <c r="BS26" s="38">
        <v>218</v>
      </c>
      <c r="BT26" s="39">
        <v>31</v>
      </c>
      <c r="BU26" s="42">
        <v>-187</v>
      </c>
      <c r="BV26" s="38">
        <v>284</v>
      </c>
      <c r="BW26" s="39">
        <v>122</v>
      </c>
      <c r="BX26" s="42">
        <v>-162</v>
      </c>
      <c r="BY26" s="38">
        <v>468</v>
      </c>
      <c r="BZ26" s="39">
        <v>258</v>
      </c>
      <c r="CA26" s="42">
        <v>-210</v>
      </c>
      <c r="CB26" s="38">
        <v>185</v>
      </c>
      <c r="CC26" s="39">
        <v>183</v>
      </c>
      <c r="CD26" s="42">
        <v>-2</v>
      </c>
      <c r="CE26" s="38">
        <v>983</v>
      </c>
      <c r="CF26" s="39">
        <v>67</v>
      </c>
      <c r="CG26" s="42">
        <v>-916</v>
      </c>
      <c r="CH26" s="38">
        <v>1023</v>
      </c>
      <c r="CI26" s="39">
        <v>245</v>
      </c>
      <c r="CJ26" s="42">
        <v>-778</v>
      </c>
      <c r="CK26" s="38">
        <v>1147</v>
      </c>
      <c r="CL26" s="39">
        <v>105</v>
      </c>
      <c r="CM26" s="42">
        <v>-1042</v>
      </c>
      <c r="CN26" s="38">
        <v>149</v>
      </c>
      <c r="CO26" s="39">
        <v>105</v>
      </c>
      <c r="CP26" s="42">
        <v>-44</v>
      </c>
      <c r="CQ26" s="38">
        <v>659</v>
      </c>
      <c r="CR26" s="39">
        <v>162</v>
      </c>
      <c r="CS26" s="42">
        <v>-497</v>
      </c>
      <c r="CT26" s="38">
        <v>578</v>
      </c>
      <c r="CU26" s="39">
        <v>255</v>
      </c>
      <c r="CV26" s="42">
        <v>-323</v>
      </c>
      <c r="CW26" s="38">
        <v>57</v>
      </c>
      <c r="CX26" s="39">
        <v>300</v>
      </c>
      <c r="CY26" s="42">
        <v>243</v>
      </c>
      <c r="CZ26" s="38">
        <v>89</v>
      </c>
      <c r="DA26" s="39">
        <v>1923</v>
      </c>
      <c r="DB26" s="42">
        <v>1834</v>
      </c>
      <c r="DC26" s="38">
        <v>419</v>
      </c>
      <c r="DD26" s="39">
        <v>3060</v>
      </c>
      <c r="DE26" s="42">
        <v>2641</v>
      </c>
      <c r="DF26" s="38">
        <v>222</v>
      </c>
      <c r="DG26" s="39">
        <v>5430</v>
      </c>
      <c r="DH26" s="42">
        <v>5208</v>
      </c>
      <c r="DI26" s="38">
        <v>449</v>
      </c>
      <c r="DJ26" s="39">
        <v>21817</v>
      </c>
      <c r="DK26" s="42">
        <v>21368</v>
      </c>
      <c r="DL26" s="38">
        <v>513</v>
      </c>
      <c r="DM26" s="39">
        <v>14919</v>
      </c>
      <c r="DN26" s="42">
        <v>14406</v>
      </c>
      <c r="DO26" s="38">
        <v>503</v>
      </c>
      <c r="DP26" s="39">
        <v>8399</v>
      </c>
      <c r="DQ26" s="42">
        <v>7896</v>
      </c>
      <c r="DR26" s="38">
        <v>9820</v>
      </c>
      <c r="DS26" s="39">
        <v>19723</v>
      </c>
      <c r="DT26" s="42">
        <v>9903</v>
      </c>
      <c r="DU26" s="38">
        <v>1861</v>
      </c>
      <c r="DV26" s="39">
        <v>10354</v>
      </c>
      <c r="DW26" s="42">
        <v>8493</v>
      </c>
      <c r="DX26" s="38">
        <v>3428</v>
      </c>
      <c r="DY26" s="39">
        <v>22443</v>
      </c>
      <c r="DZ26" s="42">
        <v>19015</v>
      </c>
      <c r="EA26" s="38">
        <v>2945</v>
      </c>
      <c r="EB26" s="39">
        <v>30178</v>
      </c>
      <c r="EC26" s="42">
        <v>27233</v>
      </c>
      <c r="ED26" s="38">
        <v>4544</v>
      </c>
      <c r="EE26" s="39">
        <v>2446</v>
      </c>
      <c r="EF26" s="42">
        <v>-2098</v>
      </c>
      <c r="EG26" s="38">
        <v>18542</v>
      </c>
      <c r="EH26" s="39">
        <v>21514</v>
      </c>
      <c r="EI26" s="42">
        <v>2972</v>
      </c>
      <c r="EJ26" s="38">
        <v>14138</v>
      </c>
      <c r="EK26" s="39">
        <v>58208</v>
      </c>
      <c r="EL26" s="42">
        <v>44070</v>
      </c>
      <c r="EM26" s="38">
        <v>17607</v>
      </c>
      <c r="EN26" s="39">
        <v>56176</v>
      </c>
      <c r="EO26" s="42">
        <v>38569</v>
      </c>
      <c r="EP26" s="364">
        <v>17607</v>
      </c>
      <c r="EQ26" s="365">
        <v>56176</v>
      </c>
      <c r="ER26" s="366">
        <v>38569</v>
      </c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</row>
    <row r="27" spans="1:199">
      <c r="A27" s="327" t="s">
        <v>671</v>
      </c>
      <c r="B27" s="38">
        <v>250.77978789769182</v>
      </c>
      <c r="C27" s="39">
        <v>1375.6589450619831</v>
      </c>
      <c r="D27" s="42">
        <v>1124.8791571642912</v>
      </c>
      <c r="E27" s="38">
        <v>244.54148471615721</v>
      </c>
      <c r="F27" s="39">
        <v>1460.411224213547</v>
      </c>
      <c r="G27" s="42">
        <v>1215.8697394973899</v>
      </c>
      <c r="H27" s="361">
        <v>228.32189644416718</v>
      </c>
      <c r="I27" s="361">
        <v>1481.9504020825807</v>
      </c>
      <c r="J27" s="42">
        <v>1253.6285056384136</v>
      </c>
      <c r="K27" s="360">
        <v>276.98066126013725</v>
      </c>
      <c r="L27" s="361">
        <v>1629.424018135297</v>
      </c>
      <c r="M27" s="42">
        <v>1352.4433568751597</v>
      </c>
      <c r="N27" s="361">
        <v>103.55583281347474</v>
      </c>
      <c r="O27" s="361">
        <v>1074.8745639766898</v>
      </c>
      <c r="P27" s="42">
        <v>971.31873116321515</v>
      </c>
      <c r="Q27" s="360">
        <v>112.28945726762321</v>
      </c>
      <c r="R27" s="361">
        <v>1327.8512034457881</v>
      </c>
      <c r="S27" s="42">
        <v>1215.5617461781649</v>
      </c>
      <c r="T27" s="360">
        <v>163.4435433562071</v>
      </c>
      <c r="U27" s="361">
        <v>1391.3900145231796</v>
      </c>
      <c r="V27" s="42">
        <v>1227.9464711669725</v>
      </c>
      <c r="W27" s="361">
        <v>219.58827199001871</v>
      </c>
      <c r="X27" s="361">
        <v>1649.9388737438651</v>
      </c>
      <c r="Y27" s="42">
        <v>1430.3506017538464</v>
      </c>
      <c r="Z27" s="38">
        <v>197.13038053649407</v>
      </c>
      <c r="AA27" s="39">
        <v>2019.927029297095</v>
      </c>
      <c r="AB27" s="42">
        <v>1822.7966487606009</v>
      </c>
      <c r="AC27" s="38">
        <v>175.92014971927637</v>
      </c>
      <c r="AD27" s="39">
        <v>2608.8609330080762</v>
      </c>
      <c r="AE27" s="42">
        <v>2432.9407832888</v>
      </c>
      <c r="AF27" s="38">
        <v>163.4435433562071</v>
      </c>
      <c r="AG27" s="39">
        <v>2713.840640382376</v>
      </c>
      <c r="AH27" s="42">
        <v>2550.3970970261689</v>
      </c>
      <c r="AI27" s="38">
        <v>343.10667498440426</v>
      </c>
      <c r="AJ27" s="39">
        <v>3169.0638821328016</v>
      </c>
      <c r="AK27" s="42">
        <v>2825.9572071483972</v>
      </c>
      <c r="AL27" s="38">
        <v>371.80286961946354</v>
      </c>
      <c r="AM27" s="39">
        <v>3235.2070147273689</v>
      </c>
      <c r="AN27" s="42">
        <v>2863.4041451079056</v>
      </c>
      <c r="AO27" s="38">
        <v>378.04117280099814</v>
      </c>
      <c r="AP27" s="39">
        <v>2926.085874436425</v>
      </c>
      <c r="AQ27" s="42">
        <v>2548.0447016354269</v>
      </c>
      <c r="AR27" s="38">
        <v>316.90580162195886</v>
      </c>
      <c r="AS27" s="39">
        <v>3245.5565015409447</v>
      </c>
      <c r="AT27" s="42">
        <v>2928.650699918986</v>
      </c>
      <c r="AU27" s="38">
        <v>497.8165938864629</v>
      </c>
      <c r="AV27" s="39">
        <v>4029.1280309453068</v>
      </c>
      <c r="AW27" s="42">
        <v>3531.3114370588437</v>
      </c>
      <c r="AX27" s="38">
        <v>504</v>
      </c>
      <c r="AY27" s="39">
        <v>4484</v>
      </c>
      <c r="AZ27" s="42">
        <v>3980</v>
      </c>
      <c r="BA27" s="38">
        <v>366</v>
      </c>
      <c r="BB27" s="39">
        <v>4919</v>
      </c>
      <c r="BC27" s="42">
        <v>4553</v>
      </c>
      <c r="BD27" s="38">
        <v>383</v>
      </c>
      <c r="BE27" s="39">
        <v>6146</v>
      </c>
      <c r="BF27" s="42">
        <v>5763</v>
      </c>
      <c r="BG27" s="38">
        <v>372</v>
      </c>
      <c r="BH27" s="39">
        <v>8182</v>
      </c>
      <c r="BI27" s="42">
        <v>7810</v>
      </c>
      <c r="BJ27" s="38">
        <v>480</v>
      </c>
      <c r="BK27" s="39">
        <v>9565</v>
      </c>
      <c r="BL27" s="42">
        <v>9085</v>
      </c>
      <c r="BM27" s="38">
        <v>667</v>
      </c>
      <c r="BN27" s="39">
        <v>12688</v>
      </c>
      <c r="BO27" s="42">
        <v>12021</v>
      </c>
      <c r="BP27" s="38">
        <v>562</v>
      </c>
      <c r="BQ27" s="39">
        <v>15181</v>
      </c>
      <c r="BR27" s="42">
        <v>14619</v>
      </c>
      <c r="BS27" s="38">
        <v>692</v>
      </c>
      <c r="BT27" s="39">
        <v>19901</v>
      </c>
      <c r="BU27" s="42">
        <v>19209</v>
      </c>
      <c r="BV27" s="38">
        <v>739</v>
      </c>
      <c r="BW27" s="39">
        <v>24786</v>
      </c>
      <c r="BX27" s="42">
        <v>24047</v>
      </c>
      <c r="BY27" s="38">
        <v>1090</v>
      </c>
      <c r="BZ27" s="39">
        <v>28418</v>
      </c>
      <c r="CA27" s="42">
        <v>27328</v>
      </c>
      <c r="CB27" s="38">
        <v>953</v>
      </c>
      <c r="CC27" s="39">
        <v>30241</v>
      </c>
      <c r="CD27" s="42">
        <v>29288</v>
      </c>
      <c r="CE27" s="38">
        <v>917</v>
      </c>
      <c r="CF27" s="39">
        <v>30533</v>
      </c>
      <c r="CG27" s="42">
        <v>29616</v>
      </c>
      <c r="CH27" s="38">
        <v>1366</v>
      </c>
      <c r="CI27" s="39">
        <v>30718</v>
      </c>
      <c r="CJ27" s="42">
        <v>29352</v>
      </c>
      <c r="CK27" s="38">
        <v>2329.2280000000001</v>
      </c>
      <c r="CL27" s="39">
        <v>46839.923999999999</v>
      </c>
      <c r="CM27" s="42">
        <v>44510.695999999996</v>
      </c>
      <c r="CN27" s="38">
        <v>3586</v>
      </c>
      <c r="CO27" s="39">
        <v>76209</v>
      </c>
      <c r="CP27" s="42">
        <v>72623</v>
      </c>
      <c r="CQ27" s="38">
        <v>2377</v>
      </c>
      <c r="CR27" s="39">
        <v>124082</v>
      </c>
      <c r="CS27" s="42">
        <v>121705</v>
      </c>
      <c r="CT27" s="38">
        <v>1481</v>
      </c>
      <c r="CU27" s="39">
        <v>151917</v>
      </c>
      <c r="CV27" s="42">
        <v>150436</v>
      </c>
      <c r="CW27" s="38">
        <v>1831</v>
      </c>
      <c r="CX27" s="39">
        <v>180214</v>
      </c>
      <c r="CY27" s="42">
        <v>178383</v>
      </c>
      <c r="CZ27" s="38">
        <v>3086</v>
      </c>
      <c r="DA27" s="39">
        <v>216254</v>
      </c>
      <c r="DB27" s="42">
        <v>213168</v>
      </c>
      <c r="DC27" s="38">
        <v>7658</v>
      </c>
      <c r="DD27" s="39">
        <v>247222</v>
      </c>
      <c r="DE27" s="42">
        <v>239564</v>
      </c>
      <c r="DF27" s="38">
        <v>11764</v>
      </c>
      <c r="DG27" s="39">
        <v>326858</v>
      </c>
      <c r="DH27" s="42">
        <v>315094</v>
      </c>
      <c r="DI27" s="38">
        <v>13926</v>
      </c>
      <c r="DJ27" s="39">
        <v>372244</v>
      </c>
      <c r="DK27" s="42">
        <v>358318</v>
      </c>
      <c r="DL27" s="38">
        <v>16840</v>
      </c>
      <c r="DM27" s="39">
        <v>412459</v>
      </c>
      <c r="DN27" s="42">
        <v>395619</v>
      </c>
      <c r="DO27" s="38">
        <v>27123</v>
      </c>
      <c r="DP27" s="39">
        <v>507046</v>
      </c>
      <c r="DQ27" s="42">
        <v>479923</v>
      </c>
      <c r="DR27" s="38">
        <v>20481</v>
      </c>
      <c r="DS27" s="39">
        <v>541075</v>
      </c>
      <c r="DT27" s="42">
        <v>520594</v>
      </c>
      <c r="DU27" s="38">
        <v>27229</v>
      </c>
      <c r="DV27" s="39">
        <v>615161</v>
      </c>
      <c r="DW27" s="42">
        <v>587932</v>
      </c>
      <c r="DX27" s="38">
        <v>37112</v>
      </c>
      <c r="DY27" s="39">
        <v>675420</v>
      </c>
      <c r="DZ27" s="42">
        <v>638308</v>
      </c>
      <c r="EA27" s="38">
        <v>52647</v>
      </c>
      <c r="EB27" s="39">
        <v>718835</v>
      </c>
      <c r="EC27" s="42">
        <v>666188</v>
      </c>
      <c r="ED27" s="38">
        <v>55965</v>
      </c>
      <c r="EE27" s="39">
        <v>697491</v>
      </c>
      <c r="EF27" s="42">
        <v>641526</v>
      </c>
      <c r="EG27" s="38">
        <v>80901</v>
      </c>
      <c r="EH27" s="39">
        <v>695996</v>
      </c>
      <c r="EI27" s="42">
        <v>615095</v>
      </c>
      <c r="EJ27" s="38">
        <v>69370</v>
      </c>
      <c r="EK27" s="39">
        <v>643806</v>
      </c>
      <c r="EL27" s="42">
        <v>574436</v>
      </c>
      <c r="EM27" s="38">
        <v>74235</v>
      </c>
      <c r="EN27" s="39">
        <v>584143</v>
      </c>
      <c r="EO27" s="42">
        <v>509908</v>
      </c>
      <c r="EP27" s="364">
        <v>74235</v>
      </c>
      <c r="EQ27" s="365">
        <v>584143</v>
      </c>
      <c r="ER27" s="366">
        <v>509908</v>
      </c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</row>
    <row r="28" spans="1:199">
      <c r="A28" s="327" t="s">
        <v>672</v>
      </c>
      <c r="B28" s="375" t="s">
        <v>640</v>
      </c>
      <c r="C28" s="51" t="s">
        <v>640</v>
      </c>
      <c r="D28" s="52" t="s">
        <v>640</v>
      </c>
      <c r="E28" s="375" t="s">
        <v>640</v>
      </c>
      <c r="F28" s="51" t="s">
        <v>640</v>
      </c>
      <c r="G28" s="52" t="s">
        <v>640</v>
      </c>
      <c r="H28" s="376" t="s">
        <v>640</v>
      </c>
      <c r="I28" s="376" t="s">
        <v>640</v>
      </c>
      <c r="J28" s="52" t="s">
        <v>640</v>
      </c>
      <c r="K28" s="377" t="s">
        <v>640</v>
      </c>
      <c r="L28" s="376" t="s">
        <v>640</v>
      </c>
      <c r="M28" s="52" t="s">
        <v>640</v>
      </c>
      <c r="N28" s="376" t="s">
        <v>640</v>
      </c>
      <c r="O28" s="376" t="s">
        <v>640</v>
      </c>
      <c r="P28" s="52" t="s">
        <v>640</v>
      </c>
      <c r="Q28" s="377" t="s">
        <v>640</v>
      </c>
      <c r="R28" s="376" t="s">
        <v>640</v>
      </c>
      <c r="S28" s="52" t="s">
        <v>640</v>
      </c>
      <c r="T28" s="377" t="s">
        <v>640</v>
      </c>
      <c r="U28" s="376" t="s">
        <v>640</v>
      </c>
      <c r="V28" s="52" t="s">
        <v>640</v>
      </c>
      <c r="W28" s="376" t="s">
        <v>640</v>
      </c>
      <c r="X28" s="376" t="s">
        <v>640</v>
      </c>
      <c r="Y28" s="52" t="s">
        <v>640</v>
      </c>
      <c r="Z28" s="375" t="s">
        <v>640</v>
      </c>
      <c r="AA28" s="51" t="s">
        <v>640</v>
      </c>
      <c r="AB28" s="52" t="s">
        <v>640</v>
      </c>
      <c r="AC28" s="375" t="s">
        <v>640</v>
      </c>
      <c r="AD28" s="51" t="s">
        <v>640</v>
      </c>
      <c r="AE28" s="52" t="s">
        <v>640</v>
      </c>
      <c r="AF28" s="375" t="s">
        <v>640</v>
      </c>
      <c r="AG28" s="51" t="s">
        <v>640</v>
      </c>
      <c r="AH28" s="52" t="s">
        <v>640</v>
      </c>
      <c r="AI28" s="375" t="s">
        <v>640</v>
      </c>
      <c r="AJ28" s="51" t="s">
        <v>640</v>
      </c>
      <c r="AK28" s="52" t="s">
        <v>640</v>
      </c>
      <c r="AL28" s="375" t="s">
        <v>640</v>
      </c>
      <c r="AM28" s="51" t="s">
        <v>640</v>
      </c>
      <c r="AN28" s="52" t="s">
        <v>640</v>
      </c>
      <c r="AO28" s="375" t="s">
        <v>640</v>
      </c>
      <c r="AP28" s="51" t="s">
        <v>640</v>
      </c>
      <c r="AQ28" s="52" t="s">
        <v>640</v>
      </c>
      <c r="AR28" s="375" t="s">
        <v>640</v>
      </c>
      <c r="AS28" s="51" t="s">
        <v>640</v>
      </c>
      <c r="AT28" s="52" t="s">
        <v>640</v>
      </c>
      <c r="AU28" s="375" t="s">
        <v>640</v>
      </c>
      <c r="AV28" s="51" t="s">
        <v>640</v>
      </c>
      <c r="AW28" s="52" t="s">
        <v>640</v>
      </c>
      <c r="AX28" s="375" t="s">
        <v>640</v>
      </c>
      <c r="AY28" s="51" t="s">
        <v>640</v>
      </c>
      <c r="AZ28" s="52" t="s">
        <v>640</v>
      </c>
      <c r="BA28" s="375" t="s">
        <v>640</v>
      </c>
      <c r="BB28" s="51" t="s">
        <v>640</v>
      </c>
      <c r="BC28" s="52" t="s">
        <v>640</v>
      </c>
      <c r="BD28" s="375" t="s">
        <v>640</v>
      </c>
      <c r="BE28" s="51" t="s">
        <v>640</v>
      </c>
      <c r="BF28" s="52" t="s">
        <v>640</v>
      </c>
      <c r="BG28" s="375" t="s">
        <v>640</v>
      </c>
      <c r="BH28" s="51" t="s">
        <v>640</v>
      </c>
      <c r="BI28" s="52" t="s">
        <v>640</v>
      </c>
      <c r="BJ28" s="375" t="s">
        <v>640</v>
      </c>
      <c r="BK28" s="51" t="s">
        <v>640</v>
      </c>
      <c r="BL28" s="52" t="s">
        <v>640</v>
      </c>
      <c r="BM28" s="375" t="s">
        <v>640</v>
      </c>
      <c r="BN28" s="51" t="s">
        <v>640</v>
      </c>
      <c r="BO28" s="52" t="s">
        <v>640</v>
      </c>
      <c r="BP28" s="375" t="s">
        <v>640</v>
      </c>
      <c r="BQ28" s="51" t="s">
        <v>640</v>
      </c>
      <c r="BR28" s="52" t="s">
        <v>640</v>
      </c>
      <c r="BS28" s="375" t="s">
        <v>640</v>
      </c>
      <c r="BT28" s="51" t="s">
        <v>640</v>
      </c>
      <c r="BU28" s="52" t="s">
        <v>640</v>
      </c>
      <c r="BV28" s="375" t="s">
        <v>640</v>
      </c>
      <c r="BW28" s="51" t="s">
        <v>640</v>
      </c>
      <c r="BX28" s="52" t="s">
        <v>640</v>
      </c>
      <c r="BY28" s="375" t="s">
        <v>640</v>
      </c>
      <c r="BZ28" s="51" t="s">
        <v>640</v>
      </c>
      <c r="CA28" s="52" t="s">
        <v>640</v>
      </c>
      <c r="CB28" s="375" t="s">
        <v>640</v>
      </c>
      <c r="CC28" s="51" t="s">
        <v>640</v>
      </c>
      <c r="CD28" s="52" t="s">
        <v>640</v>
      </c>
      <c r="CE28" s="375" t="s">
        <v>640</v>
      </c>
      <c r="CF28" s="39">
        <v>20975</v>
      </c>
      <c r="CG28" s="52" t="s">
        <v>640</v>
      </c>
      <c r="CH28" s="375" t="s">
        <v>640</v>
      </c>
      <c r="CI28" s="39">
        <v>27623</v>
      </c>
      <c r="CJ28" s="52" t="s">
        <v>640</v>
      </c>
      <c r="CK28" s="375" t="s">
        <v>640</v>
      </c>
      <c r="CL28" s="39">
        <v>44972</v>
      </c>
      <c r="CM28" s="52" t="s">
        <v>640</v>
      </c>
      <c r="CN28" s="375" t="s">
        <v>640</v>
      </c>
      <c r="CO28" s="39">
        <v>74120</v>
      </c>
      <c r="CP28" s="52" t="s">
        <v>640</v>
      </c>
      <c r="CQ28" s="375" t="s">
        <v>640</v>
      </c>
      <c r="CR28" s="39">
        <v>120175</v>
      </c>
      <c r="CS28" s="52" t="s">
        <v>640</v>
      </c>
      <c r="CT28" s="375" t="s">
        <v>640</v>
      </c>
      <c r="CU28" s="39">
        <v>146589</v>
      </c>
      <c r="CV28" s="52" t="s">
        <v>640</v>
      </c>
      <c r="CW28" s="375" t="s">
        <v>640</v>
      </c>
      <c r="CX28" s="39">
        <v>175126</v>
      </c>
      <c r="CY28" s="52" t="s">
        <v>640</v>
      </c>
      <c r="CZ28" s="375" t="s">
        <v>640</v>
      </c>
      <c r="DA28" s="39">
        <v>208380</v>
      </c>
      <c r="DB28" s="52" t="s">
        <v>640</v>
      </c>
      <c r="DC28" s="375" t="s">
        <v>640</v>
      </c>
      <c r="DD28" s="39">
        <v>239377</v>
      </c>
      <c r="DE28" s="52" t="s">
        <v>640</v>
      </c>
      <c r="DF28" s="375" t="s">
        <v>640</v>
      </c>
      <c r="DG28" s="39">
        <v>316698</v>
      </c>
      <c r="DH28" s="52" t="s">
        <v>640</v>
      </c>
      <c r="DI28" s="375" t="s">
        <v>640</v>
      </c>
      <c r="DJ28" s="39">
        <v>353665</v>
      </c>
      <c r="DK28" s="52" t="s">
        <v>640</v>
      </c>
      <c r="DL28" s="375" t="s">
        <v>640</v>
      </c>
      <c r="DM28" s="39">
        <v>385122</v>
      </c>
      <c r="DN28" s="52" t="s">
        <v>640</v>
      </c>
      <c r="DO28" s="375" t="s">
        <v>640</v>
      </c>
      <c r="DP28" s="39">
        <v>458941</v>
      </c>
      <c r="DQ28" s="52" t="s">
        <v>640</v>
      </c>
      <c r="DR28" s="375" t="s">
        <v>640</v>
      </c>
      <c r="DS28" s="39">
        <v>488878</v>
      </c>
      <c r="DT28" s="52" t="s">
        <v>640</v>
      </c>
      <c r="DU28" s="375" t="s">
        <v>640</v>
      </c>
      <c r="DV28" s="39">
        <v>561919</v>
      </c>
      <c r="DW28" s="52" t="s">
        <v>640</v>
      </c>
      <c r="DX28" s="375" t="s">
        <v>640</v>
      </c>
      <c r="DY28" s="39">
        <v>603734</v>
      </c>
      <c r="DZ28" s="52" t="s">
        <v>640</v>
      </c>
      <c r="EA28" s="375" t="s">
        <v>640</v>
      </c>
      <c r="EB28" s="39">
        <v>655077</v>
      </c>
      <c r="EC28" s="52" t="s">
        <v>640</v>
      </c>
      <c r="ED28" s="375" t="s">
        <v>640</v>
      </c>
      <c r="EE28" s="39">
        <v>622786</v>
      </c>
      <c r="EF28" s="52" t="s">
        <v>640</v>
      </c>
      <c r="EG28" s="38">
        <v>64777</v>
      </c>
      <c r="EH28" s="39">
        <v>672145</v>
      </c>
      <c r="EI28" s="42">
        <v>607368</v>
      </c>
      <c r="EJ28" s="38">
        <v>52988</v>
      </c>
      <c r="EK28" s="39">
        <v>606548</v>
      </c>
      <c r="EL28" s="42">
        <v>553560</v>
      </c>
      <c r="EM28" s="38">
        <v>67014</v>
      </c>
      <c r="EN28" s="39">
        <v>572075</v>
      </c>
      <c r="EO28" s="42">
        <v>505061</v>
      </c>
      <c r="EP28" s="364">
        <v>67014</v>
      </c>
      <c r="EQ28" s="365">
        <v>572075</v>
      </c>
      <c r="ER28" s="366">
        <v>505061</v>
      </c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</row>
    <row r="29" spans="1:199">
      <c r="A29" s="327" t="s">
        <v>670</v>
      </c>
      <c r="B29" s="375" t="s">
        <v>640</v>
      </c>
      <c r="C29" s="51" t="s">
        <v>640</v>
      </c>
      <c r="D29" s="52" t="s">
        <v>640</v>
      </c>
      <c r="E29" s="375" t="s">
        <v>640</v>
      </c>
      <c r="F29" s="51" t="s">
        <v>640</v>
      </c>
      <c r="G29" s="52" t="s">
        <v>640</v>
      </c>
      <c r="H29" s="376" t="s">
        <v>640</v>
      </c>
      <c r="I29" s="376" t="s">
        <v>640</v>
      </c>
      <c r="J29" s="52" t="s">
        <v>640</v>
      </c>
      <c r="K29" s="377" t="s">
        <v>640</v>
      </c>
      <c r="L29" s="376" t="s">
        <v>640</v>
      </c>
      <c r="M29" s="52" t="s">
        <v>640</v>
      </c>
      <c r="N29" s="376" t="s">
        <v>640</v>
      </c>
      <c r="O29" s="376" t="s">
        <v>640</v>
      </c>
      <c r="P29" s="52" t="s">
        <v>640</v>
      </c>
      <c r="Q29" s="377" t="s">
        <v>640</v>
      </c>
      <c r="R29" s="376" t="s">
        <v>640</v>
      </c>
      <c r="S29" s="52" t="s">
        <v>640</v>
      </c>
      <c r="T29" s="377" t="s">
        <v>640</v>
      </c>
      <c r="U29" s="376" t="s">
        <v>640</v>
      </c>
      <c r="V29" s="52" t="s">
        <v>640</v>
      </c>
      <c r="W29" s="376" t="s">
        <v>640</v>
      </c>
      <c r="X29" s="376" t="s">
        <v>640</v>
      </c>
      <c r="Y29" s="52" t="s">
        <v>640</v>
      </c>
      <c r="Z29" s="375" t="s">
        <v>640</v>
      </c>
      <c r="AA29" s="51" t="s">
        <v>640</v>
      </c>
      <c r="AB29" s="52" t="s">
        <v>640</v>
      </c>
      <c r="AC29" s="375" t="s">
        <v>640</v>
      </c>
      <c r="AD29" s="51" t="s">
        <v>640</v>
      </c>
      <c r="AE29" s="52" t="s">
        <v>640</v>
      </c>
      <c r="AF29" s="375" t="s">
        <v>640</v>
      </c>
      <c r="AG29" s="51" t="s">
        <v>640</v>
      </c>
      <c r="AH29" s="52" t="s">
        <v>640</v>
      </c>
      <c r="AI29" s="375" t="s">
        <v>640</v>
      </c>
      <c r="AJ29" s="51" t="s">
        <v>640</v>
      </c>
      <c r="AK29" s="52" t="s">
        <v>640</v>
      </c>
      <c r="AL29" s="375" t="s">
        <v>640</v>
      </c>
      <c r="AM29" s="51" t="s">
        <v>640</v>
      </c>
      <c r="AN29" s="52" t="s">
        <v>640</v>
      </c>
      <c r="AO29" s="375" t="s">
        <v>640</v>
      </c>
      <c r="AP29" s="51" t="s">
        <v>640</v>
      </c>
      <c r="AQ29" s="52" t="s">
        <v>640</v>
      </c>
      <c r="AR29" s="375" t="s">
        <v>640</v>
      </c>
      <c r="AS29" s="51" t="s">
        <v>640</v>
      </c>
      <c r="AT29" s="52" t="s">
        <v>640</v>
      </c>
      <c r="AU29" s="375" t="s">
        <v>640</v>
      </c>
      <c r="AV29" s="51" t="s">
        <v>640</v>
      </c>
      <c r="AW29" s="52" t="s">
        <v>640</v>
      </c>
      <c r="AX29" s="375" t="s">
        <v>640</v>
      </c>
      <c r="AY29" s="51" t="s">
        <v>640</v>
      </c>
      <c r="AZ29" s="52" t="s">
        <v>640</v>
      </c>
      <c r="BA29" s="375" t="s">
        <v>640</v>
      </c>
      <c r="BB29" s="51" t="s">
        <v>640</v>
      </c>
      <c r="BC29" s="52" t="s">
        <v>640</v>
      </c>
      <c r="BD29" s="375" t="s">
        <v>640</v>
      </c>
      <c r="BE29" s="51" t="s">
        <v>640</v>
      </c>
      <c r="BF29" s="52" t="s">
        <v>640</v>
      </c>
      <c r="BG29" s="375" t="s">
        <v>640</v>
      </c>
      <c r="BH29" s="51" t="s">
        <v>640</v>
      </c>
      <c r="BI29" s="52" t="s">
        <v>640</v>
      </c>
      <c r="BJ29" s="375" t="s">
        <v>640</v>
      </c>
      <c r="BK29" s="51" t="s">
        <v>640</v>
      </c>
      <c r="BL29" s="52" t="s">
        <v>640</v>
      </c>
      <c r="BM29" s="375" t="s">
        <v>640</v>
      </c>
      <c r="BN29" s="51" t="s">
        <v>640</v>
      </c>
      <c r="BO29" s="52" t="s">
        <v>640</v>
      </c>
      <c r="BP29" s="375" t="s">
        <v>640</v>
      </c>
      <c r="BQ29" s="51" t="s">
        <v>640</v>
      </c>
      <c r="BR29" s="52" t="s">
        <v>640</v>
      </c>
      <c r="BS29" s="375" t="s">
        <v>640</v>
      </c>
      <c r="BT29" s="51" t="s">
        <v>640</v>
      </c>
      <c r="BU29" s="52" t="s">
        <v>640</v>
      </c>
      <c r="BV29" s="375" t="s">
        <v>640</v>
      </c>
      <c r="BW29" s="51" t="s">
        <v>640</v>
      </c>
      <c r="BX29" s="52" t="s">
        <v>640</v>
      </c>
      <c r="BY29" s="375" t="s">
        <v>640</v>
      </c>
      <c r="BZ29" s="51" t="s">
        <v>640</v>
      </c>
      <c r="CA29" s="52" t="s">
        <v>640</v>
      </c>
      <c r="CB29" s="375" t="s">
        <v>640</v>
      </c>
      <c r="CC29" s="51" t="s">
        <v>640</v>
      </c>
      <c r="CD29" s="52" t="s">
        <v>640</v>
      </c>
      <c r="CE29" s="375" t="s">
        <v>640</v>
      </c>
      <c r="CF29" s="39">
        <v>9558</v>
      </c>
      <c r="CG29" s="52" t="s">
        <v>640</v>
      </c>
      <c r="CH29" s="375" t="s">
        <v>640</v>
      </c>
      <c r="CI29" s="39">
        <v>3095</v>
      </c>
      <c r="CJ29" s="52" t="s">
        <v>640</v>
      </c>
      <c r="CK29" s="375" t="s">
        <v>640</v>
      </c>
      <c r="CL29" s="39">
        <v>1867.924</v>
      </c>
      <c r="CM29" s="52" t="s">
        <v>640</v>
      </c>
      <c r="CN29" s="375" t="s">
        <v>640</v>
      </c>
      <c r="CO29" s="39">
        <v>2089</v>
      </c>
      <c r="CP29" s="52" t="s">
        <v>640</v>
      </c>
      <c r="CQ29" s="375" t="s">
        <v>640</v>
      </c>
      <c r="CR29" s="39">
        <v>3907</v>
      </c>
      <c r="CS29" s="52" t="s">
        <v>640</v>
      </c>
      <c r="CT29" s="375" t="s">
        <v>640</v>
      </c>
      <c r="CU29" s="39">
        <v>5328</v>
      </c>
      <c r="CV29" s="52" t="s">
        <v>640</v>
      </c>
      <c r="CW29" s="375" t="s">
        <v>640</v>
      </c>
      <c r="CX29" s="39">
        <v>5088</v>
      </c>
      <c r="CY29" s="52" t="s">
        <v>640</v>
      </c>
      <c r="CZ29" s="375" t="s">
        <v>640</v>
      </c>
      <c r="DA29" s="39">
        <v>7874</v>
      </c>
      <c r="DB29" s="52" t="s">
        <v>640</v>
      </c>
      <c r="DC29" s="375" t="s">
        <v>640</v>
      </c>
      <c r="DD29" s="39">
        <v>7845</v>
      </c>
      <c r="DE29" s="52" t="s">
        <v>640</v>
      </c>
      <c r="DF29" s="375" t="s">
        <v>640</v>
      </c>
      <c r="DG29" s="39">
        <v>10160</v>
      </c>
      <c r="DH29" s="52" t="s">
        <v>640</v>
      </c>
      <c r="DI29" s="375" t="s">
        <v>640</v>
      </c>
      <c r="DJ29" s="39">
        <v>18579</v>
      </c>
      <c r="DK29" s="52" t="s">
        <v>640</v>
      </c>
      <c r="DL29" s="375" t="s">
        <v>640</v>
      </c>
      <c r="DM29" s="39">
        <v>27337</v>
      </c>
      <c r="DN29" s="52" t="s">
        <v>640</v>
      </c>
      <c r="DO29" s="375" t="s">
        <v>640</v>
      </c>
      <c r="DP29" s="39">
        <v>48105</v>
      </c>
      <c r="DQ29" s="52" t="s">
        <v>640</v>
      </c>
      <c r="DR29" s="375" t="s">
        <v>640</v>
      </c>
      <c r="DS29" s="39">
        <v>52197</v>
      </c>
      <c r="DT29" s="52" t="s">
        <v>640</v>
      </c>
      <c r="DU29" s="375" t="s">
        <v>640</v>
      </c>
      <c r="DV29" s="39">
        <v>53242</v>
      </c>
      <c r="DW29" s="52" t="s">
        <v>640</v>
      </c>
      <c r="DX29" s="375" t="s">
        <v>640</v>
      </c>
      <c r="DY29" s="39">
        <v>71686</v>
      </c>
      <c r="DZ29" s="52" t="s">
        <v>640</v>
      </c>
      <c r="EA29" s="375" t="s">
        <v>640</v>
      </c>
      <c r="EB29" s="39">
        <v>63758</v>
      </c>
      <c r="EC29" s="52" t="s">
        <v>640</v>
      </c>
      <c r="ED29" s="375" t="s">
        <v>640</v>
      </c>
      <c r="EE29" s="39">
        <v>74705</v>
      </c>
      <c r="EF29" s="52" t="s">
        <v>640</v>
      </c>
      <c r="EG29" s="38">
        <v>16124</v>
      </c>
      <c r="EH29" s="39">
        <v>23851</v>
      </c>
      <c r="EI29" s="42">
        <v>7727</v>
      </c>
      <c r="EJ29" s="38">
        <v>16382</v>
      </c>
      <c r="EK29" s="39">
        <v>37258</v>
      </c>
      <c r="EL29" s="42">
        <v>20876</v>
      </c>
      <c r="EM29" s="38">
        <v>7221</v>
      </c>
      <c r="EN29" s="39">
        <v>12068</v>
      </c>
      <c r="EO29" s="42">
        <v>4847</v>
      </c>
      <c r="EP29" s="364">
        <v>7221</v>
      </c>
      <c r="EQ29" s="365">
        <v>12068</v>
      </c>
      <c r="ER29" s="366">
        <v>4847</v>
      </c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</row>
    <row r="30" spans="1:199">
      <c r="A30" s="327"/>
      <c r="B30" s="38"/>
      <c r="C30" s="39"/>
      <c r="D30" s="42"/>
      <c r="E30" s="360"/>
      <c r="F30" s="361"/>
      <c r="G30" s="42"/>
      <c r="H30" s="361"/>
      <c r="I30" s="361"/>
      <c r="J30" s="42"/>
      <c r="K30" s="360"/>
      <c r="L30" s="361"/>
      <c r="M30" s="42"/>
      <c r="N30" s="361"/>
      <c r="O30" s="361"/>
      <c r="P30" s="42"/>
      <c r="Q30" s="360"/>
      <c r="R30" s="361"/>
      <c r="S30" s="42"/>
      <c r="T30" s="360"/>
      <c r="U30" s="361"/>
      <c r="V30" s="42"/>
      <c r="W30" s="361"/>
      <c r="X30" s="361"/>
      <c r="Y30" s="42"/>
      <c r="Z30" s="361"/>
      <c r="AA30" s="361"/>
      <c r="AB30" s="361"/>
      <c r="AC30" s="360"/>
      <c r="AD30" s="361"/>
      <c r="AE30" s="361"/>
      <c r="AF30" s="360"/>
      <c r="AG30" s="361"/>
      <c r="AH30" s="42"/>
      <c r="AI30" s="360"/>
      <c r="AJ30" s="361"/>
      <c r="AK30" s="42"/>
      <c r="AL30" s="360"/>
      <c r="AM30" s="361"/>
      <c r="AN30" s="42"/>
      <c r="AO30" s="360"/>
      <c r="AP30" s="361"/>
      <c r="AQ30" s="42"/>
      <c r="AR30" s="360"/>
      <c r="AS30" s="361"/>
      <c r="AT30" s="42"/>
      <c r="AU30" s="360"/>
      <c r="AV30" s="361"/>
      <c r="AW30" s="42"/>
      <c r="AX30" s="360"/>
      <c r="AY30" s="361"/>
      <c r="AZ30" s="42"/>
      <c r="BA30" s="360"/>
      <c r="BB30" s="361"/>
      <c r="BC30" s="42" t="s">
        <v>637</v>
      </c>
      <c r="BD30" s="360"/>
      <c r="BE30" s="361"/>
      <c r="BF30" s="42" t="s">
        <v>637</v>
      </c>
      <c r="BG30" s="360"/>
      <c r="BH30" s="361"/>
      <c r="BI30" s="42" t="s">
        <v>637</v>
      </c>
      <c r="BJ30" s="360"/>
      <c r="BK30" s="361"/>
      <c r="BL30" s="42" t="s">
        <v>637</v>
      </c>
      <c r="BM30" s="360"/>
      <c r="BN30" s="361"/>
      <c r="BO30" s="42" t="s">
        <v>637</v>
      </c>
      <c r="BP30" s="360"/>
      <c r="BQ30" s="361"/>
      <c r="BR30" s="42" t="s">
        <v>637</v>
      </c>
      <c r="BS30" s="360"/>
      <c r="BT30" s="361"/>
      <c r="BU30" s="42" t="s">
        <v>637</v>
      </c>
      <c r="BV30" s="360"/>
      <c r="BW30" s="361"/>
      <c r="BX30" s="42" t="s">
        <v>637</v>
      </c>
      <c r="BY30" s="360"/>
      <c r="BZ30" s="361"/>
      <c r="CA30" s="42" t="s">
        <v>637</v>
      </c>
      <c r="CB30" s="360"/>
      <c r="CC30" s="361"/>
      <c r="CD30" s="42" t="s">
        <v>637</v>
      </c>
      <c r="CE30" s="360"/>
      <c r="CF30" s="361"/>
      <c r="CG30" s="42" t="s">
        <v>637</v>
      </c>
      <c r="CH30" s="360"/>
      <c r="CI30" s="361"/>
      <c r="CJ30" s="42" t="s">
        <v>637</v>
      </c>
      <c r="CK30" s="360"/>
      <c r="CL30" s="361"/>
      <c r="CM30" s="42"/>
      <c r="CN30" s="360"/>
      <c r="CO30" s="361"/>
      <c r="CP30" s="42"/>
      <c r="CQ30" s="360"/>
      <c r="CR30" s="361"/>
      <c r="CS30" s="42"/>
      <c r="CT30" s="360"/>
      <c r="CU30" s="361"/>
      <c r="CV30" s="42"/>
      <c r="CW30" s="360"/>
      <c r="CX30" s="361"/>
      <c r="CY30" s="42"/>
      <c r="CZ30" s="360"/>
      <c r="DA30" s="361"/>
      <c r="DB30" s="42"/>
      <c r="DC30" s="360"/>
      <c r="DD30" s="361"/>
      <c r="DE30" s="42"/>
      <c r="DF30" s="360"/>
      <c r="DG30" s="361"/>
      <c r="DH30" s="42"/>
      <c r="DI30" s="360"/>
      <c r="DJ30" s="361"/>
      <c r="DK30" s="42"/>
      <c r="DL30" s="360"/>
      <c r="DM30" s="361"/>
      <c r="DN30" s="42"/>
      <c r="DO30" s="360"/>
      <c r="DP30" s="361"/>
      <c r="DQ30" s="42"/>
      <c r="DR30" s="360"/>
      <c r="DS30" s="361"/>
      <c r="DT30" s="42"/>
      <c r="DU30" s="360"/>
      <c r="DV30" s="361"/>
      <c r="DW30" s="42"/>
      <c r="DX30" s="360"/>
      <c r="DY30" s="361"/>
      <c r="DZ30" s="42"/>
      <c r="EA30" s="360"/>
      <c r="EB30" s="361"/>
      <c r="EC30" s="42"/>
      <c r="ED30" s="360"/>
      <c r="EE30" s="361"/>
      <c r="EF30" s="42"/>
      <c r="EG30" s="360"/>
      <c r="EH30" s="361"/>
      <c r="EI30" s="42"/>
      <c r="EJ30" s="360"/>
      <c r="EK30" s="361"/>
      <c r="EL30" s="42"/>
      <c r="EM30" s="360"/>
      <c r="EN30" s="361"/>
      <c r="EO30" s="42"/>
      <c r="EP30" s="378"/>
      <c r="EQ30" s="379"/>
      <c r="ER30" s="366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</row>
    <row r="31" spans="1:199" ht="8.25" customHeight="1" thickBot="1">
      <c r="A31" s="334"/>
      <c r="B31" s="55"/>
      <c r="C31" s="56"/>
      <c r="D31" s="57"/>
      <c r="E31" s="380"/>
      <c r="F31" s="381"/>
      <c r="G31" s="57"/>
      <c r="H31" s="381"/>
      <c r="I31" s="381"/>
      <c r="J31" s="57"/>
      <c r="K31" s="380"/>
      <c r="L31" s="381"/>
      <c r="M31" s="57"/>
      <c r="N31" s="381"/>
      <c r="O31" s="381"/>
      <c r="P31" s="57"/>
      <c r="Q31" s="380"/>
      <c r="R31" s="381"/>
      <c r="S31" s="57"/>
      <c r="T31" s="380"/>
      <c r="U31" s="381"/>
      <c r="V31" s="57"/>
      <c r="W31" s="381"/>
      <c r="X31" s="381"/>
      <c r="Y31" s="57"/>
      <c r="Z31" s="381"/>
      <c r="AA31" s="381"/>
      <c r="AB31" s="57"/>
      <c r="AC31" s="380"/>
      <c r="AD31" s="381"/>
      <c r="AE31" s="381"/>
      <c r="AF31" s="380"/>
      <c r="AG31" s="381"/>
      <c r="AH31" s="57"/>
      <c r="AI31" s="380"/>
      <c r="AJ31" s="381"/>
      <c r="AK31" s="57"/>
      <c r="AL31" s="380"/>
      <c r="AM31" s="381"/>
      <c r="AN31" s="57"/>
      <c r="AO31" s="380"/>
      <c r="AP31" s="381"/>
      <c r="AQ31" s="57"/>
      <c r="AR31" s="380"/>
      <c r="AS31" s="381"/>
      <c r="AT31" s="57"/>
      <c r="AU31" s="380"/>
      <c r="AV31" s="381"/>
      <c r="AW31" s="57"/>
      <c r="AX31" s="380"/>
      <c r="AY31" s="381"/>
      <c r="AZ31" s="57"/>
      <c r="BA31" s="380"/>
      <c r="BB31" s="381"/>
      <c r="BC31" s="57"/>
      <c r="BD31" s="380"/>
      <c r="BE31" s="381"/>
      <c r="BF31" s="57"/>
      <c r="BG31" s="380"/>
      <c r="BH31" s="381"/>
      <c r="BI31" s="57"/>
      <c r="BJ31" s="380"/>
      <c r="BK31" s="381"/>
      <c r="BL31" s="57"/>
      <c r="BM31" s="380"/>
      <c r="BN31" s="381"/>
      <c r="BO31" s="57"/>
      <c r="BP31" s="380"/>
      <c r="BQ31" s="381"/>
      <c r="BR31" s="57"/>
      <c r="BS31" s="380"/>
      <c r="BT31" s="381"/>
      <c r="BU31" s="57"/>
      <c r="BV31" s="380"/>
      <c r="BW31" s="381"/>
      <c r="BX31" s="57"/>
      <c r="BY31" s="380"/>
      <c r="BZ31" s="381"/>
      <c r="CA31" s="57"/>
      <c r="CB31" s="380"/>
      <c r="CC31" s="381"/>
      <c r="CD31" s="57"/>
      <c r="CE31" s="380"/>
      <c r="CF31" s="381"/>
      <c r="CG31" s="57"/>
      <c r="CH31" s="380"/>
      <c r="CI31" s="381"/>
      <c r="CJ31" s="57"/>
      <c r="CK31" s="380"/>
      <c r="CL31" s="381"/>
      <c r="CM31" s="57"/>
      <c r="CN31" s="380"/>
      <c r="CO31" s="381"/>
      <c r="CP31" s="57"/>
      <c r="CQ31" s="380"/>
      <c r="CR31" s="381"/>
      <c r="CS31" s="57"/>
      <c r="CT31" s="380"/>
      <c r="CU31" s="381"/>
      <c r="CV31" s="57"/>
      <c r="CW31" s="380"/>
      <c r="CX31" s="381"/>
      <c r="CY31" s="57"/>
      <c r="CZ31" s="380"/>
      <c r="DA31" s="381"/>
      <c r="DB31" s="57"/>
      <c r="DC31" s="380"/>
      <c r="DD31" s="381"/>
      <c r="DE31" s="57"/>
      <c r="DF31" s="380"/>
      <c r="DG31" s="381"/>
      <c r="DH31" s="57"/>
      <c r="DI31" s="380"/>
      <c r="DJ31" s="381"/>
      <c r="DK31" s="57"/>
      <c r="DL31" s="380"/>
      <c r="DM31" s="381"/>
      <c r="DN31" s="57"/>
      <c r="DO31" s="380"/>
      <c r="DP31" s="381"/>
      <c r="DQ31" s="57"/>
      <c r="DR31" s="380"/>
      <c r="DS31" s="381"/>
      <c r="DT31" s="57"/>
      <c r="DU31" s="381"/>
      <c r="DV31" s="381"/>
      <c r="DW31" s="57"/>
      <c r="DX31" s="380"/>
      <c r="DY31" s="381"/>
      <c r="DZ31" s="57"/>
      <c r="EA31" s="380"/>
      <c r="EB31" s="381"/>
      <c r="EC31" s="57"/>
      <c r="ED31" s="380"/>
      <c r="EE31" s="381"/>
      <c r="EF31" s="57"/>
      <c r="EG31" s="380"/>
      <c r="EH31" s="381"/>
      <c r="EI31" s="57"/>
      <c r="EJ31" s="380"/>
      <c r="EK31" s="381"/>
      <c r="EL31" s="57"/>
      <c r="EM31" s="380"/>
      <c r="EN31" s="381"/>
      <c r="EO31" s="57"/>
      <c r="EP31" s="382"/>
      <c r="EQ31" s="383"/>
      <c r="ER31" s="384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</row>
    <row r="32" spans="1:199">
      <c r="A32" s="323" t="s">
        <v>673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</row>
  </sheetData>
  <pageMargins left="1.23" right="0.2" top="0.98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4E1B-009C-4350-9292-ECA39E1BBEA2}">
  <sheetPr>
    <pageSetUpPr fitToPage="1"/>
  </sheetPr>
  <dimension ref="A2:ER115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E3" sqref="CE3"/>
    </sheetView>
  </sheetViews>
  <sheetFormatPr defaultColWidth="10.26953125" defaultRowHeight="13"/>
  <cols>
    <col min="1" max="1" width="41.1796875" style="323" customWidth="1"/>
    <col min="2" max="256" width="10.26953125" style="323"/>
    <col min="257" max="257" width="41.1796875" style="323" customWidth="1"/>
    <col min="258" max="512" width="10.26953125" style="323"/>
    <col min="513" max="513" width="41.1796875" style="323" customWidth="1"/>
    <col min="514" max="768" width="10.26953125" style="323"/>
    <col min="769" max="769" width="41.1796875" style="323" customWidth="1"/>
    <col min="770" max="1024" width="10.26953125" style="323"/>
    <col min="1025" max="1025" width="41.1796875" style="323" customWidth="1"/>
    <col min="1026" max="1280" width="10.26953125" style="323"/>
    <col min="1281" max="1281" width="41.1796875" style="323" customWidth="1"/>
    <col min="1282" max="1536" width="10.26953125" style="323"/>
    <col min="1537" max="1537" width="41.1796875" style="323" customWidth="1"/>
    <col min="1538" max="1792" width="10.26953125" style="323"/>
    <col min="1793" max="1793" width="41.1796875" style="323" customWidth="1"/>
    <col min="1794" max="2048" width="10.26953125" style="323"/>
    <col min="2049" max="2049" width="41.1796875" style="323" customWidth="1"/>
    <col min="2050" max="2304" width="10.26953125" style="323"/>
    <col min="2305" max="2305" width="41.1796875" style="323" customWidth="1"/>
    <col min="2306" max="2560" width="10.26953125" style="323"/>
    <col min="2561" max="2561" width="41.1796875" style="323" customWidth="1"/>
    <col min="2562" max="2816" width="10.26953125" style="323"/>
    <col min="2817" max="2817" width="41.1796875" style="323" customWidth="1"/>
    <col min="2818" max="3072" width="10.26953125" style="323"/>
    <col min="3073" max="3073" width="41.1796875" style="323" customWidth="1"/>
    <col min="3074" max="3328" width="10.26953125" style="323"/>
    <col min="3329" max="3329" width="41.1796875" style="323" customWidth="1"/>
    <col min="3330" max="3584" width="10.26953125" style="323"/>
    <col min="3585" max="3585" width="41.1796875" style="323" customWidth="1"/>
    <col min="3586" max="3840" width="10.26953125" style="323"/>
    <col min="3841" max="3841" width="41.1796875" style="323" customWidth="1"/>
    <col min="3842" max="4096" width="10.26953125" style="323"/>
    <col min="4097" max="4097" width="41.1796875" style="323" customWidth="1"/>
    <col min="4098" max="4352" width="10.26953125" style="323"/>
    <col min="4353" max="4353" width="41.1796875" style="323" customWidth="1"/>
    <col min="4354" max="4608" width="10.26953125" style="323"/>
    <col min="4609" max="4609" width="41.1796875" style="323" customWidth="1"/>
    <col min="4610" max="4864" width="10.26953125" style="323"/>
    <col min="4865" max="4865" width="41.1796875" style="323" customWidth="1"/>
    <col min="4866" max="5120" width="10.26953125" style="323"/>
    <col min="5121" max="5121" width="41.1796875" style="323" customWidth="1"/>
    <col min="5122" max="5376" width="10.26953125" style="323"/>
    <col min="5377" max="5377" width="41.1796875" style="323" customWidth="1"/>
    <col min="5378" max="5632" width="10.26953125" style="323"/>
    <col min="5633" max="5633" width="41.1796875" style="323" customWidth="1"/>
    <col min="5634" max="5888" width="10.26953125" style="323"/>
    <col min="5889" max="5889" width="41.1796875" style="323" customWidth="1"/>
    <col min="5890" max="6144" width="10.26953125" style="323"/>
    <col min="6145" max="6145" width="41.1796875" style="323" customWidth="1"/>
    <col min="6146" max="6400" width="10.26953125" style="323"/>
    <col min="6401" max="6401" width="41.1796875" style="323" customWidth="1"/>
    <col min="6402" max="6656" width="10.26953125" style="323"/>
    <col min="6657" max="6657" width="41.1796875" style="323" customWidth="1"/>
    <col min="6658" max="6912" width="10.26953125" style="323"/>
    <col min="6913" max="6913" width="41.1796875" style="323" customWidth="1"/>
    <col min="6914" max="7168" width="10.26953125" style="323"/>
    <col min="7169" max="7169" width="41.1796875" style="323" customWidth="1"/>
    <col min="7170" max="7424" width="10.26953125" style="323"/>
    <col min="7425" max="7425" width="41.1796875" style="323" customWidth="1"/>
    <col min="7426" max="7680" width="10.26953125" style="323"/>
    <col min="7681" max="7681" width="41.1796875" style="323" customWidth="1"/>
    <col min="7682" max="7936" width="10.26953125" style="323"/>
    <col min="7937" max="7937" width="41.1796875" style="323" customWidth="1"/>
    <col min="7938" max="8192" width="10.26953125" style="323"/>
    <col min="8193" max="8193" width="41.1796875" style="323" customWidth="1"/>
    <col min="8194" max="8448" width="10.26953125" style="323"/>
    <col min="8449" max="8449" width="41.1796875" style="323" customWidth="1"/>
    <col min="8450" max="8704" width="10.26953125" style="323"/>
    <col min="8705" max="8705" width="41.1796875" style="323" customWidth="1"/>
    <col min="8706" max="8960" width="10.26953125" style="323"/>
    <col min="8961" max="8961" width="41.1796875" style="323" customWidth="1"/>
    <col min="8962" max="9216" width="10.26953125" style="323"/>
    <col min="9217" max="9217" width="41.1796875" style="323" customWidth="1"/>
    <col min="9218" max="9472" width="10.26953125" style="323"/>
    <col min="9473" max="9473" width="41.1796875" style="323" customWidth="1"/>
    <col min="9474" max="9728" width="10.26953125" style="323"/>
    <col min="9729" max="9729" width="41.1796875" style="323" customWidth="1"/>
    <col min="9730" max="9984" width="10.26953125" style="323"/>
    <col min="9985" max="9985" width="41.1796875" style="323" customWidth="1"/>
    <col min="9986" max="10240" width="10.26953125" style="323"/>
    <col min="10241" max="10241" width="41.1796875" style="323" customWidth="1"/>
    <col min="10242" max="10496" width="10.26953125" style="323"/>
    <col min="10497" max="10497" width="41.1796875" style="323" customWidth="1"/>
    <col min="10498" max="10752" width="10.26953125" style="323"/>
    <col min="10753" max="10753" width="41.1796875" style="323" customWidth="1"/>
    <col min="10754" max="11008" width="10.26953125" style="323"/>
    <col min="11009" max="11009" width="41.1796875" style="323" customWidth="1"/>
    <col min="11010" max="11264" width="10.26953125" style="323"/>
    <col min="11265" max="11265" width="41.1796875" style="323" customWidth="1"/>
    <col min="11266" max="11520" width="10.26953125" style="323"/>
    <col min="11521" max="11521" width="41.1796875" style="323" customWidth="1"/>
    <col min="11522" max="11776" width="10.26953125" style="323"/>
    <col min="11777" max="11777" width="41.1796875" style="323" customWidth="1"/>
    <col min="11778" max="12032" width="10.26953125" style="323"/>
    <col min="12033" max="12033" width="41.1796875" style="323" customWidth="1"/>
    <col min="12034" max="12288" width="10.26953125" style="323"/>
    <col min="12289" max="12289" width="41.1796875" style="323" customWidth="1"/>
    <col min="12290" max="12544" width="10.26953125" style="323"/>
    <col min="12545" max="12545" width="41.1796875" style="323" customWidth="1"/>
    <col min="12546" max="12800" width="10.26953125" style="323"/>
    <col min="12801" max="12801" width="41.1796875" style="323" customWidth="1"/>
    <col min="12802" max="13056" width="10.26953125" style="323"/>
    <col min="13057" max="13057" width="41.1796875" style="323" customWidth="1"/>
    <col min="13058" max="13312" width="10.26953125" style="323"/>
    <col min="13313" max="13313" width="41.1796875" style="323" customWidth="1"/>
    <col min="13314" max="13568" width="10.26953125" style="323"/>
    <col min="13569" max="13569" width="41.1796875" style="323" customWidth="1"/>
    <col min="13570" max="13824" width="10.26953125" style="323"/>
    <col min="13825" max="13825" width="41.1796875" style="323" customWidth="1"/>
    <col min="13826" max="14080" width="10.26953125" style="323"/>
    <col min="14081" max="14081" width="41.1796875" style="323" customWidth="1"/>
    <col min="14082" max="14336" width="10.26953125" style="323"/>
    <col min="14337" max="14337" width="41.1796875" style="323" customWidth="1"/>
    <col min="14338" max="14592" width="10.26953125" style="323"/>
    <col min="14593" max="14593" width="41.1796875" style="323" customWidth="1"/>
    <col min="14594" max="14848" width="10.26953125" style="323"/>
    <col min="14849" max="14849" width="41.1796875" style="323" customWidth="1"/>
    <col min="14850" max="15104" width="10.26953125" style="323"/>
    <col min="15105" max="15105" width="41.1796875" style="323" customWidth="1"/>
    <col min="15106" max="15360" width="10.26953125" style="323"/>
    <col min="15361" max="15361" width="41.1796875" style="323" customWidth="1"/>
    <col min="15362" max="15616" width="10.26953125" style="323"/>
    <col min="15617" max="15617" width="41.1796875" style="323" customWidth="1"/>
    <col min="15618" max="15872" width="10.26953125" style="323"/>
    <col min="15873" max="15873" width="41.1796875" style="323" customWidth="1"/>
    <col min="15874" max="16128" width="10.26953125" style="323"/>
    <col min="16129" max="16129" width="41.1796875" style="323" customWidth="1"/>
    <col min="16130" max="16384" width="10.26953125" style="323"/>
  </cols>
  <sheetData>
    <row r="2" spans="1:94">
      <c r="A2" s="322" t="s">
        <v>674</v>
      </c>
    </row>
    <row r="3" spans="1:94">
      <c r="A3" s="322" t="s">
        <v>635</v>
      </c>
    </row>
    <row r="4" spans="1:94">
      <c r="A4" s="323" t="s">
        <v>192</v>
      </c>
    </row>
    <row r="5" spans="1:94" ht="13.5" thickBot="1"/>
    <row r="6" spans="1:94" ht="15.75" customHeight="1">
      <c r="A6" s="336"/>
      <c r="B6" s="343"/>
      <c r="C6" s="338">
        <v>1965</v>
      </c>
      <c r="D6" s="339"/>
      <c r="E6" s="344"/>
      <c r="F6" s="338">
        <v>1966</v>
      </c>
      <c r="G6" s="339"/>
      <c r="H6" s="337"/>
      <c r="I6" s="338">
        <v>1967</v>
      </c>
      <c r="J6" s="339"/>
      <c r="K6" s="343"/>
      <c r="L6" s="338">
        <v>1968</v>
      </c>
      <c r="M6" s="339"/>
      <c r="N6" s="337"/>
      <c r="O6" s="338">
        <v>1969</v>
      </c>
      <c r="P6" s="339"/>
      <c r="Q6" s="343"/>
      <c r="R6" s="338">
        <v>1970</v>
      </c>
      <c r="S6" s="339"/>
      <c r="T6" s="343"/>
      <c r="U6" s="338">
        <v>1971</v>
      </c>
      <c r="V6" s="339"/>
      <c r="W6" s="343"/>
      <c r="X6" s="338">
        <v>1972</v>
      </c>
      <c r="Y6" s="339"/>
      <c r="Z6" s="337"/>
      <c r="AA6" s="338">
        <v>1973</v>
      </c>
      <c r="AB6" s="339" t="s">
        <v>637</v>
      </c>
      <c r="AC6" s="337"/>
      <c r="AD6" s="338">
        <v>1974</v>
      </c>
      <c r="AE6" s="339"/>
      <c r="AF6" s="337"/>
      <c r="AG6" s="338">
        <v>1975</v>
      </c>
      <c r="AH6" s="339"/>
      <c r="AI6" s="337"/>
      <c r="AJ6" s="338">
        <v>1976</v>
      </c>
      <c r="AK6" s="339"/>
      <c r="AL6" s="337"/>
      <c r="AM6" s="338">
        <v>1977</v>
      </c>
      <c r="AN6" s="339"/>
      <c r="AO6" s="337"/>
      <c r="AP6" s="338">
        <v>1978</v>
      </c>
      <c r="AQ6" s="339"/>
      <c r="AR6" s="337"/>
      <c r="AS6" s="338">
        <v>1979</v>
      </c>
      <c r="AT6" s="339"/>
      <c r="AU6" s="337" t="s">
        <v>637</v>
      </c>
      <c r="AV6" s="338">
        <v>1980</v>
      </c>
      <c r="AW6" s="339"/>
      <c r="AX6" s="337"/>
      <c r="AY6" s="338">
        <v>1981</v>
      </c>
      <c r="AZ6" s="339"/>
      <c r="BA6" s="337"/>
      <c r="BB6" s="338">
        <v>1982</v>
      </c>
      <c r="BC6" s="339"/>
      <c r="BD6" s="337"/>
      <c r="BE6" s="338">
        <v>1983</v>
      </c>
      <c r="BF6" s="339"/>
      <c r="BG6" s="337"/>
      <c r="BH6" s="338">
        <v>1984</v>
      </c>
      <c r="BI6" s="339"/>
      <c r="BJ6" s="337"/>
      <c r="BK6" s="338">
        <v>1985</v>
      </c>
      <c r="BL6" s="339"/>
      <c r="BM6" s="337"/>
      <c r="BN6" s="338">
        <v>1986</v>
      </c>
      <c r="BO6" s="339"/>
      <c r="BP6" s="337"/>
      <c r="BQ6" s="338">
        <v>1987</v>
      </c>
      <c r="BR6" s="339"/>
      <c r="BS6" s="337"/>
      <c r="BT6" s="338">
        <v>1988</v>
      </c>
      <c r="BU6" s="339"/>
      <c r="BV6" s="337"/>
      <c r="BW6" s="338">
        <v>1989</v>
      </c>
      <c r="BX6" s="339"/>
      <c r="BY6" s="337"/>
      <c r="BZ6" s="338">
        <v>1990</v>
      </c>
      <c r="CA6" s="339"/>
      <c r="CB6" s="337"/>
      <c r="CC6" s="338">
        <v>1991</v>
      </c>
      <c r="CD6" s="339"/>
      <c r="CE6" s="337"/>
      <c r="CF6" s="338">
        <v>1992</v>
      </c>
      <c r="CG6" s="339"/>
      <c r="CH6" s="345"/>
      <c r="CI6" s="338">
        <v>1993</v>
      </c>
      <c r="CJ6" s="346"/>
      <c r="CK6" s="345"/>
      <c r="CL6" s="338">
        <v>1994</v>
      </c>
      <c r="CM6" s="346"/>
      <c r="CN6" s="345"/>
      <c r="CO6" s="338">
        <v>1995</v>
      </c>
      <c r="CP6" s="346"/>
    </row>
    <row r="7" spans="1:94" ht="15.75" customHeight="1" thickBot="1">
      <c r="A7" s="334"/>
      <c r="B7" s="350" t="s">
        <v>650</v>
      </c>
      <c r="C7" s="351" t="s">
        <v>651</v>
      </c>
      <c r="D7" s="352" t="s">
        <v>652</v>
      </c>
      <c r="E7" s="350" t="s">
        <v>650</v>
      </c>
      <c r="F7" s="351" t="s">
        <v>651</v>
      </c>
      <c r="G7" s="352" t="s">
        <v>652</v>
      </c>
      <c r="H7" s="350" t="s">
        <v>650</v>
      </c>
      <c r="I7" s="351" t="s">
        <v>651</v>
      </c>
      <c r="J7" s="352" t="s">
        <v>652</v>
      </c>
      <c r="K7" s="350" t="s">
        <v>650</v>
      </c>
      <c r="L7" s="351" t="s">
        <v>651</v>
      </c>
      <c r="M7" s="352" t="s">
        <v>652</v>
      </c>
      <c r="N7" s="350" t="s">
        <v>650</v>
      </c>
      <c r="O7" s="351" t="s">
        <v>651</v>
      </c>
      <c r="P7" s="352" t="s">
        <v>652</v>
      </c>
      <c r="Q7" s="350" t="s">
        <v>650</v>
      </c>
      <c r="R7" s="351" t="s">
        <v>651</v>
      </c>
      <c r="S7" s="352" t="s">
        <v>652</v>
      </c>
      <c r="T7" s="350" t="s">
        <v>650</v>
      </c>
      <c r="U7" s="351" t="s">
        <v>651</v>
      </c>
      <c r="V7" s="352" t="s">
        <v>652</v>
      </c>
      <c r="W7" s="350" t="s">
        <v>650</v>
      </c>
      <c r="X7" s="351" t="s">
        <v>651</v>
      </c>
      <c r="Y7" s="352" t="s">
        <v>652</v>
      </c>
      <c r="Z7" s="350" t="s">
        <v>650</v>
      </c>
      <c r="AA7" s="351" t="s">
        <v>651</v>
      </c>
      <c r="AB7" s="352" t="s">
        <v>652</v>
      </c>
      <c r="AC7" s="350" t="s">
        <v>650</v>
      </c>
      <c r="AD7" s="351" t="s">
        <v>651</v>
      </c>
      <c r="AE7" s="352" t="s">
        <v>652</v>
      </c>
      <c r="AF7" s="350" t="s">
        <v>650</v>
      </c>
      <c r="AG7" s="351" t="s">
        <v>651</v>
      </c>
      <c r="AH7" s="352" t="s">
        <v>652</v>
      </c>
      <c r="AI7" s="350" t="s">
        <v>650</v>
      </c>
      <c r="AJ7" s="351" t="s">
        <v>651</v>
      </c>
      <c r="AK7" s="352" t="s">
        <v>652</v>
      </c>
      <c r="AL7" s="350" t="s">
        <v>650</v>
      </c>
      <c r="AM7" s="351" t="s">
        <v>651</v>
      </c>
      <c r="AN7" s="352" t="s">
        <v>652</v>
      </c>
      <c r="AO7" s="350" t="s">
        <v>650</v>
      </c>
      <c r="AP7" s="351" t="s">
        <v>651</v>
      </c>
      <c r="AQ7" s="352" t="s">
        <v>652</v>
      </c>
      <c r="AR7" s="350" t="s">
        <v>650</v>
      </c>
      <c r="AS7" s="351" t="s">
        <v>651</v>
      </c>
      <c r="AT7" s="352" t="s">
        <v>652</v>
      </c>
      <c r="AU7" s="350" t="s">
        <v>650</v>
      </c>
      <c r="AV7" s="351" t="s">
        <v>651</v>
      </c>
      <c r="AW7" s="352" t="s">
        <v>652</v>
      </c>
      <c r="AX7" s="350" t="s">
        <v>650</v>
      </c>
      <c r="AY7" s="351" t="s">
        <v>651</v>
      </c>
      <c r="AZ7" s="352" t="s">
        <v>652</v>
      </c>
      <c r="BA7" s="350" t="s">
        <v>650</v>
      </c>
      <c r="BB7" s="351" t="s">
        <v>651</v>
      </c>
      <c r="BC7" s="352" t="s">
        <v>652</v>
      </c>
      <c r="BD7" s="350" t="s">
        <v>650</v>
      </c>
      <c r="BE7" s="351" t="s">
        <v>651</v>
      </c>
      <c r="BF7" s="352" t="s">
        <v>652</v>
      </c>
      <c r="BG7" s="350" t="s">
        <v>650</v>
      </c>
      <c r="BH7" s="351" t="s">
        <v>651</v>
      </c>
      <c r="BI7" s="352" t="s">
        <v>652</v>
      </c>
      <c r="BJ7" s="350" t="s">
        <v>650</v>
      </c>
      <c r="BK7" s="351" t="s">
        <v>651</v>
      </c>
      <c r="BL7" s="352" t="s">
        <v>652</v>
      </c>
      <c r="BM7" s="350" t="s">
        <v>650</v>
      </c>
      <c r="BN7" s="351" t="s">
        <v>651</v>
      </c>
      <c r="BO7" s="352" t="s">
        <v>652</v>
      </c>
      <c r="BP7" s="350" t="s">
        <v>650</v>
      </c>
      <c r="BQ7" s="351" t="s">
        <v>651</v>
      </c>
      <c r="BR7" s="352" t="s">
        <v>652</v>
      </c>
      <c r="BS7" s="350" t="s">
        <v>650</v>
      </c>
      <c r="BT7" s="351" t="s">
        <v>651</v>
      </c>
      <c r="BU7" s="352" t="s">
        <v>652</v>
      </c>
      <c r="BV7" s="350" t="s">
        <v>650</v>
      </c>
      <c r="BW7" s="351" t="s">
        <v>651</v>
      </c>
      <c r="BX7" s="352" t="s">
        <v>652</v>
      </c>
      <c r="BY7" s="350" t="s">
        <v>650</v>
      </c>
      <c r="BZ7" s="351" t="s">
        <v>651</v>
      </c>
      <c r="CA7" s="352" t="s">
        <v>652</v>
      </c>
      <c r="CB7" s="350" t="s">
        <v>650</v>
      </c>
      <c r="CC7" s="351" t="s">
        <v>651</v>
      </c>
      <c r="CD7" s="352" t="s">
        <v>652</v>
      </c>
      <c r="CE7" s="350" t="s">
        <v>650</v>
      </c>
      <c r="CF7" s="351" t="s">
        <v>651</v>
      </c>
      <c r="CG7" s="352" t="s">
        <v>652</v>
      </c>
      <c r="CH7" s="350" t="s">
        <v>650</v>
      </c>
      <c r="CI7" s="351" t="s">
        <v>651</v>
      </c>
      <c r="CJ7" s="352" t="s">
        <v>652</v>
      </c>
      <c r="CK7" s="350" t="s">
        <v>650</v>
      </c>
      <c r="CL7" s="351" t="s">
        <v>651</v>
      </c>
      <c r="CM7" s="352" t="s">
        <v>652</v>
      </c>
      <c r="CN7" s="350" t="s">
        <v>650</v>
      </c>
      <c r="CO7" s="351" t="s">
        <v>651</v>
      </c>
      <c r="CP7" s="352" t="s">
        <v>652</v>
      </c>
    </row>
    <row r="8" spans="1:94">
      <c r="A8" s="336"/>
      <c r="B8" s="385"/>
      <c r="C8" s="386"/>
      <c r="D8" s="387"/>
      <c r="E8" s="388"/>
      <c r="F8" s="386"/>
      <c r="G8" s="387"/>
      <c r="H8" s="385"/>
      <c r="I8" s="386"/>
      <c r="J8" s="387"/>
      <c r="K8" s="385"/>
      <c r="L8" s="386"/>
      <c r="M8" s="387"/>
      <c r="N8" s="385"/>
      <c r="O8" s="386"/>
      <c r="P8" s="387"/>
      <c r="Q8" s="385"/>
      <c r="R8" s="386"/>
      <c r="S8" s="387"/>
      <c r="T8" s="385"/>
      <c r="U8" s="386"/>
      <c r="V8" s="387"/>
      <c r="W8" s="385"/>
      <c r="X8" s="386"/>
      <c r="Y8" s="387"/>
      <c r="Z8" s="385"/>
      <c r="AA8" s="386"/>
      <c r="AB8" s="387"/>
      <c r="AC8" s="385"/>
      <c r="AD8" s="386"/>
      <c r="AE8" s="387"/>
      <c r="AF8" s="385"/>
      <c r="AG8" s="386"/>
      <c r="AH8" s="387"/>
      <c r="AI8" s="385"/>
      <c r="AJ8" s="386"/>
      <c r="AK8" s="387"/>
      <c r="AL8" s="385"/>
      <c r="AM8" s="386"/>
      <c r="AN8" s="387"/>
      <c r="AO8" s="385"/>
      <c r="AP8" s="386"/>
      <c r="AQ8" s="387"/>
      <c r="AR8" s="385"/>
      <c r="AS8" s="386"/>
      <c r="AT8" s="387"/>
      <c r="AU8" s="385"/>
      <c r="AV8" s="386"/>
      <c r="AW8" s="387"/>
      <c r="AX8" s="385"/>
      <c r="AY8" s="386"/>
      <c r="AZ8" s="387"/>
      <c r="BA8" s="385"/>
      <c r="BB8" s="386"/>
      <c r="BC8" s="387"/>
      <c r="BD8" s="385"/>
      <c r="BE8" s="386"/>
      <c r="BF8" s="387"/>
      <c r="BG8" s="385"/>
      <c r="BH8" s="386"/>
      <c r="BI8" s="387"/>
      <c r="BJ8" s="385"/>
      <c r="BK8" s="386"/>
      <c r="BL8" s="387"/>
      <c r="BM8" s="385"/>
      <c r="BN8" s="386"/>
      <c r="BO8" s="387"/>
      <c r="BP8" s="385"/>
      <c r="BQ8" s="386"/>
      <c r="BR8" s="387"/>
      <c r="BS8" s="385"/>
      <c r="BT8" s="386"/>
      <c r="BU8" s="387"/>
      <c r="BV8" s="385"/>
      <c r="BW8" s="386"/>
      <c r="BX8" s="387"/>
      <c r="BY8" s="385"/>
      <c r="BZ8" s="386"/>
      <c r="CA8" s="387"/>
      <c r="CB8" s="385"/>
      <c r="CC8" s="386"/>
      <c r="CD8" s="387"/>
      <c r="CE8" s="385"/>
      <c r="CF8" s="386"/>
      <c r="CG8" s="387"/>
      <c r="CH8" s="388"/>
      <c r="CI8" s="389"/>
      <c r="CJ8" s="390"/>
      <c r="CK8" s="391"/>
      <c r="CL8" s="389"/>
      <c r="CM8" s="392"/>
      <c r="CN8" s="391"/>
      <c r="CO8" s="389"/>
      <c r="CP8" s="392"/>
    </row>
    <row r="9" spans="1:94" s="31" customFormat="1">
      <c r="A9" s="47" t="s">
        <v>675</v>
      </c>
      <c r="B9" s="38">
        <v>3669.058</v>
      </c>
      <c r="C9" s="39">
        <v>4671.2570000000005</v>
      </c>
      <c r="D9" s="42">
        <v>1002.1990000000001</v>
      </c>
      <c r="E9" s="38">
        <v>3297.1319999999996</v>
      </c>
      <c r="F9" s="39">
        <v>6540.665</v>
      </c>
      <c r="G9" s="42">
        <v>3243.5330000000004</v>
      </c>
      <c r="H9" s="38">
        <v>5316.0219999999999</v>
      </c>
      <c r="I9" s="39">
        <v>7718.25</v>
      </c>
      <c r="J9" s="42">
        <v>2402.2280000000001</v>
      </c>
      <c r="K9" s="38">
        <v>5645.43</v>
      </c>
      <c r="L9" s="39">
        <v>8290.0259999999998</v>
      </c>
      <c r="M9" s="42">
        <v>2644.5959999999995</v>
      </c>
      <c r="N9" s="38">
        <v>6587.2629999999999</v>
      </c>
      <c r="O9" s="39">
        <v>5793.74</v>
      </c>
      <c r="P9" s="42">
        <v>-793.52299999999968</v>
      </c>
      <c r="Q9" s="38">
        <v>5278.6909999999998</v>
      </c>
      <c r="R9" s="39">
        <v>5175.192</v>
      </c>
      <c r="S9" s="42">
        <v>-103.49900000000025</v>
      </c>
      <c r="T9" s="38">
        <v>5524.5640000000003</v>
      </c>
      <c r="U9" s="39">
        <v>7258.3580000000002</v>
      </c>
      <c r="V9" s="42">
        <v>1733.7940000000001</v>
      </c>
      <c r="W9" s="38">
        <v>12479.314</v>
      </c>
      <c r="X9" s="39">
        <v>8700.5990000000002</v>
      </c>
      <c r="Y9" s="42">
        <v>-3778.7150000000006</v>
      </c>
      <c r="Z9" s="38">
        <v>12301.046</v>
      </c>
      <c r="AA9" s="39">
        <v>8538.3029999999999</v>
      </c>
      <c r="AB9" s="42">
        <v>-3762.7429999999999</v>
      </c>
      <c r="AC9" s="38">
        <v>12091.196</v>
      </c>
      <c r="AD9" s="39">
        <v>18809.510999999999</v>
      </c>
      <c r="AE9" s="42">
        <v>6718.3149999999996</v>
      </c>
      <c r="AF9" s="38">
        <v>11170.442999999999</v>
      </c>
      <c r="AG9" s="39">
        <v>8149.3040000000001</v>
      </c>
      <c r="AH9" s="42">
        <v>-3021.1389999999997</v>
      </c>
      <c r="AI9" s="38">
        <v>15726.573</v>
      </c>
      <c r="AJ9" s="39">
        <v>16675.687000000002</v>
      </c>
      <c r="AK9" s="42">
        <v>949.11399999999946</v>
      </c>
      <c r="AL9" s="38">
        <v>21820.799999999999</v>
      </c>
      <c r="AM9" s="39">
        <v>24873.762999999999</v>
      </c>
      <c r="AN9" s="42">
        <v>3052.9630000000006</v>
      </c>
      <c r="AO9" s="38">
        <v>20543.59</v>
      </c>
      <c r="AP9" s="39">
        <v>54721.065999999999</v>
      </c>
      <c r="AQ9" s="42">
        <v>34177.491000000002</v>
      </c>
      <c r="AR9" s="38">
        <v>33444.531000000003</v>
      </c>
      <c r="AS9" s="39">
        <v>74289.539000000004</v>
      </c>
      <c r="AT9" s="42">
        <v>40845.008000000002</v>
      </c>
      <c r="AU9" s="38">
        <v>125125.709</v>
      </c>
      <c r="AV9" s="39">
        <v>271293.783</v>
      </c>
      <c r="AW9" s="42">
        <v>146168.07399999999</v>
      </c>
      <c r="AX9" s="38">
        <v>373827.03</v>
      </c>
      <c r="AY9" s="39">
        <v>552657.95499999996</v>
      </c>
      <c r="AZ9" s="42">
        <v>178830.92499999993</v>
      </c>
      <c r="BA9" s="38">
        <v>659718.92299999995</v>
      </c>
      <c r="BB9" s="39">
        <v>915613.049</v>
      </c>
      <c r="BC9" s="42">
        <v>255894.12600000005</v>
      </c>
      <c r="BD9" s="38">
        <v>933688.62600000005</v>
      </c>
      <c r="BE9" s="39">
        <v>1025628.721</v>
      </c>
      <c r="BF9" s="42">
        <v>91940.094999999972</v>
      </c>
      <c r="BG9" s="38">
        <v>1316750.838</v>
      </c>
      <c r="BH9" s="39">
        <v>1472411.4639999999</v>
      </c>
      <c r="BI9" s="42">
        <v>155660.62599999993</v>
      </c>
      <c r="BJ9" s="38">
        <v>1555456.0460000001</v>
      </c>
      <c r="BK9" s="39">
        <v>1710290.048</v>
      </c>
      <c r="BL9" s="42">
        <v>154834.00199999986</v>
      </c>
      <c r="BM9" s="38">
        <v>1234148.254</v>
      </c>
      <c r="BN9" s="39">
        <v>994303.01699999999</v>
      </c>
      <c r="BO9" s="42">
        <v>-239845.23699999996</v>
      </c>
      <c r="BP9" s="38">
        <v>1155565.4750000001</v>
      </c>
      <c r="BQ9" s="39">
        <v>1280658.196</v>
      </c>
      <c r="BR9" s="42">
        <v>125092.7209999999</v>
      </c>
      <c r="BS9" s="38">
        <v>1327398.949</v>
      </c>
      <c r="BT9" s="39">
        <v>1485788.575</v>
      </c>
      <c r="BU9" s="42">
        <v>158389.62599999993</v>
      </c>
      <c r="BV9" s="38">
        <v>1798480.5179999999</v>
      </c>
      <c r="BW9" s="39">
        <v>2226294.7889999999</v>
      </c>
      <c r="BX9" s="42">
        <v>427814.27099999995</v>
      </c>
      <c r="BY9" s="38">
        <v>2257494.344</v>
      </c>
      <c r="BZ9" s="39">
        <v>2594920.7229999998</v>
      </c>
      <c r="CA9" s="42">
        <v>337426.37899999972</v>
      </c>
      <c r="CB9" s="38">
        <v>2748968.645</v>
      </c>
      <c r="CC9" s="39">
        <v>3074378</v>
      </c>
      <c r="CD9" s="42">
        <v>325409</v>
      </c>
      <c r="CE9" s="38">
        <v>3198797.4019999998</v>
      </c>
      <c r="CF9" s="39">
        <v>3396140</v>
      </c>
      <c r="CG9" s="42">
        <v>197343</v>
      </c>
      <c r="CH9" s="38">
        <v>7536872</v>
      </c>
      <c r="CI9" s="39">
        <v>7970822</v>
      </c>
      <c r="CJ9" s="42">
        <v>433950</v>
      </c>
      <c r="CK9" s="31">
        <v>10338550</v>
      </c>
      <c r="CL9" s="39">
        <v>10010184</v>
      </c>
      <c r="CM9" s="58">
        <v>-328366</v>
      </c>
      <c r="CN9" s="31">
        <v>17955237</v>
      </c>
      <c r="CO9" s="39">
        <v>17722396</v>
      </c>
      <c r="CP9" s="58">
        <v>-232841</v>
      </c>
    </row>
    <row r="10" spans="1:94" s="31" customFormat="1">
      <c r="A10" s="47" t="s">
        <v>676</v>
      </c>
      <c r="B10" s="38">
        <v>207.98899999999998</v>
      </c>
      <c r="C10" s="39">
        <v>837.07100000000003</v>
      </c>
      <c r="D10" s="42">
        <v>629.08199999999999</v>
      </c>
      <c r="E10" s="38">
        <v>272.85599999999999</v>
      </c>
      <c r="F10" s="39">
        <v>916.28099999999995</v>
      </c>
      <c r="G10" s="42">
        <v>643.42499999999995</v>
      </c>
      <c r="H10" s="38">
        <v>237.233</v>
      </c>
      <c r="I10" s="39">
        <v>843.04099999999994</v>
      </c>
      <c r="J10" s="42">
        <v>605.80799999999999</v>
      </c>
      <c r="K10" s="38">
        <v>458.762</v>
      </c>
      <c r="L10" s="39">
        <v>970.69599999999991</v>
      </c>
      <c r="M10" s="42">
        <v>511.93399999999997</v>
      </c>
      <c r="N10" s="38">
        <v>185.33600000000001</v>
      </c>
      <c r="O10" s="39">
        <v>871.65499999999997</v>
      </c>
      <c r="P10" s="42">
        <v>686.31899999999996</v>
      </c>
      <c r="Q10" s="38">
        <v>424.221</v>
      </c>
      <c r="R10" s="39">
        <v>899.51499999999999</v>
      </c>
      <c r="S10" s="42">
        <v>475.29399999999998</v>
      </c>
      <c r="T10" s="38">
        <v>249.13099999999997</v>
      </c>
      <c r="U10" s="39">
        <v>1635.23</v>
      </c>
      <c r="V10" s="42">
        <v>1386.0990000000002</v>
      </c>
      <c r="W10" s="38">
        <v>499.16</v>
      </c>
      <c r="X10" s="39">
        <v>2197.64</v>
      </c>
      <c r="Y10" s="42">
        <v>1698.48</v>
      </c>
      <c r="Z10" s="38">
        <v>1568.4849999999999</v>
      </c>
      <c r="AA10" s="39">
        <v>2852.2570000000001</v>
      </c>
      <c r="AB10" s="42">
        <v>1283.7719999999999</v>
      </c>
      <c r="AC10" s="38">
        <v>1115.23</v>
      </c>
      <c r="AD10" s="39">
        <v>2793.7539999999999</v>
      </c>
      <c r="AE10" s="42">
        <v>1678.5239999999999</v>
      </c>
      <c r="AF10" s="38">
        <v>669.63800000000003</v>
      </c>
      <c r="AG10" s="39">
        <v>3101.098</v>
      </c>
      <c r="AH10" s="42">
        <v>2431.46</v>
      </c>
      <c r="AI10" s="38">
        <v>600.98699999999997</v>
      </c>
      <c r="AJ10" s="39">
        <v>2264.3880000000004</v>
      </c>
      <c r="AK10" s="42">
        <v>1663.4009999999998</v>
      </c>
      <c r="AL10" s="38">
        <v>1545.0609999999997</v>
      </c>
      <c r="AM10" s="39">
        <v>2593.683</v>
      </c>
      <c r="AN10" s="42">
        <v>1048.6220000000005</v>
      </c>
      <c r="AO10" s="38">
        <v>772.32</v>
      </c>
      <c r="AP10" s="39">
        <v>3436.29</v>
      </c>
      <c r="AQ10" s="42">
        <v>2663.97</v>
      </c>
      <c r="AR10" s="38">
        <v>2618.0770000000002</v>
      </c>
      <c r="AS10" s="39">
        <v>7832.0860000000011</v>
      </c>
      <c r="AT10" s="42">
        <v>5214.009</v>
      </c>
      <c r="AU10" s="38">
        <v>2083.7089999999998</v>
      </c>
      <c r="AV10" s="39">
        <v>9708.7829999999994</v>
      </c>
      <c r="AW10" s="42">
        <v>7625.0739999999996</v>
      </c>
      <c r="AX10" s="38">
        <v>2139.0300000000002</v>
      </c>
      <c r="AY10" s="39">
        <v>12835.955</v>
      </c>
      <c r="AZ10" s="42">
        <v>10696.924999999999</v>
      </c>
      <c r="BA10" s="38">
        <v>5864.9229999999998</v>
      </c>
      <c r="BB10" s="39">
        <v>14543.049000000001</v>
      </c>
      <c r="BC10" s="42">
        <v>8678.1260000000002</v>
      </c>
      <c r="BD10" s="38">
        <v>4589.6260000000002</v>
      </c>
      <c r="BE10" s="39">
        <v>19554.721000000001</v>
      </c>
      <c r="BF10" s="42">
        <v>14965.094999999999</v>
      </c>
      <c r="BG10" s="38">
        <v>3108.8379999999997</v>
      </c>
      <c r="BH10" s="39">
        <v>33621.464</v>
      </c>
      <c r="BI10" s="42">
        <v>30512.626</v>
      </c>
      <c r="BJ10" s="38">
        <v>6600.0460000000003</v>
      </c>
      <c r="BK10" s="39">
        <v>52769.048000000003</v>
      </c>
      <c r="BL10" s="42">
        <v>46169.002</v>
      </c>
      <c r="BM10" s="38">
        <v>6566.2539999999999</v>
      </c>
      <c r="BN10" s="39">
        <v>44636.017</v>
      </c>
      <c r="BO10" s="42">
        <v>38069.762999999999</v>
      </c>
      <c r="BP10" s="38">
        <v>15539.475</v>
      </c>
      <c r="BQ10" s="39">
        <v>89853.195999999996</v>
      </c>
      <c r="BR10" s="42">
        <v>74313.721000000005</v>
      </c>
      <c r="BS10" s="38">
        <v>18938.949000000001</v>
      </c>
      <c r="BT10" s="39">
        <v>155130.57500000001</v>
      </c>
      <c r="BU10" s="42">
        <v>136191.62599999999</v>
      </c>
      <c r="BV10" s="38">
        <v>36440.517999999996</v>
      </c>
      <c r="BW10" s="39">
        <v>306210.78899999999</v>
      </c>
      <c r="BX10" s="42">
        <v>269770.27100000001</v>
      </c>
      <c r="BY10" s="38">
        <v>109108.344</v>
      </c>
      <c r="BZ10" s="39">
        <v>491815.72299999994</v>
      </c>
      <c r="CA10" s="42">
        <v>382707.37899999996</v>
      </c>
      <c r="CB10" s="38">
        <v>252603.64500000002</v>
      </c>
      <c r="CC10" s="39">
        <v>552582.86699999997</v>
      </c>
      <c r="CD10" s="42">
        <v>299979.22199999995</v>
      </c>
      <c r="CE10" s="38">
        <v>279951.402</v>
      </c>
      <c r="CF10" s="39">
        <v>486494.11600000004</v>
      </c>
      <c r="CG10" s="42">
        <v>206542.71399999998</v>
      </c>
      <c r="CH10" s="38">
        <v>279456</v>
      </c>
      <c r="CI10" s="39">
        <v>506096</v>
      </c>
      <c r="CJ10" s="42">
        <v>226640</v>
      </c>
      <c r="CK10" s="31">
        <v>191173</v>
      </c>
      <c r="CL10" s="39">
        <v>352398</v>
      </c>
      <c r="CM10" s="58">
        <v>161225</v>
      </c>
      <c r="CN10" s="31">
        <v>683038</v>
      </c>
      <c r="CO10" s="39">
        <v>683919</v>
      </c>
      <c r="CP10" s="58">
        <v>881</v>
      </c>
    </row>
    <row r="11" spans="1:94" s="31" customFormat="1">
      <c r="A11" s="47" t="s">
        <v>677</v>
      </c>
      <c r="B11" s="38">
        <v>130.999</v>
      </c>
      <c r="C11" s="39">
        <v>34.518000000000001</v>
      </c>
      <c r="D11" s="42">
        <v>-96.480999999999995</v>
      </c>
      <c r="E11" s="38">
        <v>223.53100000000001</v>
      </c>
      <c r="F11" s="39">
        <v>32.477000000000004</v>
      </c>
      <c r="G11" s="42">
        <v>-191.05400000000003</v>
      </c>
      <c r="H11" s="38">
        <v>205.041</v>
      </c>
      <c r="I11" s="39">
        <v>25.829000000000001</v>
      </c>
      <c r="J11" s="42">
        <v>-179.21200000000002</v>
      </c>
      <c r="K11" s="38">
        <v>344.36799999999999</v>
      </c>
      <c r="L11" s="39">
        <v>66.290000000000006</v>
      </c>
      <c r="M11" s="42">
        <v>-278.07799999999997</v>
      </c>
      <c r="N11" s="38">
        <v>120.953</v>
      </c>
      <c r="O11" s="39">
        <v>51.875</v>
      </c>
      <c r="P11" s="42">
        <v>-69.078000000000003</v>
      </c>
      <c r="Q11" s="38">
        <v>363.8</v>
      </c>
      <c r="R11" s="39">
        <v>69.49799999999999</v>
      </c>
      <c r="S11" s="42">
        <v>-294.30200000000002</v>
      </c>
      <c r="T11" s="38">
        <v>139.49799999999999</v>
      </c>
      <c r="U11" s="39">
        <v>43.302999999999997</v>
      </c>
      <c r="V11" s="42">
        <v>-96.194999999999993</v>
      </c>
      <c r="W11" s="38">
        <v>382.649</v>
      </c>
      <c r="X11" s="39">
        <v>34.615000000000002</v>
      </c>
      <c r="Y11" s="42">
        <v>-348.03399999999999</v>
      </c>
      <c r="Z11" s="38">
        <v>1147.6879999999999</v>
      </c>
      <c r="AA11" s="39">
        <v>84.336999999999989</v>
      </c>
      <c r="AB11" s="42">
        <v>-1063.3510000000001</v>
      </c>
      <c r="AC11" s="38">
        <v>945.62200000000007</v>
      </c>
      <c r="AD11" s="39">
        <v>31.428999999999998</v>
      </c>
      <c r="AE11" s="42">
        <v>-914.1930000000001</v>
      </c>
      <c r="AF11" s="38">
        <v>164.20500000000001</v>
      </c>
      <c r="AG11" s="39">
        <v>3.5830000000000002</v>
      </c>
      <c r="AH11" s="42">
        <v>-160.62200000000001</v>
      </c>
      <c r="AI11" s="38">
        <v>237.74600000000001</v>
      </c>
      <c r="AJ11" s="39">
        <v>18.146000000000001</v>
      </c>
      <c r="AK11" s="42">
        <v>-219.6</v>
      </c>
      <c r="AL11" s="38">
        <v>1272.5459999999998</v>
      </c>
      <c r="AM11" s="39">
        <v>34.999000000000002</v>
      </c>
      <c r="AN11" s="42">
        <v>-1237.5469999999998</v>
      </c>
      <c r="AO11" s="38">
        <v>308.64900000000006</v>
      </c>
      <c r="AP11" s="39">
        <v>52.118000000000002</v>
      </c>
      <c r="AQ11" s="42">
        <v>-256.53100000000006</v>
      </c>
      <c r="AR11" s="38">
        <v>329.31700000000001</v>
      </c>
      <c r="AS11" s="39">
        <v>1707.0120000000002</v>
      </c>
      <c r="AT11" s="42">
        <v>1377.6949999999999</v>
      </c>
      <c r="AU11" s="38">
        <v>892.70899999999995</v>
      </c>
      <c r="AV11" s="39">
        <v>281.78300000000002</v>
      </c>
      <c r="AW11" s="42">
        <v>-610.92600000000004</v>
      </c>
      <c r="AX11" s="38">
        <v>984.03</v>
      </c>
      <c r="AY11" s="39">
        <v>417.95499999999998</v>
      </c>
      <c r="AZ11" s="42">
        <v>-566.07500000000005</v>
      </c>
      <c r="BA11" s="38">
        <v>4030.9229999999998</v>
      </c>
      <c r="BB11" s="39">
        <v>333.04900000000004</v>
      </c>
      <c r="BC11" s="42">
        <v>-3697.8739999999998</v>
      </c>
      <c r="BD11" s="38">
        <v>2626.6260000000002</v>
      </c>
      <c r="BE11" s="39">
        <v>411.721</v>
      </c>
      <c r="BF11" s="42">
        <v>-2214.9050000000002</v>
      </c>
      <c r="BG11" s="38">
        <v>1889.838</v>
      </c>
      <c r="BH11" s="39">
        <v>200.464</v>
      </c>
      <c r="BI11" s="42">
        <v>-1689.374</v>
      </c>
      <c r="BJ11" s="38">
        <v>4004.0459999999998</v>
      </c>
      <c r="BK11" s="39">
        <v>157.048</v>
      </c>
      <c r="BL11" s="42">
        <v>-3846.9979999999996</v>
      </c>
      <c r="BM11" s="38">
        <v>3327.2539999999999</v>
      </c>
      <c r="BN11" s="39">
        <v>553.01700000000005</v>
      </c>
      <c r="BO11" s="42">
        <v>-2774.2369999999996</v>
      </c>
      <c r="BP11" s="38">
        <v>5264.4750000000004</v>
      </c>
      <c r="BQ11" s="39">
        <v>6900.1959999999999</v>
      </c>
      <c r="BR11" s="42">
        <v>1635.7209999999995</v>
      </c>
      <c r="BS11" s="38">
        <v>7589.9489999999996</v>
      </c>
      <c r="BT11" s="39">
        <v>1044.575</v>
      </c>
      <c r="BU11" s="42">
        <v>-6545.3739999999998</v>
      </c>
      <c r="BV11" s="38">
        <v>15906.897999999999</v>
      </c>
      <c r="BW11" s="39">
        <v>950.09799999999996</v>
      </c>
      <c r="BX11" s="42">
        <v>-14956.8</v>
      </c>
      <c r="BY11" s="38">
        <v>31854.588</v>
      </c>
      <c r="BZ11" s="39">
        <v>937.57800000000009</v>
      </c>
      <c r="CA11" s="42">
        <v>-30917.01</v>
      </c>
      <c r="CB11" s="38">
        <v>75664.797000000006</v>
      </c>
      <c r="CC11" s="39">
        <v>7560.0830000000005</v>
      </c>
      <c r="CD11" s="42">
        <v>-68104.714000000007</v>
      </c>
      <c r="CE11" s="38">
        <v>97518.772000000012</v>
      </c>
      <c r="CF11" s="39">
        <v>4665.7070000000003</v>
      </c>
      <c r="CG11" s="42">
        <v>-92853.065000000017</v>
      </c>
      <c r="CH11" s="38">
        <v>53188</v>
      </c>
      <c r="CI11" s="39">
        <v>30597</v>
      </c>
      <c r="CJ11" s="42">
        <v>-22591</v>
      </c>
      <c r="CK11" s="31">
        <v>54914</v>
      </c>
      <c r="CL11" s="39">
        <v>7933</v>
      </c>
      <c r="CM11" s="58">
        <v>-46981</v>
      </c>
      <c r="CN11" s="31">
        <v>138361</v>
      </c>
      <c r="CO11" s="39">
        <v>35023</v>
      </c>
      <c r="CP11" s="58">
        <v>-103338</v>
      </c>
    </row>
    <row r="12" spans="1:94" s="31" customFormat="1">
      <c r="A12" s="47" t="s">
        <v>678</v>
      </c>
      <c r="B12" s="38">
        <v>117</v>
      </c>
      <c r="C12" s="39">
        <v>7.7679999999999998</v>
      </c>
      <c r="D12" s="42">
        <v>-109.232</v>
      </c>
      <c r="E12" s="38">
        <v>170.69800000000001</v>
      </c>
      <c r="F12" s="39">
        <v>7.468</v>
      </c>
      <c r="G12" s="42">
        <v>-163.22999999999999</v>
      </c>
      <c r="H12" s="38">
        <v>91.596000000000004</v>
      </c>
      <c r="I12" s="39">
        <v>3.4769999999999999</v>
      </c>
      <c r="J12" s="42">
        <v>-88.119</v>
      </c>
      <c r="K12" s="38">
        <v>234.119</v>
      </c>
      <c r="L12" s="39">
        <v>8.3789999999999996</v>
      </c>
      <c r="M12" s="42">
        <v>-225.74</v>
      </c>
      <c r="N12" s="38">
        <v>62.982999999999997</v>
      </c>
      <c r="O12" s="39">
        <v>22.248000000000001</v>
      </c>
      <c r="P12" s="42">
        <v>-40.734999999999999</v>
      </c>
      <c r="Q12" s="38">
        <v>221.702</v>
      </c>
      <c r="R12" s="39">
        <v>26.655999999999999</v>
      </c>
      <c r="S12" s="42">
        <v>-195.04599999999999</v>
      </c>
      <c r="T12" s="38">
        <v>83.326999999999998</v>
      </c>
      <c r="U12" s="39">
        <v>11.627000000000001</v>
      </c>
      <c r="V12" s="42">
        <v>-71.7</v>
      </c>
      <c r="W12" s="38">
        <v>262.80700000000002</v>
      </c>
      <c r="X12" s="39">
        <v>10.663</v>
      </c>
      <c r="Y12" s="42">
        <v>-252.14400000000001</v>
      </c>
      <c r="Z12" s="38">
        <v>885.78599999999994</v>
      </c>
      <c r="AA12" s="39">
        <v>39.381999999999998</v>
      </c>
      <c r="AB12" s="42">
        <v>-846.404</v>
      </c>
      <c r="AC12" s="38">
        <v>647.81100000000004</v>
      </c>
      <c r="AD12" s="39">
        <v>13.337999999999999</v>
      </c>
      <c r="AE12" s="42">
        <v>-634.47300000000007</v>
      </c>
      <c r="AF12" s="38">
        <v>135.256</v>
      </c>
      <c r="AG12" s="39">
        <v>1.833</v>
      </c>
      <c r="AH12" s="42">
        <v>-133.423</v>
      </c>
      <c r="AI12" s="38">
        <v>129.77100000000002</v>
      </c>
      <c r="AJ12" s="39">
        <v>10.776</v>
      </c>
      <c r="AK12" s="42">
        <v>-118.995</v>
      </c>
      <c r="AL12" s="38">
        <v>1263.8800000000001</v>
      </c>
      <c r="AM12" s="39">
        <v>22.318000000000001</v>
      </c>
      <c r="AN12" s="42">
        <v>-1241.5619999999999</v>
      </c>
      <c r="AO12" s="38">
        <v>292.31800000000004</v>
      </c>
      <c r="AP12" s="39">
        <v>38.356000000000002</v>
      </c>
      <c r="AQ12" s="42">
        <v>-253.96200000000005</v>
      </c>
      <c r="AR12" s="38">
        <v>226.49600000000001</v>
      </c>
      <c r="AS12" s="39">
        <v>1654.2650000000001</v>
      </c>
      <c r="AT12" s="42">
        <v>1427.769</v>
      </c>
      <c r="AU12" s="38">
        <v>775.68299999999999</v>
      </c>
      <c r="AV12" s="39">
        <v>262.202</v>
      </c>
      <c r="AW12" s="42">
        <v>-513.48099999999999</v>
      </c>
      <c r="AX12" s="38">
        <v>857.37099999999998</v>
      </c>
      <c r="AY12" s="39">
        <v>396.875</v>
      </c>
      <c r="AZ12" s="42">
        <v>-460.49599999999998</v>
      </c>
      <c r="BA12" s="38">
        <v>1266.8909999999996</v>
      </c>
      <c r="BB12" s="39">
        <v>249.99300000000002</v>
      </c>
      <c r="BC12" s="42">
        <v>-1016.8979999999996</v>
      </c>
      <c r="BD12" s="38">
        <v>1093.8070000000002</v>
      </c>
      <c r="BE12" s="39">
        <v>382.31900000000002</v>
      </c>
      <c r="BF12" s="42">
        <v>-711.48800000000028</v>
      </c>
      <c r="BG12" s="38">
        <v>481.39299999999992</v>
      </c>
      <c r="BH12" s="39">
        <v>161.595</v>
      </c>
      <c r="BI12" s="42">
        <v>-319.79799999999989</v>
      </c>
      <c r="BJ12" s="38">
        <v>1624.9789999999998</v>
      </c>
      <c r="BK12" s="39">
        <v>91.124000000000009</v>
      </c>
      <c r="BL12" s="42">
        <v>-1533.855</v>
      </c>
      <c r="BM12" s="38">
        <v>1399.7209999999998</v>
      </c>
      <c r="BN12" s="39">
        <v>405.76900000000001</v>
      </c>
      <c r="BO12" s="42">
        <v>-993.95199999999977</v>
      </c>
      <c r="BP12" s="38">
        <v>3813.5880000000006</v>
      </c>
      <c r="BQ12" s="39">
        <v>1915.7759999999998</v>
      </c>
      <c r="BR12" s="42">
        <v>-1897.8120000000008</v>
      </c>
      <c r="BS12" s="38">
        <v>5785.2739999999994</v>
      </c>
      <c r="BT12" s="39">
        <v>857.94600000000003</v>
      </c>
      <c r="BU12" s="42">
        <v>-4927.3279999999995</v>
      </c>
      <c r="BV12" s="38">
        <v>14363.385</v>
      </c>
      <c r="BW12" s="39">
        <v>815.87199999999996</v>
      </c>
      <c r="BX12" s="42">
        <v>-13547.513000000001</v>
      </c>
      <c r="BY12" s="38">
        <v>17110.446</v>
      </c>
      <c r="BZ12" s="39">
        <v>259.02300000000002</v>
      </c>
      <c r="CA12" s="42">
        <v>-16851.422999999999</v>
      </c>
      <c r="CB12" s="38">
        <v>50155.798000000003</v>
      </c>
      <c r="CC12" s="39">
        <v>6725.5280000000002</v>
      </c>
      <c r="CD12" s="42">
        <v>-43430.27</v>
      </c>
      <c r="CE12" s="38">
        <v>77733.853000000003</v>
      </c>
      <c r="CF12" s="39">
        <v>897.779</v>
      </c>
      <c r="CG12" s="42">
        <v>-76836.074000000008</v>
      </c>
      <c r="CH12" s="38">
        <v>23100</v>
      </c>
      <c r="CI12" s="39">
        <v>15382</v>
      </c>
      <c r="CJ12" s="42">
        <v>-7718</v>
      </c>
      <c r="CK12" s="31">
        <v>33585</v>
      </c>
      <c r="CL12" s="39">
        <v>3169</v>
      </c>
      <c r="CM12" s="58">
        <v>-30416</v>
      </c>
      <c r="CN12" s="31">
        <v>73581</v>
      </c>
      <c r="CO12" s="39">
        <v>1883</v>
      </c>
      <c r="CP12" s="58">
        <v>-71698</v>
      </c>
    </row>
    <row r="13" spans="1:94" s="31" customFormat="1">
      <c r="A13" s="47" t="s">
        <v>679</v>
      </c>
      <c r="B13" s="375" t="s">
        <v>640</v>
      </c>
      <c r="C13" s="51" t="s">
        <v>640</v>
      </c>
      <c r="D13" s="52" t="s">
        <v>640</v>
      </c>
      <c r="E13" s="375" t="s">
        <v>640</v>
      </c>
      <c r="F13" s="51" t="s">
        <v>640</v>
      </c>
      <c r="G13" s="52" t="s">
        <v>640</v>
      </c>
      <c r="H13" s="375" t="s">
        <v>640</v>
      </c>
      <c r="I13" s="51" t="s">
        <v>640</v>
      </c>
      <c r="J13" s="52" t="s">
        <v>640</v>
      </c>
      <c r="K13" s="375" t="s">
        <v>640</v>
      </c>
      <c r="L13" s="51" t="s">
        <v>640</v>
      </c>
      <c r="M13" s="52" t="s">
        <v>640</v>
      </c>
      <c r="N13" s="375" t="s">
        <v>640</v>
      </c>
      <c r="O13" s="51" t="s">
        <v>640</v>
      </c>
      <c r="P13" s="52" t="s">
        <v>640</v>
      </c>
      <c r="Q13" s="375" t="s">
        <v>640</v>
      </c>
      <c r="R13" s="51" t="s">
        <v>640</v>
      </c>
      <c r="S13" s="52" t="s">
        <v>640</v>
      </c>
      <c r="T13" s="375" t="s">
        <v>640</v>
      </c>
      <c r="U13" s="51" t="s">
        <v>640</v>
      </c>
      <c r="V13" s="52" t="s">
        <v>640</v>
      </c>
      <c r="W13" s="375" t="s">
        <v>640</v>
      </c>
      <c r="X13" s="51" t="s">
        <v>640</v>
      </c>
      <c r="Y13" s="52" t="s">
        <v>640</v>
      </c>
      <c r="Z13" s="375" t="s">
        <v>640</v>
      </c>
      <c r="AA13" s="51" t="s">
        <v>640</v>
      </c>
      <c r="AB13" s="52" t="s">
        <v>640</v>
      </c>
      <c r="AC13" s="375" t="s">
        <v>640</v>
      </c>
      <c r="AD13" s="51" t="s">
        <v>640</v>
      </c>
      <c r="AE13" s="52" t="s">
        <v>640</v>
      </c>
      <c r="AF13" s="375" t="s">
        <v>640</v>
      </c>
      <c r="AG13" s="51" t="s">
        <v>640</v>
      </c>
      <c r="AH13" s="52" t="s">
        <v>640</v>
      </c>
      <c r="AI13" s="38">
        <v>22.831</v>
      </c>
      <c r="AJ13" s="39">
        <v>0</v>
      </c>
      <c r="AK13" s="42">
        <v>-22.831</v>
      </c>
      <c r="AL13" s="38">
        <v>6.7089999999999996</v>
      </c>
      <c r="AM13" s="39">
        <v>0</v>
      </c>
      <c r="AN13" s="42">
        <v>-6.7089999999999996</v>
      </c>
      <c r="AO13" s="38">
        <v>0</v>
      </c>
      <c r="AP13" s="39">
        <v>0</v>
      </c>
      <c r="AQ13" s="42">
        <v>0</v>
      </c>
      <c r="AR13" s="38">
        <v>28.937999999999999</v>
      </c>
      <c r="AS13" s="39">
        <v>0</v>
      </c>
      <c r="AT13" s="42">
        <v>-28.937999999999999</v>
      </c>
      <c r="AU13" s="38">
        <v>33.484000000000002</v>
      </c>
      <c r="AV13" s="39">
        <v>0</v>
      </c>
      <c r="AW13" s="42">
        <v>-33.484000000000002</v>
      </c>
      <c r="AX13" s="38">
        <v>6.2060000000000004</v>
      </c>
      <c r="AY13" s="39">
        <v>0</v>
      </c>
      <c r="AZ13" s="42">
        <v>-6.2060000000000004</v>
      </c>
      <c r="BA13" s="38">
        <v>22.57</v>
      </c>
      <c r="BB13" s="39">
        <v>0</v>
      </c>
      <c r="BC13" s="42">
        <v>-22.57</v>
      </c>
      <c r="BD13" s="38">
        <v>146.489</v>
      </c>
      <c r="BE13" s="39">
        <v>0</v>
      </c>
      <c r="BF13" s="42">
        <v>-146.489</v>
      </c>
      <c r="BG13" s="38">
        <v>108.97199999999999</v>
      </c>
      <c r="BH13" s="39">
        <v>0</v>
      </c>
      <c r="BI13" s="42">
        <v>-108.97199999999999</v>
      </c>
      <c r="BJ13" s="38">
        <v>227.16800000000001</v>
      </c>
      <c r="BK13" s="39">
        <v>0</v>
      </c>
      <c r="BL13" s="42">
        <v>-227.16800000000001</v>
      </c>
      <c r="BM13" s="38">
        <v>179.626</v>
      </c>
      <c r="BN13" s="39">
        <v>0</v>
      </c>
      <c r="BO13" s="42">
        <v>-179.626</v>
      </c>
      <c r="BP13" s="38">
        <v>102.43700000000001</v>
      </c>
      <c r="BQ13" s="39">
        <v>0</v>
      </c>
      <c r="BR13" s="42">
        <v>-102.43700000000001</v>
      </c>
      <c r="BS13" s="38">
        <v>323.97500000000002</v>
      </c>
      <c r="BT13" s="39">
        <v>0</v>
      </c>
      <c r="BU13" s="42">
        <v>-323.97500000000002</v>
      </c>
      <c r="BV13" s="38">
        <v>13.422000000000001</v>
      </c>
      <c r="BW13" s="39">
        <v>0</v>
      </c>
      <c r="BX13" s="42">
        <v>-13.422000000000001</v>
      </c>
      <c r="BY13" s="38">
        <v>574.06799999999998</v>
      </c>
      <c r="BZ13" s="39">
        <v>0</v>
      </c>
      <c r="CA13" s="42">
        <v>-574.06799999999998</v>
      </c>
      <c r="CB13" s="38">
        <v>14.141999999999999</v>
      </c>
      <c r="CC13" s="39">
        <v>0</v>
      </c>
      <c r="CD13" s="42">
        <v>-14.141999999999999</v>
      </c>
      <c r="CE13" s="38">
        <v>90.272000000000006</v>
      </c>
      <c r="CF13" s="39">
        <v>0</v>
      </c>
      <c r="CG13" s="42">
        <v>-90.272000000000006</v>
      </c>
      <c r="CH13" s="38">
        <v>1997</v>
      </c>
      <c r="CI13" s="39">
        <v>59</v>
      </c>
      <c r="CJ13" s="42">
        <v>-1938</v>
      </c>
      <c r="CK13" s="31">
        <v>1</v>
      </c>
      <c r="CL13" s="39">
        <v>1</v>
      </c>
      <c r="CM13" s="58">
        <v>0</v>
      </c>
      <c r="CN13" s="31">
        <v>63</v>
      </c>
      <c r="CO13" s="39">
        <v>3</v>
      </c>
      <c r="CP13" s="58">
        <v>-60</v>
      </c>
    </row>
    <row r="14" spans="1:94" s="31" customFormat="1">
      <c r="A14" s="47" t="s">
        <v>680</v>
      </c>
      <c r="B14" s="38">
        <v>12.999000000000001</v>
      </c>
      <c r="C14" s="39">
        <v>6.75</v>
      </c>
      <c r="D14" s="42">
        <v>-6.2490000000000006</v>
      </c>
      <c r="E14" s="38">
        <v>51.109000000000002</v>
      </c>
      <c r="F14" s="39">
        <v>4.6210000000000004</v>
      </c>
      <c r="G14" s="42">
        <v>-46.488</v>
      </c>
      <c r="H14" s="38">
        <v>112.831</v>
      </c>
      <c r="I14" s="39">
        <v>2.9420000000000002</v>
      </c>
      <c r="J14" s="42">
        <v>-109.88900000000001</v>
      </c>
      <c r="K14" s="38">
        <v>106.43899999999999</v>
      </c>
      <c r="L14" s="39">
        <v>3.2050000000000001</v>
      </c>
      <c r="M14" s="42">
        <v>-103.23399999999999</v>
      </c>
      <c r="N14" s="38">
        <v>57.689</v>
      </c>
      <c r="O14" s="39">
        <v>14.789</v>
      </c>
      <c r="P14" s="42">
        <v>-42.9</v>
      </c>
      <c r="Q14" s="38">
        <v>140.16300000000001</v>
      </c>
      <c r="R14" s="39">
        <v>24.940999999999999</v>
      </c>
      <c r="S14" s="42">
        <v>-115.22200000000001</v>
      </c>
      <c r="T14" s="38">
        <v>48.420999999999999</v>
      </c>
      <c r="U14" s="39">
        <v>13.122</v>
      </c>
      <c r="V14" s="42">
        <v>-35.298999999999999</v>
      </c>
      <c r="W14" s="38">
        <v>117.492</v>
      </c>
      <c r="X14" s="39">
        <v>10.96</v>
      </c>
      <c r="Y14" s="42">
        <v>-106.53200000000001</v>
      </c>
      <c r="Z14" s="38">
        <v>213.09</v>
      </c>
      <c r="AA14" s="39">
        <v>33.201999999999998</v>
      </c>
      <c r="AB14" s="42">
        <v>-179.88800000000001</v>
      </c>
      <c r="AC14" s="38">
        <v>247.73500000000001</v>
      </c>
      <c r="AD14" s="39">
        <v>5</v>
      </c>
      <c r="AE14" s="42">
        <v>-242.73500000000001</v>
      </c>
      <c r="AF14" s="38">
        <v>23.954000000000001</v>
      </c>
      <c r="AG14" s="39">
        <v>0</v>
      </c>
      <c r="AH14" s="42">
        <v>-23.954000000000001</v>
      </c>
      <c r="AI14" s="38">
        <v>65.622</v>
      </c>
      <c r="AJ14" s="39">
        <v>5.8259999999999996</v>
      </c>
      <c r="AK14" s="42">
        <v>-59.795999999999999</v>
      </c>
      <c r="AL14" s="38">
        <v>0</v>
      </c>
      <c r="AM14" s="39">
        <v>12.680999999999999</v>
      </c>
      <c r="AN14" s="42">
        <v>12.680999999999999</v>
      </c>
      <c r="AO14" s="38">
        <v>0</v>
      </c>
      <c r="AP14" s="39">
        <v>13.762</v>
      </c>
      <c r="AQ14" s="42">
        <v>13.762</v>
      </c>
      <c r="AR14" s="38">
        <v>1.1639999999999999</v>
      </c>
      <c r="AS14" s="39">
        <v>17.858000000000001</v>
      </c>
      <c r="AT14" s="42">
        <v>16.693999999999999</v>
      </c>
      <c r="AU14" s="38">
        <v>0</v>
      </c>
      <c r="AV14" s="39">
        <v>15.581</v>
      </c>
      <c r="AW14" s="42">
        <v>15.581</v>
      </c>
      <c r="AX14" s="38">
        <v>0.502</v>
      </c>
      <c r="AY14" s="39">
        <v>21.08</v>
      </c>
      <c r="AZ14" s="42">
        <v>20.577999999999999</v>
      </c>
      <c r="BA14" s="38">
        <v>2424.8380000000002</v>
      </c>
      <c r="BB14" s="39">
        <v>81.055999999999997</v>
      </c>
      <c r="BC14" s="42">
        <v>-2343.7820000000002</v>
      </c>
      <c r="BD14" s="38">
        <v>506.286</v>
      </c>
      <c r="BE14" s="39">
        <v>29.402000000000001</v>
      </c>
      <c r="BF14" s="42">
        <v>-476.88400000000001</v>
      </c>
      <c r="BG14" s="38">
        <v>452.42200000000003</v>
      </c>
      <c r="BH14" s="39">
        <v>38.869</v>
      </c>
      <c r="BI14" s="42">
        <v>-413.553</v>
      </c>
      <c r="BJ14" s="38">
        <v>684.89699999999993</v>
      </c>
      <c r="BK14" s="39">
        <v>31.923999999999999</v>
      </c>
      <c r="BL14" s="42">
        <v>-652.97299999999996</v>
      </c>
      <c r="BM14" s="38">
        <v>650.15199999999993</v>
      </c>
      <c r="BN14" s="39">
        <v>147.24799999999999</v>
      </c>
      <c r="BO14" s="42">
        <v>-502.90399999999994</v>
      </c>
      <c r="BP14" s="38">
        <v>558.98599999999999</v>
      </c>
      <c r="BQ14" s="39">
        <v>4984.42</v>
      </c>
      <c r="BR14" s="42">
        <v>4425.4340000000002</v>
      </c>
      <c r="BS14" s="38">
        <v>433.19799999999998</v>
      </c>
      <c r="BT14" s="39">
        <v>108.629</v>
      </c>
      <c r="BU14" s="42">
        <v>-324.56899999999996</v>
      </c>
      <c r="BV14" s="38">
        <v>1046.1109999999999</v>
      </c>
      <c r="BW14" s="39">
        <v>134.226</v>
      </c>
      <c r="BX14" s="42">
        <v>-911.88499999999999</v>
      </c>
      <c r="BY14" s="38">
        <v>13303.694</v>
      </c>
      <c r="BZ14" s="39">
        <v>678.55499999999995</v>
      </c>
      <c r="CA14" s="42">
        <v>-12625.138999999999</v>
      </c>
      <c r="CB14" s="38">
        <v>23434.916000000001</v>
      </c>
      <c r="CC14" s="39">
        <v>834.55499999999995</v>
      </c>
      <c r="CD14" s="42">
        <v>-22600.361000000001</v>
      </c>
      <c r="CE14" s="38">
        <v>13393.363000000001</v>
      </c>
      <c r="CF14" s="39">
        <v>3767.9279999999999</v>
      </c>
      <c r="CG14" s="42">
        <v>-9625.4350000000013</v>
      </c>
      <c r="CH14" s="38">
        <v>19354</v>
      </c>
      <c r="CI14" s="39">
        <v>12542</v>
      </c>
      <c r="CJ14" s="42">
        <v>-6812</v>
      </c>
      <c r="CK14" s="31">
        <v>16496</v>
      </c>
      <c r="CL14" s="39">
        <v>3989</v>
      </c>
      <c r="CM14" s="58">
        <v>-12507</v>
      </c>
      <c r="CN14" s="31">
        <v>38663</v>
      </c>
      <c r="CO14" s="39">
        <v>32631</v>
      </c>
      <c r="CP14" s="58">
        <v>-6032</v>
      </c>
    </row>
    <row r="15" spans="1:94" s="31" customFormat="1">
      <c r="A15" s="47" t="s">
        <v>681</v>
      </c>
      <c r="B15" s="38">
        <v>1</v>
      </c>
      <c r="C15" s="39">
        <v>20</v>
      </c>
      <c r="D15" s="42">
        <v>19</v>
      </c>
      <c r="E15" s="38">
        <v>1.724</v>
      </c>
      <c r="F15" s="39">
        <v>20.388000000000002</v>
      </c>
      <c r="G15" s="42">
        <v>18.664000000000001</v>
      </c>
      <c r="H15" s="38">
        <v>0.61399999999999999</v>
      </c>
      <c r="I15" s="39">
        <v>19.41</v>
      </c>
      <c r="J15" s="42">
        <v>18.795999999999999</v>
      </c>
      <c r="K15" s="38">
        <v>3.81</v>
      </c>
      <c r="L15" s="39">
        <v>54.706000000000003</v>
      </c>
      <c r="M15" s="42">
        <v>50.896000000000001</v>
      </c>
      <c r="N15" s="38">
        <v>0.28100000000000003</v>
      </c>
      <c r="O15" s="39">
        <v>14.837999999999999</v>
      </c>
      <c r="P15" s="42">
        <v>14.556999999999999</v>
      </c>
      <c r="Q15" s="38">
        <v>1.9350000000000001</v>
      </c>
      <c r="R15" s="39">
        <v>17.901</v>
      </c>
      <c r="S15" s="42">
        <v>15.965999999999999</v>
      </c>
      <c r="T15" s="38">
        <v>7.75</v>
      </c>
      <c r="U15" s="39">
        <v>18.553999999999998</v>
      </c>
      <c r="V15" s="42">
        <v>10.803999999999998</v>
      </c>
      <c r="W15" s="38">
        <v>2.35</v>
      </c>
      <c r="X15" s="39">
        <v>12.992000000000001</v>
      </c>
      <c r="Y15" s="42">
        <v>10.642000000000001</v>
      </c>
      <c r="Z15" s="38">
        <v>48.811999999999998</v>
      </c>
      <c r="AA15" s="39">
        <v>11.753</v>
      </c>
      <c r="AB15" s="42">
        <v>-37.058999999999997</v>
      </c>
      <c r="AC15" s="38">
        <v>50.076000000000001</v>
      </c>
      <c r="AD15" s="39">
        <v>13.090999999999999</v>
      </c>
      <c r="AE15" s="42">
        <v>-36.984999999999999</v>
      </c>
      <c r="AF15" s="38">
        <v>4.9950000000000001</v>
      </c>
      <c r="AG15" s="39">
        <v>1.75</v>
      </c>
      <c r="AH15" s="42">
        <v>-3.2450000000000001</v>
      </c>
      <c r="AI15" s="38">
        <v>3.3029999999999999</v>
      </c>
      <c r="AJ15" s="39">
        <v>1.544</v>
      </c>
      <c r="AK15" s="42">
        <v>-1.7589999999999999</v>
      </c>
      <c r="AL15" s="38">
        <v>1.1279999999999999</v>
      </c>
      <c r="AM15" s="39">
        <v>0</v>
      </c>
      <c r="AN15" s="42">
        <v>-1.1279999999999999</v>
      </c>
      <c r="AO15" s="38">
        <v>12.09</v>
      </c>
      <c r="AP15" s="39">
        <v>0</v>
      </c>
      <c r="AQ15" s="42">
        <v>-12.09</v>
      </c>
      <c r="AR15" s="38">
        <v>14.714</v>
      </c>
      <c r="AS15" s="39">
        <v>34.889000000000003</v>
      </c>
      <c r="AT15" s="42">
        <v>20.175000000000001</v>
      </c>
      <c r="AU15" s="38">
        <v>22</v>
      </c>
      <c r="AV15" s="39">
        <v>4</v>
      </c>
      <c r="AW15" s="42">
        <v>-18</v>
      </c>
      <c r="AX15" s="38">
        <v>6</v>
      </c>
      <c r="AY15" s="39">
        <v>0</v>
      </c>
      <c r="AZ15" s="42">
        <v>-6</v>
      </c>
      <c r="BA15" s="38">
        <v>3</v>
      </c>
      <c r="BB15" s="39">
        <v>2</v>
      </c>
      <c r="BC15" s="42">
        <v>-1</v>
      </c>
      <c r="BD15" s="38">
        <v>6</v>
      </c>
      <c r="BE15" s="39">
        <v>0</v>
      </c>
      <c r="BF15" s="42">
        <v>-6</v>
      </c>
      <c r="BG15" s="38">
        <v>0</v>
      </c>
      <c r="BH15" s="39">
        <v>0</v>
      </c>
      <c r="BI15" s="42">
        <v>0</v>
      </c>
      <c r="BJ15" s="38">
        <v>12</v>
      </c>
      <c r="BK15" s="39">
        <v>34</v>
      </c>
      <c r="BL15" s="42">
        <v>22</v>
      </c>
      <c r="BM15" s="38">
        <v>0</v>
      </c>
      <c r="BN15" s="39">
        <v>0</v>
      </c>
      <c r="BO15" s="42">
        <v>0</v>
      </c>
      <c r="BP15" s="38">
        <v>0</v>
      </c>
      <c r="BQ15" s="39">
        <v>0</v>
      </c>
      <c r="BR15" s="42">
        <v>0</v>
      </c>
      <c r="BS15" s="38">
        <v>10</v>
      </c>
      <c r="BT15" s="39">
        <v>78</v>
      </c>
      <c r="BU15" s="42">
        <v>68</v>
      </c>
      <c r="BV15" s="38">
        <v>54</v>
      </c>
      <c r="BW15" s="39">
        <v>0</v>
      </c>
      <c r="BX15" s="42">
        <v>-54</v>
      </c>
      <c r="BY15" s="38">
        <v>46</v>
      </c>
      <c r="BZ15" s="39">
        <v>0</v>
      </c>
      <c r="CA15" s="42">
        <v>-46</v>
      </c>
      <c r="CB15" s="38">
        <v>95</v>
      </c>
      <c r="CC15" s="39">
        <v>0</v>
      </c>
      <c r="CD15" s="42">
        <v>-95</v>
      </c>
      <c r="CE15" s="38">
        <v>411</v>
      </c>
      <c r="CF15" s="39">
        <v>0</v>
      </c>
      <c r="CG15" s="42">
        <v>-411</v>
      </c>
      <c r="CH15" s="38">
        <v>1638</v>
      </c>
      <c r="CI15" s="39">
        <v>445</v>
      </c>
      <c r="CJ15" s="42">
        <v>-1193</v>
      </c>
      <c r="CK15" s="31">
        <v>2998</v>
      </c>
      <c r="CL15" s="39">
        <v>631</v>
      </c>
      <c r="CM15" s="58">
        <v>-2367</v>
      </c>
      <c r="CN15" s="31">
        <v>3694</v>
      </c>
      <c r="CO15" s="39">
        <v>461</v>
      </c>
      <c r="CP15" s="58">
        <v>-3233</v>
      </c>
    </row>
    <row r="16" spans="1:94" s="31" customFormat="1">
      <c r="A16" s="47" t="s">
        <v>682</v>
      </c>
      <c r="B16" s="375" t="s">
        <v>640</v>
      </c>
      <c r="C16" s="51" t="s">
        <v>640</v>
      </c>
      <c r="D16" s="52" t="s">
        <v>640</v>
      </c>
      <c r="E16" s="375" t="s">
        <v>640</v>
      </c>
      <c r="F16" s="51" t="s">
        <v>640</v>
      </c>
      <c r="G16" s="52" t="s">
        <v>640</v>
      </c>
      <c r="H16" s="375" t="s">
        <v>640</v>
      </c>
      <c r="I16" s="51" t="s">
        <v>640</v>
      </c>
      <c r="J16" s="52" t="s">
        <v>640</v>
      </c>
      <c r="K16" s="375" t="s">
        <v>640</v>
      </c>
      <c r="L16" s="51" t="s">
        <v>640</v>
      </c>
      <c r="M16" s="52" t="s">
        <v>640</v>
      </c>
      <c r="N16" s="375" t="s">
        <v>640</v>
      </c>
      <c r="O16" s="51" t="s">
        <v>640</v>
      </c>
      <c r="P16" s="52" t="s">
        <v>640</v>
      </c>
      <c r="Q16" s="375" t="s">
        <v>640</v>
      </c>
      <c r="R16" s="51" t="s">
        <v>640</v>
      </c>
      <c r="S16" s="52" t="s">
        <v>640</v>
      </c>
      <c r="T16" s="375" t="s">
        <v>640</v>
      </c>
      <c r="U16" s="51" t="s">
        <v>640</v>
      </c>
      <c r="V16" s="52" t="s">
        <v>640</v>
      </c>
      <c r="W16" s="375" t="s">
        <v>640</v>
      </c>
      <c r="X16" s="51" t="s">
        <v>640</v>
      </c>
      <c r="Y16" s="52" t="s">
        <v>640</v>
      </c>
      <c r="Z16" s="375" t="s">
        <v>640</v>
      </c>
      <c r="AA16" s="51" t="s">
        <v>640</v>
      </c>
      <c r="AB16" s="52" t="s">
        <v>640</v>
      </c>
      <c r="AC16" s="375" t="s">
        <v>640</v>
      </c>
      <c r="AD16" s="51" t="s">
        <v>640</v>
      </c>
      <c r="AE16" s="52" t="s">
        <v>640</v>
      </c>
      <c r="AF16" s="375" t="s">
        <v>640</v>
      </c>
      <c r="AG16" s="51" t="s">
        <v>640</v>
      </c>
      <c r="AH16" s="52" t="s">
        <v>640</v>
      </c>
      <c r="AI16" s="38">
        <v>16.219000000000001</v>
      </c>
      <c r="AJ16" s="39">
        <v>0</v>
      </c>
      <c r="AK16" s="42">
        <v>-16.219000000000001</v>
      </c>
      <c r="AL16" s="38">
        <v>0.82899999999999996</v>
      </c>
      <c r="AM16" s="39">
        <v>0</v>
      </c>
      <c r="AN16" s="42">
        <v>-0.82899999999999996</v>
      </c>
      <c r="AO16" s="38">
        <v>4.2409999999999997</v>
      </c>
      <c r="AP16" s="39">
        <v>0</v>
      </c>
      <c r="AQ16" s="42">
        <v>-4.2409999999999997</v>
      </c>
      <c r="AR16" s="38">
        <v>58.005000000000003</v>
      </c>
      <c r="AS16" s="39">
        <v>0</v>
      </c>
      <c r="AT16" s="42">
        <v>-58.005000000000003</v>
      </c>
      <c r="AU16" s="38">
        <v>61.542000000000002</v>
      </c>
      <c r="AV16" s="39">
        <v>0</v>
      </c>
      <c r="AW16" s="42">
        <v>-61.542000000000002</v>
      </c>
      <c r="AX16" s="38">
        <v>113.95099999999999</v>
      </c>
      <c r="AY16" s="39">
        <v>0</v>
      </c>
      <c r="AZ16" s="42">
        <v>-113.95099999999999</v>
      </c>
      <c r="BA16" s="38">
        <v>313.62400000000002</v>
      </c>
      <c r="BB16" s="39">
        <v>0</v>
      </c>
      <c r="BC16" s="330">
        <v>-313.62400000000002</v>
      </c>
      <c r="BD16" s="38">
        <v>874.04399999999998</v>
      </c>
      <c r="BE16" s="39">
        <v>0</v>
      </c>
      <c r="BF16" s="42">
        <v>-874.04399999999998</v>
      </c>
      <c r="BG16" s="38">
        <v>847.05100000000004</v>
      </c>
      <c r="BH16" s="39">
        <v>0</v>
      </c>
      <c r="BI16" s="42">
        <v>-847.05100000000004</v>
      </c>
      <c r="BJ16" s="38">
        <v>1455.002</v>
      </c>
      <c r="BK16" s="39">
        <v>0</v>
      </c>
      <c r="BL16" s="42">
        <v>-1455.002</v>
      </c>
      <c r="BM16" s="38">
        <v>1097.7550000000001</v>
      </c>
      <c r="BN16" s="39">
        <v>0</v>
      </c>
      <c r="BO16" s="42">
        <v>-1097.7550000000001</v>
      </c>
      <c r="BP16" s="38">
        <v>789.46399999999994</v>
      </c>
      <c r="BQ16" s="39">
        <v>0</v>
      </c>
      <c r="BR16" s="42">
        <v>-789.46399999999994</v>
      </c>
      <c r="BS16" s="38">
        <v>1037.502</v>
      </c>
      <c r="BT16" s="39">
        <v>0</v>
      </c>
      <c r="BU16" s="42">
        <v>-1037.502</v>
      </c>
      <c r="BV16" s="38">
        <v>429.98</v>
      </c>
      <c r="BW16" s="39">
        <v>0</v>
      </c>
      <c r="BX16" s="42">
        <v>-429.98</v>
      </c>
      <c r="BY16" s="38">
        <v>820.38</v>
      </c>
      <c r="BZ16" s="39">
        <v>0</v>
      </c>
      <c r="CA16" s="42">
        <v>-820.38</v>
      </c>
      <c r="CB16" s="38">
        <v>1964.9410000000003</v>
      </c>
      <c r="CC16" s="39">
        <v>0</v>
      </c>
      <c r="CD16" s="42">
        <v>-1964.9410000000003</v>
      </c>
      <c r="CE16" s="38">
        <v>5890.2840000000006</v>
      </c>
      <c r="CF16" s="39">
        <v>0</v>
      </c>
      <c r="CG16" s="42">
        <v>-5890.2840000000006</v>
      </c>
      <c r="CH16" s="38">
        <v>7099</v>
      </c>
      <c r="CI16" s="39">
        <v>2169</v>
      </c>
      <c r="CJ16" s="42">
        <v>-4930</v>
      </c>
      <c r="CK16" s="31">
        <v>1834</v>
      </c>
      <c r="CL16" s="39">
        <v>143</v>
      </c>
      <c r="CM16" s="58">
        <v>-1691</v>
      </c>
      <c r="CN16" s="31">
        <v>22360</v>
      </c>
      <c r="CO16" s="39">
        <v>45</v>
      </c>
      <c r="CP16" s="58">
        <v>-22315</v>
      </c>
    </row>
    <row r="17" spans="1:94" s="31" customFormat="1">
      <c r="A17" s="47" t="s">
        <v>683</v>
      </c>
      <c r="B17" s="38">
        <v>76.989999999999995</v>
      </c>
      <c r="C17" s="39">
        <v>802.553</v>
      </c>
      <c r="D17" s="42">
        <v>725.56299999999999</v>
      </c>
      <c r="E17" s="38">
        <v>49.325000000000003</v>
      </c>
      <c r="F17" s="39">
        <v>883.80399999999997</v>
      </c>
      <c r="G17" s="42">
        <v>834.47900000000004</v>
      </c>
      <c r="H17" s="38">
        <v>32.192</v>
      </c>
      <c r="I17" s="39">
        <v>817.21199999999999</v>
      </c>
      <c r="J17" s="42">
        <v>785.02</v>
      </c>
      <c r="K17" s="38">
        <v>114.39400000000001</v>
      </c>
      <c r="L17" s="39">
        <v>904.40599999999995</v>
      </c>
      <c r="M17" s="42">
        <v>790.01199999999994</v>
      </c>
      <c r="N17" s="38">
        <v>64.382999999999996</v>
      </c>
      <c r="O17" s="39">
        <v>819.78</v>
      </c>
      <c r="P17" s="42">
        <v>755.39699999999993</v>
      </c>
      <c r="Q17" s="38">
        <v>60.421000000000006</v>
      </c>
      <c r="R17" s="39">
        <v>830.01699999999994</v>
      </c>
      <c r="S17" s="42">
        <v>769.596</v>
      </c>
      <c r="T17" s="38">
        <v>109.633</v>
      </c>
      <c r="U17" s="39">
        <v>1591.9270000000001</v>
      </c>
      <c r="V17" s="42">
        <v>1482.2940000000001</v>
      </c>
      <c r="W17" s="38">
        <v>116.511</v>
      </c>
      <c r="X17" s="39">
        <v>2163.0250000000001</v>
      </c>
      <c r="Y17" s="42">
        <v>2046.5140000000001</v>
      </c>
      <c r="Z17" s="38">
        <v>420.79700000000003</v>
      </c>
      <c r="AA17" s="39">
        <v>2767.92</v>
      </c>
      <c r="AB17" s="42">
        <v>2347.123</v>
      </c>
      <c r="AC17" s="38">
        <v>169.608</v>
      </c>
      <c r="AD17" s="39">
        <v>2762.3249999999998</v>
      </c>
      <c r="AE17" s="42">
        <v>2592.7170000000001</v>
      </c>
      <c r="AF17" s="38">
        <v>505.43299999999999</v>
      </c>
      <c r="AG17" s="361">
        <v>3097.5149999999999</v>
      </c>
      <c r="AH17" s="42">
        <v>2592.0820000000003</v>
      </c>
      <c r="AI17" s="38">
        <v>363.24099999999999</v>
      </c>
      <c r="AJ17" s="39">
        <v>2246.2420000000002</v>
      </c>
      <c r="AK17" s="42">
        <v>1883.001</v>
      </c>
      <c r="AL17" s="38">
        <v>272.51499999999999</v>
      </c>
      <c r="AM17" s="39">
        <v>2558.6840000000002</v>
      </c>
      <c r="AN17" s="42">
        <v>2286.1690000000003</v>
      </c>
      <c r="AO17" s="38">
        <v>463.67100000000005</v>
      </c>
      <c r="AP17" s="39">
        <v>3384.172</v>
      </c>
      <c r="AQ17" s="42">
        <v>2920.5010000000002</v>
      </c>
      <c r="AR17" s="38">
        <v>2288.7600000000002</v>
      </c>
      <c r="AS17" s="39">
        <v>6125.0740000000005</v>
      </c>
      <c r="AT17" s="42">
        <v>3836.3139999999999</v>
      </c>
      <c r="AU17" s="38">
        <v>1191</v>
      </c>
      <c r="AV17" s="39">
        <v>9427</v>
      </c>
      <c r="AW17" s="42">
        <v>8236</v>
      </c>
      <c r="AX17" s="38">
        <v>1155</v>
      </c>
      <c r="AY17" s="39">
        <v>12418</v>
      </c>
      <c r="AZ17" s="42">
        <v>11263</v>
      </c>
      <c r="BA17" s="38">
        <v>1834</v>
      </c>
      <c r="BB17" s="39">
        <v>14210</v>
      </c>
      <c r="BC17" s="42">
        <v>12376</v>
      </c>
      <c r="BD17" s="38">
        <v>1963</v>
      </c>
      <c r="BE17" s="39">
        <v>19143</v>
      </c>
      <c r="BF17" s="42">
        <v>17180</v>
      </c>
      <c r="BG17" s="38">
        <v>1219</v>
      </c>
      <c r="BH17" s="39">
        <v>33421</v>
      </c>
      <c r="BI17" s="42">
        <v>32202</v>
      </c>
      <c r="BJ17" s="38">
        <v>2596</v>
      </c>
      <c r="BK17" s="39">
        <v>52612</v>
      </c>
      <c r="BL17" s="42">
        <v>50016</v>
      </c>
      <c r="BM17" s="38">
        <v>3239</v>
      </c>
      <c r="BN17" s="39">
        <v>44083</v>
      </c>
      <c r="BO17" s="42">
        <v>40844</v>
      </c>
      <c r="BP17" s="38">
        <v>10275</v>
      </c>
      <c r="BQ17" s="39">
        <v>82953</v>
      </c>
      <c r="BR17" s="42">
        <v>72678</v>
      </c>
      <c r="BS17" s="38">
        <v>11349</v>
      </c>
      <c r="BT17" s="39">
        <v>154086</v>
      </c>
      <c r="BU17" s="42">
        <v>142737</v>
      </c>
      <c r="BV17" s="38">
        <v>20533.62</v>
      </c>
      <c r="BW17" s="39">
        <v>305260.69099999999</v>
      </c>
      <c r="BX17" s="42">
        <v>284727.071</v>
      </c>
      <c r="BY17" s="38">
        <v>77253.755999999994</v>
      </c>
      <c r="BZ17" s="39">
        <v>490878.14499999996</v>
      </c>
      <c r="CA17" s="42">
        <v>413624.38899999997</v>
      </c>
      <c r="CB17" s="38">
        <v>176938.848</v>
      </c>
      <c r="CC17" s="39">
        <v>545022.78399999999</v>
      </c>
      <c r="CD17" s="42">
        <v>368083.93599999999</v>
      </c>
      <c r="CE17" s="38">
        <v>182432.63</v>
      </c>
      <c r="CF17" s="39">
        <v>481828.40900000004</v>
      </c>
      <c r="CG17" s="42">
        <v>299395.77899999998</v>
      </c>
      <c r="CH17" s="38">
        <v>226268</v>
      </c>
      <c r="CI17" s="39">
        <v>475499</v>
      </c>
      <c r="CJ17" s="42">
        <v>249231</v>
      </c>
      <c r="CK17" s="31">
        <v>136259</v>
      </c>
      <c r="CL17" s="39">
        <v>344465</v>
      </c>
      <c r="CM17" s="58">
        <v>208206</v>
      </c>
      <c r="CN17" s="31">
        <v>544677</v>
      </c>
      <c r="CO17" s="39">
        <v>648896</v>
      </c>
      <c r="CP17" s="58">
        <v>104219</v>
      </c>
    </row>
    <row r="18" spans="1:94" s="31" customFormat="1">
      <c r="A18" s="47" t="s">
        <v>678</v>
      </c>
      <c r="B18" s="38">
        <v>6.875</v>
      </c>
      <c r="C18" s="39">
        <v>530.53399999999999</v>
      </c>
      <c r="D18" s="42">
        <v>523.65899999999999</v>
      </c>
      <c r="E18" s="38">
        <v>14.247</v>
      </c>
      <c r="F18" s="39">
        <v>574.35299999999995</v>
      </c>
      <c r="G18" s="42">
        <v>560.10599999999999</v>
      </c>
      <c r="H18" s="38">
        <v>14.69</v>
      </c>
      <c r="I18" s="39">
        <v>432.08199999999999</v>
      </c>
      <c r="J18" s="42">
        <v>417.392</v>
      </c>
      <c r="K18" s="38">
        <v>8.6780000000000008</v>
      </c>
      <c r="L18" s="39">
        <v>351.73</v>
      </c>
      <c r="M18" s="42">
        <v>343.05200000000002</v>
      </c>
      <c r="N18" s="38">
        <v>16.754000000000001</v>
      </c>
      <c r="O18" s="39">
        <v>403.31200000000001</v>
      </c>
      <c r="P18" s="42">
        <v>386.55799999999999</v>
      </c>
      <c r="Q18" s="38">
        <v>11.276</v>
      </c>
      <c r="R18" s="39">
        <v>475.86099999999999</v>
      </c>
      <c r="S18" s="42">
        <v>464.58499999999998</v>
      </c>
      <c r="T18" s="38">
        <v>18.788</v>
      </c>
      <c r="U18" s="39">
        <v>718.33399999999995</v>
      </c>
      <c r="V18" s="42">
        <v>699.54599999999994</v>
      </c>
      <c r="W18" s="38">
        <v>9.3930000000000007</v>
      </c>
      <c r="X18" s="39">
        <v>920.68100000000004</v>
      </c>
      <c r="Y18" s="42">
        <v>911.28800000000001</v>
      </c>
      <c r="Z18" s="38">
        <v>234.19300000000001</v>
      </c>
      <c r="AA18" s="39">
        <v>1492.675</v>
      </c>
      <c r="AB18" s="42">
        <v>1258.482</v>
      </c>
      <c r="AC18" s="38">
        <v>35.145000000000003</v>
      </c>
      <c r="AD18" s="39">
        <v>1549</v>
      </c>
      <c r="AE18" s="42">
        <v>1513.855</v>
      </c>
      <c r="AF18" s="38">
        <v>27.175000000000001</v>
      </c>
      <c r="AG18" s="39">
        <v>424.62400000000002</v>
      </c>
      <c r="AH18" s="42">
        <v>397.44900000000001</v>
      </c>
      <c r="AI18" s="38">
        <v>70.257000000000005</v>
      </c>
      <c r="AJ18" s="39">
        <v>525.33000000000004</v>
      </c>
      <c r="AK18" s="42">
        <v>455.07300000000004</v>
      </c>
      <c r="AL18" s="38">
        <v>102.616</v>
      </c>
      <c r="AM18" s="39">
        <v>1399.248</v>
      </c>
      <c r="AN18" s="42">
        <v>1296.6320000000001</v>
      </c>
      <c r="AO18" s="38">
        <v>49.869</v>
      </c>
      <c r="AP18" s="39">
        <v>1798.8989999999999</v>
      </c>
      <c r="AQ18" s="42">
        <v>1749.03</v>
      </c>
      <c r="AR18" s="38">
        <v>1500</v>
      </c>
      <c r="AS18" s="39">
        <v>3203.3310000000001</v>
      </c>
      <c r="AT18" s="42">
        <v>1703.3310000000001</v>
      </c>
      <c r="AU18" s="38">
        <v>52</v>
      </c>
      <c r="AV18" s="39">
        <v>4286</v>
      </c>
      <c r="AW18" s="42">
        <v>4234</v>
      </c>
      <c r="AX18" s="38">
        <v>44</v>
      </c>
      <c r="AY18" s="39">
        <v>6631</v>
      </c>
      <c r="AZ18" s="42">
        <v>6587</v>
      </c>
      <c r="BA18" s="38">
        <v>340</v>
      </c>
      <c r="BB18" s="39">
        <v>7156</v>
      </c>
      <c r="BC18" s="42">
        <v>6816</v>
      </c>
      <c r="BD18" s="38">
        <v>559</v>
      </c>
      <c r="BE18" s="39">
        <v>10884</v>
      </c>
      <c r="BF18" s="42">
        <v>10325</v>
      </c>
      <c r="BG18" s="38">
        <v>30</v>
      </c>
      <c r="BH18" s="39">
        <v>20770</v>
      </c>
      <c r="BI18" s="42">
        <v>20740</v>
      </c>
      <c r="BJ18" s="38">
        <v>1041</v>
      </c>
      <c r="BK18" s="39">
        <v>32314</v>
      </c>
      <c r="BL18" s="42">
        <v>31273</v>
      </c>
      <c r="BM18" s="38">
        <v>1892</v>
      </c>
      <c r="BN18" s="39">
        <v>22010</v>
      </c>
      <c r="BO18" s="42">
        <v>20118</v>
      </c>
      <c r="BP18" s="38">
        <v>7166</v>
      </c>
      <c r="BQ18" s="39">
        <v>44405</v>
      </c>
      <c r="BR18" s="42">
        <v>37239</v>
      </c>
      <c r="BS18" s="38">
        <v>4578</v>
      </c>
      <c r="BT18" s="39">
        <v>89891</v>
      </c>
      <c r="BU18" s="42">
        <v>85313</v>
      </c>
      <c r="BV18" s="38">
        <v>8233.9359999999997</v>
      </c>
      <c r="BW18" s="39">
        <v>214336.83100000001</v>
      </c>
      <c r="BX18" s="42">
        <v>206102.89500000002</v>
      </c>
      <c r="BY18" s="38">
        <v>45211.426999999996</v>
      </c>
      <c r="BZ18" s="39">
        <v>356045.50699999998</v>
      </c>
      <c r="CA18" s="42">
        <v>310834.08</v>
      </c>
      <c r="CB18" s="38">
        <v>125698.833</v>
      </c>
      <c r="CC18" s="39">
        <v>446687.28899999999</v>
      </c>
      <c r="CD18" s="42">
        <v>320988.45600000001</v>
      </c>
      <c r="CE18" s="38">
        <v>140209.17500000002</v>
      </c>
      <c r="CF18" s="39">
        <v>386893.53</v>
      </c>
      <c r="CG18" s="42">
        <v>246684.35500000001</v>
      </c>
      <c r="CH18" s="38">
        <v>168861</v>
      </c>
      <c r="CI18" s="39">
        <v>341565</v>
      </c>
      <c r="CJ18" s="42">
        <v>172704</v>
      </c>
      <c r="CK18" s="31">
        <v>38583</v>
      </c>
      <c r="CL18" s="39">
        <v>199363</v>
      </c>
      <c r="CM18" s="58">
        <v>160780</v>
      </c>
      <c r="CN18" s="31">
        <v>166510</v>
      </c>
      <c r="CO18" s="39">
        <v>189867</v>
      </c>
      <c r="CP18" s="58">
        <v>23357</v>
      </c>
    </row>
    <row r="19" spans="1:94" s="31" customFormat="1">
      <c r="A19" s="47" t="s">
        <v>679</v>
      </c>
      <c r="B19" s="375" t="s">
        <v>640</v>
      </c>
      <c r="C19" s="51" t="s">
        <v>640</v>
      </c>
      <c r="D19" s="52" t="s">
        <v>640</v>
      </c>
      <c r="E19" s="375" t="s">
        <v>640</v>
      </c>
      <c r="F19" s="51" t="s">
        <v>640</v>
      </c>
      <c r="G19" s="52" t="s">
        <v>640</v>
      </c>
      <c r="H19" s="375" t="s">
        <v>640</v>
      </c>
      <c r="I19" s="51" t="s">
        <v>640</v>
      </c>
      <c r="J19" s="52" t="s">
        <v>640</v>
      </c>
      <c r="K19" s="375" t="s">
        <v>640</v>
      </c>
      <c r="L19" s="51" t="s">
        <v>640</v>
      </c>
      <c r="M19" s="52" t="s">
        <v>640</v>
      </c>
      <c r="N19" s="375" t="s">
        <v>640</v>
      </c>
      <c r="O19" s="51" t="s">
        <v>640</v>
      </c>
      <c r="P19" s="52" t="s">
        <v>640</v>
      </c>
      <c r="Q19" s="375" t="s">
        <v>640</v>
      </c>
      <c r="R19" s="51" t="s">
        <v>640</v>
      </c>
      <c r="S19" s="52" t="s">
        <v>640</v>
      </c>
      <c r="T19" s="375" t="s">
        <v>640</v>
      </c>
      <c r="U19" s="51" t="s">
        <v>640</v>
      </c>
      <c r="V19" s="52" t="s">
        <v>640</v>
      </c>
      <c r="W19" s="375" t="s">
        <v>640</v>
      </c>
      <c r="X19" s="51" t="s">
        <v>640</v>
      </c>
      <c r="Y19" s="52" t="s">
        <v>640</v>
      </c>
      <c r="Z19" s="375" t="s">
        <v>640</v>
      </c>
      <c r="AA19" s="51" t="s">
        <v>640</v>
      </c>
      <c r="AB19" s="52" t="s">
        <v>640</v>
      </c>
      <c r="AC19" s="375" t="s">
        <v>640</v>
      </c>
      <c r="AD19" s="51" t="s">
        <v>640</v>
      </c>
      <c r="AE19" s="52" t="s">
        <v>640</v>
      </c>
      <c r="AF19" s="38">
        <v>0</v>
      </c>
      <c r="AG19" s="39">
        <v>339.48700000000002</v>
      </c>
      <c r="AH19" s="42">
        <v>339.48700000000002</v>
      </c>
      <c r="AI19" s="38">
        <v>0</v>
      </c>
      <c r="AJ19" s="39">
        <v>753.40099999999995</v>
      </c>
      <c r="AK19" s="42">
        <v>753.40099999999995</v>
      </c>
      <c r="AL19" s="38">
        <v>0</v>
      </c>
      <c r="AM19" s="39">
        <v>465.08600000000001</v>
      </c>
      <c r="AN19" s="42">
        <v>465.08600000000001</v>
      </c>
      <c r="AO19" s="38">
        <v>0</v>
      </c>
      <c r="AP19" s="39">
        <v>210.15899999999999</v>
      </c>
      <c r="AQ19" s="42">
        <v>210.15899999999999</v>
      </c>
      <c r="AR19" s="38">
        <v>0</v>
      </c>
      <c r="AS19" s="39">
        <v>560.00099999999998</v>
      </c>
      <c r="AT19" s="42">
        <v>560.00099999999998</v>
      </c>
      <c r="AU19" s="38">
        <v>0</v>
      </c>
      <c r="AV19" s="39">
        <v>816</v>
      </c>
      <c r="AW19" s="42">
        <v>816</v>
      </c>
      <c r="AX19" s="38">
        <v>0</v>
      </c>
      <c r="AY19" s="39">
        <v>783</v>
      </c>
      <c r="AZ19" s="42">
        <v>783</v>
      </c>
      <c r="BA19" s="38">
        <v>0</v>
      </c>
      <c r="BB19" s="39">
        <v>668</v>
      </c>
      <c r="BC19" s="42">
        <v>668</v>
      </c>
      <c r="BD19" s="38">
        <v>0</v>
      </c>
      <c r="BE19" s="39">
        <v>929</v>
      </c>
      <c r="BF19" s="42">
        <v>929</v>
      </c>
      <c r="BG19" s="38">
        <v>0</v>
      </c>
      <c r="BH19" s="39">
        <v>1868</v>
      </c>
      <c r="BI19" s="42">
        <v>1868</v>
      </c>
      <c r="BJ19" s="38">
        <v>0</v>
      </c>
      <c r="BK19" s="39">
        <v>2006</v>
      </c>
      <c r="BL19" s="42">
        <v>2006</v>
      </c>
      <c r="BM19" s="38">
        <v>0</v>
      </c>
      <c r="BN19" s="39">
        <v>1750</v>
      </c>
      <c r="BO19" s="42">
        <v>1750</v>
      </c>
      <c r="BP19" s="38">
        <v>0</v>
      </c>
      <c r="BQ19" s="39">
        <v>5937</v>
      </c>
      <c r="BR19" s="42">
        <v>5937</v>
      </c>
      <c r="BS19" s="38">
        <v>0</v>
      </c>
      <c r="BT19" s="39">
        <v>6554</v>
      </c>
      <c r="BU19" s="42">
        <v>6554</v>
      </c>
      <c r="BV19" s="38">
        <v>0</v>
      </c>
      <c r="BW19" s="39">
        <v>3391.45</v>
      </c>
      <c r="BX19" s="42">
        <v>3391.45</v>
      </c>
      <c r="BY19" s="38">
        <v>0</v>
      </c>
      <c r="BZ19" s="39">
        <v>14612.977000000001</v>
      </c>
      <c r="CA19" s="42">
        <v>14612.977000000001</v>
      </c>
      <c r="CB19" s="38">
        <v>0</v>
      </c>
      <c r="CC19" s="39">
        <v>8949.1540000000005</v>
      </c>
      <c r="CD19" s="42">
        <v>8949.1540000000005</v>
      </c>
      <c r="CE19" s="38">
        <v>0</v>
      </c>
      <c r="CF19" s="39">
        <v>5939.6730000000007</v>
      </c>
      <c r="CG19" s="42">
        <v>5939.6730000000007</v>
      </c>
      <c r="CH19" s="38">
        <v>1398</v>
      </c>
      <c r="CI19" s="39">
        <v>928</v>
      </c>
      <c r="CJ19" s="42">
        <v>-470</v>
      </c>
      <c r="CK19" s="31">
        <v>0</v>
      </c>
      <c r="CL19" s="39">
        <v>5</v>
      </c>
      <c r="CM19" s="58">
        <v>5</v>
      </c>
      <c r="CN19" s="31">
        <v>0</v>
      </c>
      <c r="CO19" s="39">
        <v>2</v>
      </c>
      <c r="CP19" s="58">
        <v>2</v>
      </c>
    </row>
    <row r="20" spans="1:94" s="31" customFormat="1">
      <c r="A20" s="47" t="s">
        <v>680</v>
      </c>
      <c r="B20" s="38">
        <v>65.114999999999995</v>
      </c>
      <c r="C20" s="39">
        <v>127.01900000000001</v>
      </c>
      <c r="D20" s="42">
        <v>61.904000000000011</v>
      </c>
      <c r="E20" s="38">
        <v>23.077999999999999</v>
      </c>
      <c r="F20" s="39">
        <v>152.66</v>
      </c>
      <c r="G20" s="42">
        <v>129.58199999999999</v>
      </c>
      <c r="H20" s="38">
        <v>6.085</v>
      </c>
      <c r="I20" s="39">
        <v>186.93700000000001</v>
      </c>
      <c r="J20" s="42">
        <v>180.852</v>
      </c>
      <c r="K20" s="38">
        <v>39.591000000000001</v>
      </c>
      <c r="L20" s="39">
        <v>341.10399999999998</v>
      </c>
      <c r="M20" s="42">
        <v>301.51299999999998</v>
      </c>
      <c r="N20" s="38">
        <v>26.530999999999999</v>
      </c>
      <c r="O20" s="39">
        <v>146.13800000000001</v>
      </c>
      <c r="P20" s="42">
        <v>119.607</v>
      </c>
      <c r="Q20" s="38">
        <v>29.978000000000002</v>
      </c>
      <c r="R20" s="39">
        <v>99.055999999999997</v>
      </c>
      <c r="S20" s="42">
        <v>69.078000000000003</v>
      </c>
      <c r="T20" s="38">
        <v>43.433</v>
      </c>
      <c r="U20" s="39">
        <v>330.50400000000002</v>
      </c>
      <c r="V20" s="42">
        <v>287.07100000000003</v>
      </c>
      <c r="W20" s="38">
        <v>65.394000000000005</v>
      </c>
      <c r="X20" s="39">
        <v>482.524</v>
      </c>
      <c r="Y20" s="42">
        <v>417.13</v>
      </c>
      <c r="Z20" s="38">
        <v>125.76600000000001</v>
      </c>
      <c r="AA20" s="39">
        <v>306.13900000000001</v>
      </c>
      <c r="AB20" s="42">
        <v>180.37299999999999</v>
      </c>
      <c r="AC20" s="38">
        <v>29.141999999999999</v>
      </c>
      <c r="AD20" s="39">
        <v>523.26499999999999</v>
      </c>
      <c r="AE20" s="42">
        <v>494.12299999999999</v>
      </c>
      <c r="AF20" s="38">
        <v>428.78399999999999</v>
      </c>
      <c r="AG20" s="39">
        <v>1545.461</v>
      </c>
      <c r="AH20" s="42">
        <v>1116.6770000000001</v>
      </c>
      <c r="AI20" s="38">
        <v>233.86500000000001</v>
      </c>
      <c r="AJ20" s="39">
        <v>588.09400000000005</v>
      </c>
      <c r="AK20" s="42">
        <v>354.22900000000004</v>
      </c>
      <c r="AL20" s="38">
        <v>103.81399999999999</v>
      </c>
      <c r="AM20" s="39">
        <v>315.887</v>
      </c>
      <c r="AN20" s="42">
        <v>212.07300000000001</v>
      </c>
      <c r="AO20" s="38">
        <v>264.80200000000002</v>
      </c>
      <c r="AP20" s="39">
        <v>762.86800000000005</v>
      </c>
      <c r="AQ20" s="42">
        <v>498.06600000000003</v>
      </c>
      <c r="AR20" s="38">
        <v>643.73400000000004</v>
      </c>
      <c r="AS20" s="39">
        <v>728.50900000000001</v>
      </c>
      <c r="AT20" s="42">
        <v>84.775000000000006</v>
      </c>
      <c r="AU20" s="38">
        <v>851</v>
      </c>
      <c r="AV20" s="39">
        <v>2001</v>
      </c>
      <c r="AW20" s="42">
        <v>1150</v>
      </c>
      <c r="AX20" s="38">
        <v>801</v>
      </c>
      <c r="AY20" s="39">
        <v>2332</v>
      </c>
      <c r="AZ20" s="42">
        <v>1531</v>
      </c>
      <c r="BA20" s="38">
        <v>965</v>
      </c>
      <c r="BB20" s="39">
        <v>3251</v>
      </c>
      <c r="BC20" s="42">
        <v>2286</v>
      </c>
      <c r="BD20" s="38">
        <v>1206</v>
      </c>
      <c r="BE20" s="39">
        <v>3103</v>
      </c>
      <c r="BF20" s="42">
        <v>1897</v>
      </c>
      <c r="BG20" s="38">
        <v>872</v>
      </c>
      <c r="BH20" s="39">
        <v>4519</v>
      </c>
      <c r="BI20" s="42">
        <v>3647</v>
      </c>
      <c r="BJ20" s="38">
        <v>1351</v>
      </c>
      <c r="BK20" s="39">
        <v>7664</v>
      </c>
      <c r="BL20" s="42">
        <v>6313</v>
      </c>
      <c r="BM20" s="38">
        <v>1172</v>
      </c>
      <c r="BN20" s="39">
        <v>7359</v>
      </c>
      <c r="BO20" s="42">
        <v>6187</v>
      </c>
      <c r="BP20" s="38">
        <v>2902</v>
      </c>
      <c r="BQ20" s="39">
        <v>11140</v>
      </c>
      <c r="BR20" s="42">
        <v>8238</v>
      </c>
      <c r="BS20" s="38">
        <v>5459</v>
      </c>
      <c r="BT20" s="39">
        <v>18065</v>
      </c>
      <c r="BU20" s="42">
        <v>12606</v>
      </c>
      <c r="BV20" s="38">
        <v>7035.6840000000002</v>
      </c>
      <c r="BW20" s="39">
        <v>42275.78</v>
      </c>
      <c r="BX20" s="42">
        <v>35240.095999999998</v>
      </c>
      <c r="BY20" s="38">
        <v>23854.328999999998</v>
      </c>
      <c r="BZ20" s="39">
        <v>59209.834999999999</v>
      </c>
      <c r="CA20" s="42">
        <v>35355.506000000001</v>
      </c>
      <c r="CB20" s="38">
        <v>43661.014999999999</v>
      </c>
      <c r="CC20" s="39">
        <v>53093.232000000004</v>
      </c>
      <c r="CD20" s="42">
        <v>9432.2170000000042</v>
      </c>
      <c r="CE20" s="38">
        <v>18734.455000000002</v>
      </c>
      <c r="CF20" s="39">
        <v>54762.373</v>
      </c>
      <c r="CG20" s="42">
        <v>36027.917999999998</v>
      </c>
      <c r="CH20" s="38">
        <v>45785</v>
      </c>
      <c r="CI20" s="39">
        <v>93203</v>
      </c>
      <c r="CJ20" s="42">
        <v>47418</v>
      </c>
      <c r="CK20" s="31">
        <v>86830</v>
      </c>
      <c r="CL20" s="39">
        <v>116547</v>
      </c>
      <c r="CM20" s="58">
        <v>29717</v>
      </c>
      <c r="CN20" s="31">
        <v>364025</v>
      </c>
      <c r="CO20" s="39">
        <v>416933</v>
      </c>
      <c r="CP20" s="58">
        <v>52908</v>
      </c>
    </row>
    <row r="21" spans="1:94" s="31" customFormat="1">
      <c r="A21" s="47" t="s">
        <v>681</v>
      </c>
      <c r="B21" s="38">
        <v>5</v>
      </c>
      <c r="C21" s="39">
        <v>145</v>
      </c>
      <c r="D21" s="42">
        <v>140</v>
      </c>
      <c r="E21" s="38">
        <v>12</v>
      </c>
      <c r="F21" s="39">
        <v>156.791</v>
      </c>
      <c r="G21" s="42">
        <v>144.791</v>
      </c>
      <c r="H21" s="38">
        <v>11.417</v>
      </c>
      <c r="I21" s="39">
        <v>198.19300000000001</v>
      </c>
      <c r="J21" s="42">
        <v>186.77600000000001</v>
      </c>
      <c r="K21" s="38">
        <v>66.125</v>
      </c>
      <c r="L21" s="39">
        <v>211.572</v>
      </c>
      <c r="M21" s="42">
        <v>145.447</v>
      </c>
      <c r="N21" s="38">
        <v>21.097999999999999</v>
      </c>
      <c r="O21" s="39">
        <v>270.33</v>
      </c>
      <c r="P21" s="42">
        <v>249.23199999999997</v>
      </c>
      <c r="Q21" s="38">
        <v>19.167000000000002</v>
      </c>
      <c r="R21" s="39">
        <v>255.1</v>
      </c>
      <c r="S21" s="42">
        <v>235.93299999999999</v>
      </c>
      <c r="T21" s="38">
        <v>47.411999999999999</v>
      </c>
      <c r="U21" s="39">
        <v>543.08900000000006</v>
      </c>
      <c r="V21" s="42">
        <v>495.67700000000008</v>
      </c>
      <c r="W21" s="38">
        <v>41.723999999999997</v>
      </c>
      <c r="X21" s="39">
        <v>759.82</v>
      </c>
      <c r="Y21" s="42">
        <v>718.096</v>
      </c>
      <c r="Z21" s="38">
        <v>60.838000000000001</v>
      </c>
      <c r="AA21" s="39">
        <v>969.10599999999999</v>
      </c>
      <c r="AB21" s="42">
        <v>908.26800000000003</v>
      </c>
      <c r="AC21" s="38">
        <v>105.321</v>
      </c>
      <c r="AD21" s="39">
        <v>690.06</v>
      </c>
      <c r="AE21" s="42">
        <v>584.73899999999992</v>
      </c>
      <c r="AF21" s="38">
        <v>49.473999999999997</v>
      </c>
      <c r="AG21" s="39">
        <v>787.94299999999998</v>
      </c>
      <c r="AH21" s="42">
        <v>738.46899999999994</v>
      </c>
      <c r="AI21" s="38">
        <v>59.119</v>
      </c>
      <c r="AJ21" s="39">
        <v>379.41699999999997</v>
      </c>
      <c r="AK21" s="42">
        <v>320.298</v>
      </c>
      <c r="AL21" s="38">
        <v>66.084999999999994</v>
      </c>
      <c r="AM21" s="39">
        <v>378.46300000000002</v>
      </c>
      <c r="AN21" s="42">
        <v>312.37800000000004</v>
      </c>
      <c r="AO21" s="38">
        <v>149</v>
      </c>
      <c r="AP21" s="39">
        <v>612.24599999999998</v>
      </c>
      <c r="AQ21" s="42">
        <v>463.24599999999998</v>
      </c>
      <c r="AR21" s="38">
        <v>145.02600000000001</v>
      </c>
      <c r="AS21" s="39">
        <v>1633.2329999999999</v>
      </c>
      <c r="AT21" s="42">
        <v>1488.2069999999999</v>
      </c>
      <c r="AU21" s="38">
        <v>288</v>
      </c>
      <c r="AV21" s="39">
        <v>2324</v>
      </c>
      <c r="AW21" s="42">
        <v>2036</v>
      </c>
      <c r="AX21" s="38">
        <v>310</v>
      </c>
      <c r="AY21" s="39">
        <v>2672</v>
      </c>
      <c r="AZ21" s="42">
        <v>2362</v>
      </c>
      <c r="BA21" s="38">
        <v>529</v>
      </c>
      <c r="BB21" s="39">
        <v>3135</v>
      </c>
      <c r="BC21" s="42">
        <v>2606</v>
      </c>
      <c r="BD21" s="38">
        <v>198</v>
      </c>
      <c r="BE21" s="39">
        <v>4227</v>
      </c>
      <c r="BF21" s="42">
        <v>4029</v>
      </c>
      <c r="BG21" s="38">
        <v>317</v>
      </c>
      <c r="BH21" s="39">
        <v>6264</v>
      </c>
      <c r="BI21" s="42">
        <v>5947</v>
      </c>
      <c r="BJ21" s="38">
        <v>204</v>
      </c>
      <c r="BK21" s="39">
        <v>10628</v>
      </c>
      <c r="BL21" s="42">
        <v>10424</v>
      </c>
      <c r="BM21" s="38">
        <v>175</v>
      </c>
      <c r="BN21" s="39">
        <v>12964</v>
      </c>
      <c r="BO21" s="42">
        <v>12789</v>
      </c>
      <c r="BP21" s="38">
        <v>207</v>
      </c>
      <c r="BQ21" s="39">
        <v>21471</v>
      </c>
      <c r="BR21" s="42">
        <v>21264</v>
      </c>
      <c r="BS21" s="38">
        <v>1312</v>
      </c>
      <c r="BT21" s="39">
        <v>39576</v>
      </c>
      <c r="BU21" s="42">
        <v>38264</v>
      </c>
      <c r="BV21" s="38">
        <v>5264</v>
      </c>
      <c r="BW21" s="39">
        <v>38281</v>
      </c>
      <c r="BX21" s="42">
        <v>33017</v>
      </c>
      <c r="BY21" s="38">
        <v>8188</v>
      </c>
      <c r="BZ21" s="39">
        <v>53390</v>
      </c>
      <c r="CA21" s="42">
        <v>45202</v>
      </c>
      <c r="CB21" s="38">
        <v>7579</v>
      </c>
      <c r="CC21" s="39">
        <v>31364</v>
      </c>
      <c r="CD21" s="42">
        <v>23785</v>
      </c>
      <c r="CE21" s="38">
        <v>23489</v>
      </c>
      <c r="CF21" s="39">
        <v>27904</v>
      </c>
      <c r="CG21" s="42">
        <v>4415</v>
      </c>
      <c r="CH21" s="38">
        <v>5554</v>
      </c>
      <c r="CI21" s="39">
        <v>18021</v>
      </c>
      <c r="CJ21" s="42">
        <v>12467</v>
      </c>
      <c r="CK21" s="31">
        <v>5445</v>
      </c>
      <c r="CL21" s="39">
        <v>21570</v>
      </c>
      <c r="CM21" s="58">
        <v>16125</v>
      </c>
      <c r="CN21" s="31">
        <v>10319</v>
      </c>
      <c r="CO21" s="39">
        <v>24992</v>
      </c>
      <c r="CP21" s="58">
        <v>14673</v>
      </c>
    </row>
    <row r="22" spans="1:94" s="31" customFormat="1">
      <c r="A22" s="47" t="s">
        <v>682</v>
      </c>
      <c r="B22" s="375" t="s">
        <v>640</v>
      </c>
      <c r="C22" s="51" t="s">
        <v>640</v>
      </c>
      <c r="D22" s="52" t="s">
        <v>640</v>
      </c>
      <c r="E22" s="375" t="s">
        <v>640</v>
      </c>
      <c r="F22" s="51" t="s">
        <v>640</v>
      </c>
      <c r="G22" s="52" t="s">
        <v>640</v>
      </c>
      <c r="H22" s="375" t="s">
        <v>640</v>
      </c>
      <c r="I22" s="51" t="s">
        <v>640</v>
      </c>
      <c r="J22" s="52" t="s">
        <v>640</v>
      </c>
      <c r="K22" s="375" t="s">
        <v>640</v>
      </c>
      <c r="L22" s="51" t="s">
        <v>640</v>
      </c>
      <c r="M22" s="52" t="s">
        <v>640</v>
      </c>
      <c r="N22" s="375" t="s">
        <v>640</v>
      </c>
      <c r="O22" s="51" t="s">
        <v>640</v>
      </c>
      <c r="P22" s="52" t="s">
        <v>640</v>
      </c>
      <c r="Q22" s="375" t="s">
        <v>640</v>
      </c>
      <c r="R22" s="51" t="s">
        <v>640</v>
      </c>
      <c r="S22" s="52" t="s">
        <v>640</v>
      </c>
      <c r="T22" s="375" t="s">
        <v>640</v>
      </c>
      <c r="U22" s="51" t="s">
        <v>640</v>
      </c>
      <c r="V22" s="52" t="s">
        <v>640</v>
      </c>
      <c r="W22" s="375" t="s">
        <v>640</v>
      </c>
      <c r="X22" s="51" t="s">
        <v>640</v>
      </c>
      <c r="Y22" s="52" t="s">
        <v>640</v>
      </c>
      <c r="Z22" s="375" t="s">
        <v>640</v>
      </c>
      <c r="AA22" s="51" t="s">
        <v>640</v>
      </c>
      <c r="AB22" s="52" t="s">
        <v>640</v>
      </c>
      <c r="AC22" s="375" t="s">
        <v>640</v>
      </c>
      <c r="AD22" s="51" t="s">
        <v>640</v>
      </c>
      <c r="AE22" s="52" t="s">
        <v>640</v>
      </c>
      <c r="AF22" s="375" t="s">
        <v>640</v>
      </c>
      <c r="AG22" s="51" t="s">
        <v>640</v>
      </c>
      <c r="AH22" s="52" t="s">
        <v>640</v>
      </c>
      <c r="AI22" s="375" t="s">
        <v>640</v>
      </c>
      <c r="AJ22" s="51" t="s">
        <v>640</v>
      </c>
      <c r="AK22" s="52" t="s">
        <v>640</v>
      </c>
      <c r="AL22" s="375" t="s">
        <v>640</v>
      </c>
      <c r="AM22" s="51" t="s">
        <v>640</v>
      </c>
      <c r="AN22" s="52" t="s">
        <v>640</v>
      </c>
      <c r="AO22" s="375" t="s">
        <v>640</v>
      </c>
      <c r="AP22" s="51" t="s">
        <v>640</v>
      </c>
      <c r="AQ22" s="52" t="s">
        <v>640</v>
      </c>
      <c r="AR22" s="375" t="s">
        <v>640</v>
      </c>
      <c r="AS22" s="51" t="s">
        <v>640</v>
      </c>
      <c r="AT22" s="52" t="s">
        <v>640</v>
      </c>
      <c r="AU22" s="375" t="s">
        <v>640</v>
      </c>
      <c r="AV22" s="51" t="s">
        <v>640</v>
      </c>
      <c r="AW22" s="52" t="s">
        <v>640</v>
      </c>
      <c r="AX22" s="375" t="s">
        <v>640</v>
      </c>
      <c r="AY22" s="51" t="s">
        <v>640</v>
      </c>
      <c r="AZ22" s="52" t="s">
        <v>640</v>
      </c>
      <c r="BA22" s="375" t="s">
        <v>640</v>
      </c>
      <c r="BB22" s="51" t="s">
        <v>640</v>
      </c>
      <c r="BC22" s="52" t="s">
        <v>640</v>
      </c>
      <c r="BD22" s="375" t="s">
        <v>640</v>
      </c>
      <c r="BE22" s="51" t="s">
        <v>640</v>
      </c>
      <c r="BF22" s="52" t="s">
        <v>640</v>
      </c>
      <c r="BG22" s="375" t="s">
        <v>640</v>
      </c>
      <c r="BH22" s="51" t="s">
        <v>640</v>
      </c>
      <c r="BI22" s="52" t="s">
        <v>640</v>
      </c>
      <c r="BJ22" s="375" t="s">
        <v>640</v>
      </c>
      <c r="BK22" s="51" t="s">
        <v>640</v>
      </c>
      <c r="BL22" s="52" t="s">
        <v>640</v>
      </c>
      <c r="BM22" s="375" t="s">
        <v>640</v>
      </c>
      <c r="BN22" s="51" t="s">
        <v>640</v>
      </c>
      <c r="BO22" s="52" t="s">
        <v>640</v>
      </c>
      <c r="BP22" s="375" t="s">
        <v>640</v>
      </c>
      <c r="BQ22" s="51" t="s">
        <v>640</v>
      </c>
      <c r="BR22" s="52" t="s">
        <v>640</v>
      </c>
      <c r="BS22" s="375" t="s">
        <v>640</v>
      </c>
      <c r="BT22" s="51" t="s">
        <v>640</v>
      </c>
      <c r="BU22" s="52" t="s">
        <v>640</v>
      </c>
      <c r="BV22" s="38">
        <v>0</v>
      </c>
      <c r="BW22" s="39">
        <v>6975.63</v>
      </c>
      <c r="BX22" s="42">
        <v>6975.63</v>
      </c>
      <c r="BY22" s="38">
        <v>0</v>
      </c>
      <c r="BZ22" s="39">
        <v>7619.826</v>
      </c>
      <c r="CA22" s="42">
        <v>7619.826</v>
      </c>
      <c r="CB22" s="38">
        <v>0</v>
      </c>
      <c r="CC22" s="39">
        <v>4929.1090000000004</v>
      </c>
      <c r="CD22" s="42">
        <v>4929.1090000000004</v>
      </c>
      <c r="CE22" s="38">
        <v>0</v>
      </c>
      <c r="CF22" s="39">
        <v>6328.8329999999996</v>
      </c>
      <c r="CG22" s="42">
        <v>6328.8329999999996</v>
      </c>
      <c r="CH22" s="38">
        <v>4670</v>
      </c>
      <c r="CI22" s="39">
        <v>21782</v>
      </c>
      <c r="CJ22" s="42">
        <v>17112</v>
      </c>
      <c r="CK22" s="31">
        <v>5401</v>
      </c>
      <c r="CL22" s="39">
        <v>6980</v>
      </c>
      <c r="CM22" s="58">
        <v>1579</v>
      </c>
      <c r="CN22" s="31">
        <v>3823</v>
      </c>
      <c r="CO22" s="39">
        <v>17102</v>
      </c>
      <c r="CP22" s="58">
        <v>13279</v>
      </c>
    </row>
    <row r="23" spans="1:94" s="31" customFormat="1">
      <c r="A23" s="47" t="s">
        <v>684</v>
      </c>
      <c r="B23" s="38">
        <v>54.264000000000003</v>
      </c>
      <c r="C23" s="39">
        <v>140.28800000000001</v>
      </c>
      <c r="D23" s="42">
        <v>86.023999999999987</v>
      </c>
      <c r="E23" s="38">
        <v>144.26900000000001</v>
      </c>
      <c r="F23" s="39">
        <v>332.964</v>
      </c>
      <c r="G23" s="42">
        <v>188.69499999999999</v>
      </c>
      <c r="H23" s="38">
        <v>165.09199999999998</v>
      </c>
      <c r="I23" s="39">
        <v>258.19099999999997</v>
      </c>
      <c r="J23" s="42">
        <v>93.09899999999999</v>
      </c>
      <c r="K23" s="38">
        <v>202.25300000000001</v>
      </c>
      <c r="L23" s="39">
        <v>596.73700000000008</v>
      </c>
      <c r="M23" s="42">
        <v>394.48399999999998</v>
      </c>
      <c r="N23" s="38">
        <v>542.0619999999999</v>
      </c>
      <c r="O23" s="39">
        <v>299.13800000000003</v>
      </c>
      <c r="P23" s="42">
        <v>-242.92400000000004</v>
      </c>
      <c r="Q23" s="38">
        <v>301.19499999999999</v>
      </c>
      <c r="R23" s="39">
        <v>284.27999999999997</v>
      </c>
      <c r="S23" s="42">
        <v>-16.914999999999999</v>
      </c>
      <c r="T23" s="38">
        <v>280.262</v>
      </c>
      <c r="U23" s="39">
        <v>224.59899999999999</v>
      </c>
      <c r="V23" s="42">
        <v>-55.662999999999997</v>
      </c>
      <c r="W23" s="38">
        <v>920.25099999999998</v>
      </c>
      <c r="X23" s="39">
        <v>304.94799999999998</v>
      </c>
      <c r="Y23" s="42">
        <v>-615.303</v>
      </c>
      <c r="Z23" s="38">
        <v>389.226</v>
      </c>
      <c r="AA23" s="39">
        <v>241.024</v>
      </c>
      <c r="AB23" s="42">
        <v>-148.202</v>
      </c>
      <c r="AC23" s="38">
        <v>285.41000000000003</v>
      </c>
      <c r="AD23" s="39">
        <v>677.24599999999998</v>
      </c>
      <c r="AE23" s="42">
        <v>391.83600000000001</v>
      </c>
      <c r="AF23" s="38">
        <v>72.805000000000007</v>
      </c>
      <c r="AG23" s="39">
        <v>323.32799999999997</v>
      </c>
      <c r="AH23" s="42">
        <v>250.523</v>
      </c>
      <c r="AI23" s="38">
        <v>34.6</v>
      </c>
      <c r="AJ23" s="39">
        <v>476.38299999999998</v>
      </c>
      <c r="AK23" s="42">
        <v>441.78300000000002</v>
      </c>
      <c r="AL23" s="38">
        <v>21.938000000000002</v>
      </c>
      <c r="AM23" s="39">
        <v>433.55099999999993</v>
      </c>
      <c r="AN23" s="42">
        <v>411.613</v>
      </c>
      <c r="AO23" s="38">
        <v>37.747999999999998</v>
      </c>
      <c r="AP23" s="39">
        <v>231.41</v>
      </c>
      <c r="AQ23" s="42">
        <v>193.67700000000002</v>
      </c>
      <c r="AR23" s="38">
        <v>127.215</v>
      </c>
      <c r="AS23" s="39">
        <v>269.95699999999999</v>
      </c>
      <c r="AT23" s="42">
        <v>142.74200000000002</v>
      </c>
      <c r="AU23" s="38">
        <v>585</v>
      </c>
      <c r="AV23" s="39">
        <v>276</v>
      </c>
      <c r="AW23" s="42">
        <v>-309</v>
      </c>
      <c r="AX23" s="38">
        <v>855</v>
      </c>
      <c r="AY23" s="39">
        <v>455</v>
      </c>
      <c r="AZ23" s="42">
        <v>-400</v>
      </c>
      <c r="BA23" s="38">
        <v>493</v>
      </c>
      <c r="BB23" s="39">
        <v>2362</v>
      </c>
      <c r="BC23" s="42">
        <v>1869</v>
      </c>
      <c r="BD23" s="38">
        <v>759</v>
      </c>
      <c r="BE23" s="39">
        <v>2204</v>
      </c>
      <c r="BF23" s="42">
        <v>1445</v>
      </c>
      <c r="BG23" s="38">
        <v>1056</v>
      </c>
      <c r="BH23" s="39">
        <v>20996</v>
      </c>
      <c r="BI23" s="42">
        <v>19940</v>
      </c>
      <c r="BJ23" s="38">
        <v>1178</v>
      </c>
      <c r="BK23" s="39">
        <v>36159</v>
      </c>
      <c r="BL23" s="42">
        <v>34981</v>
      </c>
      <c r="BM23" s="38">
        <v>625</v>
      </c>
      <c r="BN23" s="39">
        <v>52821</v>
      </c>
      <c r="BO23" s="42">
        <v>52196</v>
      </c>
      <c r="BP23" s="38">
        <v>40216</v>
      </c>
      <c r="BQ23" s="39">
        <v>174303</v>
      </c>
      <c r="BR23" s="42">
        <v>134087</v>
      </c>
      <c r="BS23" s="38">
        <v>33785</v>
      </c>
      <c r="BT23" s="39">
        <v>214642</v>
      </c>
      <c r="BU23" s="42">
        <v>180857</v>
      </c>
      <c r="BV23" s="38">
        <v>111219</v>
      </c>
      <c r="BW23" s="39">
        <v>222668</v>
      </c>
      <c r="BX23" s="42">
        <v>111449</v>
      </c>
      <c r="BY23" s="38">
        <v>272131</v>
      </c>
      <c r="BZ23" s="39">
        <v>316101</v>
      </c>
      <c r="CA23" s="42">
        <v>43970</v>
      </c>
      <c r="CB23" s="38">
        <v>355512</v>
      </c>
      <c r="CC23" s="39">
        <v>530512</v>
      </c>
      <c r="CD23" s="42">
        <v>175000</v>
      </c>
      <c r="CE23" s="38">
        <v>736547</v>
      </c>
      <c r="CF23" s="39">
        <v>522348</v>
      </c>
      <c r="CG23" s="42">
        <v>-214199</v>
      </c>
      <c r="CH23" s="38">
        <v>2939957</v>
      </c>
      <c r="CI23" s="39">
        <v>3253717</v>
      </c>
      <c r="CJ23" s="42">
        <v>313760</v>
      </c>
      <c r="CK23" s="31">
        <v>4094518</v>
      </c>
      <c r="CL23" s="39">
        <v>4144313</v>
      </c>
      <c r="CM23" s="58">
        <v>49795</v>
      </c>
      <c r="CN23" s="31">
        <v>8234935</v>
      </c>
      <c r="CO23" s="39">
        <v>8063299</v>
      </c>
      <c r="CP23" s="58">
        <v>-171636</v>
      </c>
    </row>
    <row r="24" spans="1:94" s="31" customFormat="1">
      <c r="A24" s="47" t="s">
        <v>677</v>
      </c>
      <c r="B24" s="38">
        <v>1.623</v>
      </c>
      <c r="C24" s="39">
        <v>10.603</v>
      </c>
      <c r="D24" s="42">
        <v>8.98</v>
      </c>
      <c r="E24" s="38">
        <v>2.2469999999999999</v>
      </c>
      <c r="F24" s="39">
        <v>168.93200000000002</v>
      </c>
      <c r="G24" s="42">
        <v>166.685</v>
      </c>
      <c r="H24" s="38">
        <v>82.81</v>
      </c>
      <c r="I24" s="39">
        <v>46.564999999999998</v>
      </c>
      <c r="J24" s="42">
        <v>-36.244999999999997</v>
      </c>
      <c r="K24" s="38">
        <v>60.889000000000003</v>
      </c>
      <c r="L24" s="39">
        <v>11.242999999999999</v>
      </c>
      <c r="M24" s="42">
        <v>-49.646000000000001</v>
      </c>
      <c r="N24" s="38">
        <v>316.99599999999998</v>
      </c>
      <c r="O24" s="39">
        <v>14.6</v>
      </c>
      <c r="P24" s="42">
        <v>-302.39600000000002</v>
      </c>
      <c r="Q24" s="38">
        <v>79.658999999999992</v>
      </c>
      <c r="R24" s="39">
        <v>32.729999999999997</v>
      </c>
      <c r="S24" s="42">
        <v>-46.929000000000002</v>
      </c>
      <c r="T24" s="38">
        <v>168.38400000000001</v>
      </c>
      <c r="U24" s="39">
        <v>62.849000000000004</v>
      </c>
      <c r="V24" s="42">
        <v>-105.535</v>
      </c>
      <c r="W24" s="38">
        <v>68.287000000000006</v>
      </c>
      <c r="X24" s="39">
        <v>65.489999999999995</v>
      </c>
      <c r="Y24" s="42">
        <v>-2.7970000000000041</v>
      </c>
      <c r="Z24" s="38">
        <v>134.715</v>
      </c>
      <c r="AA24" s="39">
        <v>20.131999999999998</v>
      </c>
      <c r="AB24" s="42">
        <v>-114.58300000000001</v>
      </c>
      <c r="AC24" s="38">
        <v>100.871</v>
      </c>
      <c r="AD24" s="39">
        <v>28.62</v>
      </c>
      <c r="AE24" s="42">
        <v>-72.251000000000005</v>
      </c>
      <c r="AF24" s="38">
        <v>8.782</v>
      </c>
      <c r="AG24" s="39">
        <v>17.488</v>
      </c>
      <c r="AH24" s="42">
        <v>8.7060000000000013</v>
      </c>
      <c r="AI24" s="38">
        <v>6.3310000000000004</v>
      </c>
      <c r="AJ24" s="39">
        <v>40.643999999999998</v>
      </c>
      <c r="AK24" s="42">
        <v>34.313000000000002</v>
      </c>
      <c r="AL24" s="38">
        <v>7.6920000000000002</v>
      </c>
      <c r="AM24" s="39">
        <v>29.989000000000001</v>
      </c>
      <c r="AN24" s="42">
        <v>22.297000000000001</v>
      </c>
      <c r="AO24" s="38">
        <v>0.03</v>
      </c>
      <c r="AP24" s="39">
        <v>67.674999999999997</v>
      </c>
      <c r="AQ24" s="42">
        <v>67.66</v>
      </c>
      <c r="AR24" s="38">
        <v>40.215000000000003</v>
      </c>
      <c r="AS24" s="39">
        <v>123.505</v>
      </c>
      <c r="AT24" s="42">
        <v>83.29</v>
      </c>
      <c r="AU24" s="38">
        <v>0</v>
      </c>
      <c r="AV24" s="39">
        <v>99</v>
      </c>
      <c r="AW24" s="42">
        <v>99</v>
      </c>
      <c r="AX24" s="38">
        <v>24</v>
      </c>
      <c r="AY24" s="39">
        <v>387</v>
      </c>
      <c r="AZ24" s="42">
        <v>363</v>
      </c>
      <c r="BA24" s="38">
        <v>14</v>
      </c>
      <c r="BB24" s="39">
        <v>290</v>
      </c>
      <c r="BC24" s="42">
        <v>276</v>
      </c>
      <c r="BD24" s="38">
        <v>54</v>
      </c>
      <c r="BE24" s="39">
        <v>1068</v>
      </c>
      <c r="BF24" s="42">
        <v>1014</v>
      </c>
      <c r="BG24" s="38">
        <v>0</v>
      </c>
      <c r="BH24" s="39">
        <v>136</v>
      </c>
      <c r="BI24" s="42">
        <v>136</v>
      </c>
      <c r="BJ24" s="38">
        <v>8</v>
      </c>
      <c r="BK24" s="39">
        <v>136</v>
      </c>
      <c r="BL24" s="42">
        <v>128</v>
      </c>
      <c r="BM24" s="38">
        <v>20</v>
      </c>
      <c r="BN24" s="39">
        <v>82</v>
      </c>
      <c r="BO24" s="42">
        <v>62</v>
      </c>
      <c r="BP24" s="38">
        <v>92</v>
      </c>
      <c r="BQ24" s="39">
        <v>28</v>
      </c>
      <c r="BR24" s="42">
        <v>-64</v>
      </c>
      <c r="BS24" s="38">
        <v>4166</v>
      </c>
      <c r="BT24" s="39">
        <v>49</v>
      </c>
      <c r="BU24" s="42">
        <v>-4117</v>
      </c>
      <c r="BV24" s="38">
        <v>12303</v>
      </c>
      <c r="BW24" s="39">
        <v>2674</v>
      </c>
      <c r="BX24" s="42">
        <v>-9629</v>
      </c>
      <c r="BY24" s="38">
        <v>2796</v>
      </c>
      <c r="BZ24" s="39">
        <v>2185</v>
      </c>
      <c r="CA24" s="42">
        <v>-611</v>
      </c>
      <c r="CB24" s="38">
        <v>3487</v>
      </c>
      <c r="CC24" s="39">
        <v>5564</v>
      </c>
      <c r="CD24" s="42">
        <v>2077</v>
      </c>
      <c r="CE24" s="38">
        <v>120210</v>
      </c>
      <c r="CF24" s="39">
        <v>69921</v>
      </c>
      <c r="CG24" s="42">
        <v>-50289</v>
      </c>
      <c r="CH24" s="38">
        <v>1586073</v>
      </c>
      <c r="CI24" s="39">
        <v>1179988</v>
      </c>
      <c r="CJ24" s="42">
        <v>-406085</v>
      </c>
      <c r="CK24" s="31">
        <v>1976035</v>
      </c>
      <c r="CL24" s="39">
        <v>1382589</v>
      </c>
      <c r="CM24" s="58">
        <v>-593446</v>
      </c>
      <c r="CN24" s="31">
        <v>4832285</v>
      </c>
      <c r="CO24" s="39">
        <v>4348617</v>
      </c>
      <c r="CP24" s="58">
        <v>-483668</v>
      </c>
    </row>
    <row r="25" spans="1:94" s="31" customFormat="1">
      <c r="A25" s="47" t="s">
        <v>685</v>
      </c>
      <c r="B25" s="38">
        <v>1E-3</v>
      </c>
      <c r="C25" s="39">
        <v>5.6929999999999996</v>
      </c>
      <c r="D25" s="42">
        <v>5.6919999999999993</v>
      </c>
      <c r="E25" s="38">
        <v>1.357</v>
      </c>
      <c r="F25" s="39">
        <v>153.65</v>
      </c>
      <c r="G25" s="42">
        <v>152.29300000000001</v>
      </c>
      <c r="H25" s="38">
        <v>7.1369999999999996</v>
      </c>
      <c r="I25" s="39">
        <v>0.495</v>
      </c>
      <c r="J25" s="42">
        <v>-6.6419999999999995</v>
      </c>
      <c r="K25" s="38">
        <v>47.402000000000001</v>
      </c>
      <c r="L25" s="39">
        <v>6.4370000000000003</v>
      </c>
      <c r="M25" s="42">
        <v>-40.965000000000003</v>
      </c>
      <c r="N25" s="38">
        <v>66.995999999999995</v>
      </c>
      <c r="O25" s="39">
        <v>9.0549999999999997</v>
      </c>
      <c r="P25" s="42">
        <v>-57.940999999999995</v>
      </c>
      <c r="Q25" s="38">
        <v>79.623999999999995</v>
      </c>
      <c r="R25" s="39">
        <v>1.0349999999999999</v>
      </c>
      <c r="S25" s="42">
        <v>-78.588999999999999</v>
      </c>
      <c r="T25" s="38">
        <v>111.878</v>
      </c>
      <c r="U25" s="39">
        <v>28.542000000000002</v>
      </c>
      <c r="V25" s="42">
        <v>-59.35</v>
      </c>
      <c r="W25" s="38">
        <v>23.587</v>
      </c>
      <c r="X25" s="39">
        <v>25.571999999999999</v>
      </c>
      <c r="Y25" s="42">
        <v>1.9850000000000001</v>
      </c>
      <c r="Z25" s="38">
        <v>127.617</v>
      </c>
      <c r="AA25" s="39">
        <v>10.711</v>
      </c>
      <c r="AB25" s="42">
        <v>-116.90600000000001</v>
      </c>
      <c r="AC25" s="38">
        <v>99.137</v>
      </c>
      <c r="AD25" s="39">
        <v>19.466999999999999</v>
      </c>
      <c r="AE25" s="42">
        <v>-79.67</v>
      </c>
      <c r="AF25" s="38">
        <v>1.841</v>
      </c>
      <c r="AG25" s="39">
        <v>15.631</v>
      </c>
      <c r="AH25" s="42">
        <v>13.79</v>
      </c>
      <c r="AI25" s="38">
        <v>0.33</v>
      </c>
      <c r="AJ25" s="39">
        <v>11.539</v>
      </c>
      <c r="AK25" s="42">
        <v>11.209</v>
      </c>
      <c r="AL25" s="38">
        <v>7.6920000000000002</v>
      </c>
      <c r="AM25" s="39">
        <v>0.224</v>
      </c>
      <c r="AN25" s="42">
        <v>-7.468</v>
      </c>
      <c r="AO25" s="38">
        <v>1.4999999999999999E-2</v>
      </c>
      <c r="AP25" s="39">
        <v>0</v>
      </c>
      <c r="AQ25" s="42">
        <v>0</v>
      </c>
      <c r="AR25" s="38">
        <v>0</v>
      </c>
      <c r="AS25" s="39">
        <v>2.7330000000000001</v>
      </c>
      <c r="AT25" s="42">
        <v>2.7330000000000001</v>
      </c>
      <c r="AU25" s="38">
        <v>0</v>
      </c>
      <c r="AV25" s="39">
        <v>72</v>
      </c>
      <c r="AW25" s="42">
        <v>72</v>
      </c>
      <c r="AX25" s="38">
        <v>24</v>
      </c>
      <c r="AY25" s="39">
        <v>362</v>
      </c>
      <c r="AZ25" s="42">
        <v>338</v>
      </c>
      <c r="BA25" s="38">
        <v>14</v>
      </c>
      <c r="BB25" s="39">
        <v>241</v>
      </c>
      <c r="BC25" s="42">
        <v>227</v>
      </c>
      <c r="BD25" s="38">
        <v>30</v>
      </c>
      <c r="BE25" s="39">
        <v>1026</v>
      </c>
      <c r="BF25" s="42">
        <v>996</v>
      </c>
      <c r="BG25" s="38">
        <v>0</v>
      </c>
      <c r="BH25" s="39">
        <v>107</v>
      </c>
      <c r="BI25" s="42">
        <v>107</v>
      </c>
      <c r="BJ25" s="38">
        <v>8</v>
      </c>
      <c r="BK25" s="39">
        <v>26</v>
      </c>
      <c r="BL25" s="42">
        <v>18</v>
      </c>
      <c r="BM25" s="38">
        <v>17</v>
      </c>
      <c r="BN25" s="39">
        <v>48</v>
      </c>
      <c r="BO25" s="42">
        <v>31</v>
      </c>
      <c r="BP25" s="38">
        <v>51</v>
      </c>
      <c r="BQ25" s="39">
        <v>16</v>
      </c>
      <c r="BR25" s="42">
        <v>-35</v>
      </c>
      <c r="BS25" s="38">
        <v>270</v>
      </c>
      <c r="BT25" s="39">
        <v>33</v>
      </c>
      <c r="BU25" s="42">
        <v>-237</v>
      </c>
      <c r="BV25" s="38">
        <v>52</v>
      </c>
      <c r="BW25" s="39">
        <v>53</v>
      </c>
      <c r="BX25" s="42">
        <v>1</v>
      </c>
      <c r="BY25" s="38">
        <v>0</v>
      </c>
      <c r="BZ25" s="39">
        <v>1</v>
      </c>
      <c r="CA25" s="42">
        <v>1</v>
      </c>
      <c r="CB25" s="38">
        <v>0</v>
      </c>
      <c r="CC25" s="39">
        <v>0</v>
      </c>
      <c r="CD25" s="42">
        <v>0</v>
      </c>
      <c r="CE25" s="38">
        <v>3331</v>
      </c>
      <c r="CF25" s="39">
        <v>2073</v>
      </c>
      <c r="CG25" s="42">
        <v>-1258</v>
      </c>
      <c r="CH25" s="38">
        <v>61047</v>
      </c>
      <c r="CI25" s="39">
        <v>33693</v>
      </c>
      <c r="CJ25" s="42">
        <v>-27354</v>
      </c>
      <c r="CK25" s="31">
        <v>64520</v>
      </c>
      <c r="CL25" s="39">
        <v>53623</v>
      </c>
      <c r="CM25" s="58">
        <v>-10897</v>
      </c>
      <c r="CN25" s="31">
        <v>60680</v>
      </c>
      <c r="CO25" s="39">
        <v>41577</v>
      </c>
      <c r="CP25" s="58">
        <v>-19103</v>
      </c>
    </row>
    <row r="26" spans="1:94" s="31" customFormat="1">
      <c r="A26" s="47" t="s">
        <v>686</v>
      </c>
      <c r="B26" s="38">
        <v>1.6220000000000001</v>
      </c>
      <c r="C26" s="39">
        <v>4.91</v>
      </c>
      <c r="D26" s="42">
        <v>3.2880000000000003</v>
      </c>
      <c r="E26" s="38">
        <v>0.89</v>
      </c>
      <c r="F26" s="39">
        <v>15.282</v>
      </c>
      <c r="G26" s="42">
        <v>14.391999999999999</v>
      </c>
      <c r="H26" s="38">
        <v>75.673000000000002</v>
      </c>
      <c r="I26" s="39">
        <v>46.07</v>
      </c>
      <c r="J26" s="42">
        <v>-29.603000000000002</v>
      </c>
      <c r="K26" s="38">
        <v>13.487</v>
      </c>
      <c r="L26" s="39">
        <v>4.8059999999999992</v>
      </c>
      <c r="M26" s="42">
        <v>-8.6810000000000009</v>
      </c>
      <c r="N26" s="38">
        <v>250</v>
      </c>
      <c r="O26" s="39">
        <v>5.5449999999999999</v>
      </c>
      <c r="P26" s="42">
        <v>-244.45500000000001</v>
      </c>
      <c r="Q26" s="38">
        <v>3.5000000000000003E-2</v>
      </c>
      <c r="R26" s="39">
        <v>31.695</v>
      </c>
      <c r="S26" s="42">
        <v>31.66</v>
      </c>
      <c r="T26" s="38">
        <v>0</v>
      </c>
      <c r="U26" s="39">
        <v>34.307000000000002</v>
      </c>
      <c r="V26" s="42">
        <v>-46.185000000000002</v>
      </c>
      <c r="W26" s="38">
        <v>44.7</v>
      </c>
      <c r="X26" s="39">
        <v>39.917999999999999</v>
      </c>
      <c r="Y26" s="42">
        <v>-4.7820000000000036</v>
      </c>
      <c r="Z26" s="38">
        <v>7.0979999999999999</v>
      </c>
      <c r="AA26" s="39">
        <v>9.4209999999999994</v>
      </c>
      <c r="AB26" s="42">
        <v>2.3229999999999995</v>
      </c>
      <c r="AC26" s="38">
        <v>1.734</v>
      </c>
      <c r="AD26" s="39">
        <v>9.1530000000000005</v>
      </c>
      <c r="AE26" s="42">
        <v>7.4190000000000005</v>
      </c>
      <c r="AF26" s="38">
        <v>6.9409999999999998</v>
      </c>
      <c r="AG26" s="39">
        <v>1.857</v>
      </c>
      <c r="AH26" s="42">
        <v>-5.0839999999999996</v>
      </c>
      <c r="AI26" s="38">
        <v>6.0010000000000003</v>
      </c>
      <c r="AJ26" s="39">
        <v>29.105</v>
      </c>
      <c r="AK26" s="42">
        <v>23.103999999999999</v>
      </c>
      <c r="AL26" s="38">
        <v>0</v>
      </c>
      <c r="AM26" s="39">
        <v>29.765000000000001</v>
      </c>
      <c r="AN26" s="42">
        <v>29.765000000000001</v>
      </c>
      <c r="AO26" s="38">
        <v>1.4999999999999999E-2</v>
      </c>
      <c r="AP26" s="39">
        <v>67.674999999999997</v>
      </c>
      <c r="AQ26" s="42">
        <v>67.66</v>
      </c>
      <c r="AR26" s="38">
        <v>40.215000000000003</v>
      </c>
      <c r="AS26" s="39">
        <v>120.77200000000001</v>
      </c>
      <c r="AT26" s="42">
        <v>80.557000000000002</v>
      </c>
      <c r="AU26" s="38">
        <v>0</v>
      </c>
      <c r="AV26" s="39">
        <v>27</v>
      </c>
      <c r="AW26" s="42">
        <v>27</v>
      </c>
      <c r="AX26" s="38">
        <v>0</v>
      </c>
      <c r="AY26" s="39">
        <v>25</v>
      </c>
      <c r="AZ26" s="42">
        <v>25</v>
      </c>
      <c r="BA26" s="38">
        <v>0</v>
      </c>
      <c r="BB26" s="39">
        <v>49</v>
      </c>
      <c r="BC26" s="42">
        <v>49</v>
      </c>
      <c r="BD26" s="38">
        <v>24</v>
      </c>
      <c r="BE26" s="39">
        <v>42</v>
      </c>
      <c r="BF26" s="42">
        <v>18</v>
      </c>
      <c r="BG26" s="38">
        <v>0</v>
      </c>
      <c r="BH26" s="39">
        <v>29</v>
      </c>
      <c r="BI26" s="42">
        <v>29</v>
      </c>
      <c r="BJ26" s="38">
        <v>0</v>
      </c>
      <c r="BK26" s="39">
        <v>110</v>
      </c>
      <c r="BL26" s="42">
        <v>110</v>
      </c>
      <c r="BM26" s="38">
        <v>3</v>
      </c>
      <c r="BN26" s="39">
        <v>34</v>
      </c>
      <c r="BO26" s="42">
        <v>31</v>
      </c>
      <c r="BP26" s="38">
        <v>41</v>
      </c>
      <c r="BQ26" s="39">
        <v>12</v>
      </c>
      <c r="BR26" s="42">
        <v>-29</v>
      </c>
      <c r="BS26" s="38">
        <v>3896</v>
      </c>
      <c r="BT26" s="39">
        <v>16</v>
      </c>
      <c r="BU26" s="42">
        <v>-3880</v>
      </c>
      <c r="BV26" s="38">
        <v>12251</v>
      </c>
      <c r="BW26" s="39">
        <v>2621</v>
      </c>
      <c r="BX26" s="42">
        <v>-9630</v>
      </c>
      <c r="BY26" s="38">
        <v>2796</v>
      </c>
      <c r="BZ26" s="39">
        <v>2184</v>
      </c>
      <c r="CA26" s="42">
        <v>-612</v>
      </c>
      <c r="CB26" s="38">
        <v>3487</v>
      </c>
      <c r="CC26" s="39">
        <v>5564</v>
      </c>
      <c r="CD26" s="42">
        <v>2077</v>
      </c>
      <c r="CE26" s="38">
        <v>116879</v>
      </c>
      <c r="CF26" s="39">
        <v>67848</v>
      </c>
      <c r="CG26" s="42">
        <v>-49031</v>
      </c>
      <c r="CH26" s="38">
        <v>1230030</v>
      </c>
      <c r="CI26" s="39">
        <v>1135325</v>
      </c>
      <c r="CJ26" s="42">
        <v>-94705</v>
      </c>
      <c r="CK26" s="31">
        <v>1000107</v>
      </c>
      <c r="CL26" s="39">
        <v>718413</v>
      </c>
      <c r="CM26" s="58">
        <v>-281694</v>
      </c>
      <c r="CN26" s="31">
        <v>2671872</v>
      </c>
      <c r="CO26" s="39">
        <v>1956503</v>
      </c>
      <c r="CP26" s="58">
        <v>-715369</v>
      </c>
    </row>
    <row r="27" spans="1:94" s="31" customFormat="1">
      <c r="A27" s="47" t="s">
        <v>687</v>
      </c>
      <c r="B27" s="375" t="s">
        <v>640</v>
      </c>
      <c r="C27" s="51" t="s">
        <v>640</v>
      </c>
      <c r="D27" s="52" t="s">
        <v>640</v>
      </c>
      <c r="E27" s="38">
        <v>0.121</v>
      </c>
      <c r="F27" s="39">
        <v>9.0559999999999992</v>
      </c>
      <c r="G27" s="42">
        <v>8.9350000000000005</v>
      </c>
      <c r="H27" s="38">
        <v>75.091999999999999</v>
      </c>
      <c r="I27" s="39">
        <v>0.315</v>
      </c>
      <c r="J27" s="42">
        <v>-74.777000000000001</v>
      </c>
      <c r="K27" s="38">
        <v>2.2879999999999998</v>
      </c>
      <c r="L27" s="39">
        <v>0.30199999999999999</v>
      </c>
      <c r="M27" s="42">
        <v>-1.9859999999999998</v>
      </c>
      <c r="N27" s="38">
        <v>250</v>
      </c>
      <c r="O27" s="39">
        <v>0.62</v>
      </c>
      <c r="P27" s="42">
        <v>-249.38</v>
      </c>
      <c r="Q27" s="38">
        <v>0</v>
      </c>
      <c r="R27" s="39">
        <v>1.339</v>
      </c>
      <c r="S27" s="42">
        <v>1.339</v>
      </c>
      <c r="T27" s="38">
        <v>0</v>
      </c>
      <c r="U27" s="39">
        <v>6.6000000000000003E-2</v>
      </c>
      <c r="V27" s="42">
        <v>-8.5389999999999997</v>
      </c>
      <c r="W27" s="38">
        <v>1.0660000000000001</v>
      </c>
      <c r="X27" s="39">
        <v>0.70699999999999996</v>
      </c>
      <c r="Y27" s="42">
        <v>-0.3590000000000001</v>
      </c>
      <c r="Z27" s="38">
        <v>5.2759999999999998</v>
      </c>
      <c r="AA27" s="39">
        <v>0.52</v>
      </c>
      <c r="AB27" s="42">
        <v>-4.7560000000000002</v>
      </c>
      <c r="AC27" s="38">
        <v>1.734</v>
      </c>
      <c r="AD27" s="39">
        <v>0.36399999999999999</v>
      </c>
      <c r="AE27" s="42">
        <v>-1.37</v>
      </c>
      <c r="AF27" s="38">
        <v>0</v>
      </c>
      <c r="AG27" s="39">
        <v>1.857</v>
      </c>
      <c r="AH27" s="42">
        <v>1.857</v>
      </c>
      <c r="AI27" s="38">
        <v>6.0010000000000003</v>
      </c>
      <c r="AJ27" s="39">
        <v>26.515000000000001</v>
      </c>
      <c r="AK27" s="42">
        <v>20.513999999999999</v>
      </c>
      <c r="AL27" s="38">
        <v>0</v>
      </c>
      <c r="AM27" s="39">
        <v>29.501999999999999</v>
      </c>
      <c r="AN27" s="42">
        <v>29.501999999999999</v>
      </c>
      <c r="AO27" s="38">
        <v>1.2999999999999999E-2</v>
      </c>
      <c r="AP27" s="39">
        <v>41.976999999999997</v>
      </c>
      <c r="AQ27" s="42">
        <v>41.963999999999999</v>
      </c>
      <c r="AR27" s="38">
        <v>36.429000000000002</v>
      </c>
      <c r="AS27" s="39">
        <v>96.739000000000004</v>
      </c>
      <c r="AT27" s="42">
        <v>60.31</v>
      </c>
      <c r="AU27" s="38">
        <v>0</v>
      </c>
      <c r="AV27" s="39">
        <v>9</v>
      </c>
      <c r="AW27" s="42">
        <v>9</v>
      </c>
      <c r="AX27" s="38">
        <v>0</v>
      </c>
      <c r="AY27" s="39">
        <v>23</v>
      </c>
      <c r="AZ27" s="42">
        <v>23</v>
      </c>
      <c r="BA27" s="38">
        <v>0</v>
      </c>
      <c r="BB27" s="39">
        <v>48</v>
      </c>
      <c r="BC27" s="42">
        <v>48</v>
      </c>
      <c r="BD27" s="38">
        <v>0</v>
      </c>
      <c r="BE27" s="39">
        <v>9</v>
      </c>
      <c r="BF27" s="42">
        <v>9</v>
      </c>
      <c r="BG27" s="38">
        <v>0</v>
      </c>
      <c r="BH27" s="39">
        <v>28</v>
      </c>
      <c r="BI27" s="42">
        <v>28</v>
      </c>
      <c r="BJ27" s="38">
        <v>0</v>
      </c>
      <c r="BK27" s="39">
        <v>98</v>
      </c>
      <c r="BL27" s="42">
        <v>98</v>
      </c>
      <c r="BM27" s="38">
        <v>3</v>
      </c>
      <c r="BN27" s="39">
        <v>14</v>
      </c>
      <c r="BO27" s="42">
        <v>11</v>
      </c>
      <c r="BP27" s="38">
        <v>0</v>
      </c>
      <c r="BQ27" s="39">
        <v>7</v>
      </c>
      <c r="BR27" s="42">
        <v>7</v>
      </c>
      <c r="BS27" s="38">
        <v>0</v>
      </c>
      <c r="BT27" s="39">
        <v>14</v>
      </c>
      <c r="BU27" s="42">
        <v>14</v>
      </c>
      <c r="BV27" s="38">
        <v>0</v>
      </c>
      <c r="BW27" s="39">
        <v>18</v>
      </c>
      <c r="BX27" s="42">
        <v>18</v>
      </c>
      <c r="BY27" s="38">
        <v>0</v>
      </c>
      <c r="BZ27" s="39">
        <v>0</v>
      </c>
      <c r="CA27" s="42">
        <v>0</v>
      </c>
      <c r="CB27" s="38">
        <v>0</v>
      </c>
      <c r="CC27" s="39">
        <v>0</v>
      </c>
      <c r="CD27" s="42">
        <v>0</v>
      </c>
      <c r="CE27" s="38">
        <v>0</v>
      </c>
      <c r="CF27" s="39">
        <v>0</v>
      </c>
      <c r="CG27" s="42">
        <v>0</v>
      </c>
      <c r="CH27" s="38">
        <v>1230030</v>
      </c>
      <c r="CI27" s="39">
        <v>1135325</v>
      </c>
      <c r="CJ27" s="42">
        <v>-94705</v>
      </c>
      <c r="CL27" s="39"/>
      <c r="CM27" s="58"/>
      <c r="CO27" s="39"/>
      <c r="CP27" s="58"/>
    </row>
    <row r="28" spans="1:94" s="31" customFormat="1">
      <c r="A28" s="47" t="s">
        <v>688</v>
      </c>
      <c r="B28" s="375" t="s">
        <v>640</v>
      </c>
      <c r="C28" s="51" t="s">
        <v>640</v>
      </c>
      <c r="D28" s="52" t="s">
        <v>640</v>
      </c>
      <c r="E28" s="38">
        <v>0.76900000000000002</v>
      </c>
      <c r="F28" s="39">
        <v>6.226</v>
      </c>
      <c r="G28" s="42">
        <v>5.4569999999999999</v>
      </c>
      <c r="H28" s="38">
        <v>0.58099999999999996</v>
      </c>
      <c r="I28" s="39">
        <v>45.755000000000003</v>
      </c>
      <c r="J28" s="42">
        <v>45.173999999999999</v>
      </c>
      <c r="K28" s="38">
        <v>11.199</v>
      </c>
      <c r="L28" s="39">
        <v>4.5039999999999996</v>
      </c>
      <c r="M28" s="42">
        <v>-6.6950000000000003</v>
      </c>
      <c r="N28" s="38">
        <v>0</v>
      </c>
      <c r="O28" s="39">
        <v>4.9249999999999998</v>
      </c>
      <c r="P28" s="42">
        <v>4.9249999999999998</v>
      </c>
      <c r="Q28" s="38">
        <v>3.5000000000000003E-2</v>
      </c>
      <c r="R28" s="39">
        <v>30.356000000000002</v>
      </c>
      <c r="S28" s="42">
        <v>30.321000000000002</v>
      </c>
      <c r="T28" s="38">
        <v>0</v>
      </c>
      <c r="U28" s="39">
        <v>34.241</v>
      </c>
      <c r="V28" s="42">
        <v>-37.646000000000001</v>
      </c>
      <c r="W28" s="38">
        <v>43.634</v>
      </c>
      <c r="X28" s="39">
        <v>39.210999999999999</v>
      </c>
      <c r="Y28" s="42">
        <v>-4.4230000000000018</v>
      </c>
      <c r="Z28" s="38">
        <v>1.8220000000000001</v>
      </c>
      <c r="AA28" s="39">
        <v>8.9009999999999998</v>
      </c>
      <c r="AB28" s="42">
        <v>7.0789999999999997</v>
      </c>
      <c r="AC28" s="38">
        <v>0</v>
      </c>
      <c r="AD28" s="39">
        <v>8.7889999999999997</v>
      </c>
      <c r="AE28" s="42">
        <v>8.7889999999999997</v>
      </c>
      <c r="AF28" s="38">
        <v>6.9409999999999998</v>
      </c>
      <c r="AG28" s="39">
        <v>0</v>
      </c>
      <c r="AH28" s="42">
        <v>-6.9409999999999998</v>
      </c>
      <c r="AI28" s="38">
        <v>0</v>
      </c>
      <c r="AJ28" s="39">
        <v>2.59</v>
      </c>
      <c r="AK28" s="42">
        <v>2.59</v>
      </c>
      <c r="AL28" s="38">
        <v>0</v>
      </c>
      <c r="AM28" s="39">
        <v>0.26300000000000001</v>
      </c>
      <c r="AN28" s="42">
        <v>0.26300000000000001</v>
      </c>
      <c r="AO28" s="38">
        <v>2E-3</v>
      </c>
      <c r="AP28" s="39">
        <v>25.698</v>
      </c>
      <c r="AQ28" s="42">
        <v>25.696000000000002</v>
      </c>
      <c r="AR28" s="38">
        <v>3.786</v>
      </c>
      <c r="AS28" s="39">
        <v>24.033000000000001</v>
      </c>
      <c r="AT28" s="42">
        <v>20.247</v>
      </c>
      <c r="AU28" s="38">
        <v>0</v>
      </c>
      <c r="AV28" s="39">
        <v>18</v>
      </c>
      <c r="AW28" s="42">
        <v>18</v>
      </c>
      <c r="AX28" s="38">
        <v>0</v>
      </c>
      <c r="AY28" s="39">
        <v>2</v>
      </c>
      <c r="AZ28" s="42">
        <v>2</v>
      </c>
      <c r="BA28" s="38">
        <v>0</v>
      </c>
      <c r="BB28" s="39">
        <v>1</v>
      </c>
      <c r="BC28" s="42">
        <v>1</v>
      </c>
      <c r="BD28" s="38">
        <v>24</v>
      </c>
      <c r="BE28" s="39">
        <v>33</v>
      </c>
      <c r="BF28" s="42">
        <v>9</v>
      </c>
      <c r="BG28" s="38">
        <v>0</v>
      </c>
      <c r="BH28" s="39">
        <v>1</v>
      </c>
      <c r="BI28" s="42">
        <v>1</v>
      </c>
      <c r="BJ28" s="38">
        <v>0</v>
      </c>
      <c r="BK28" s="39">
        <v>12</v>
      </c>
      <c r="BL28" s="42">
        <v>12</v>
      </c>
      <c r="BM28" s="38">
        <v>0</v>
      </c>
      <c r="BN28" s="39">
        <v>20</v>
      </c>
      <c r="BO28" s="42">
        <v>20</v>
      </c>
      <c r="BP28" s="38">
        <v>41</v>
      </c>
      <c r="BQ28" s="39">
        <v>5</v>
      </c>
      <c r="BR28" s="42">
        <v>-36</v>
      </c>
      <c r="BS28" s="38">
        <v>3896</v>
      </c>
      <c r="BT28" s="39">
        <v>2</v>
      </c>
      <c r="BU28" s="42">
        <v>-3894</v>
      </c>
      <c r="BV28" s="38">
        <v>12251</v>
      </c>
      <c r="BW28" s="39">
        <v>2603</v>
      </c>
      <c r="BX28" s="42">
        <v>-9648</v>
      </c>
      <c r="BY28" s="38">
        <v>2796</v>
      </c>
      <c r="BZ28" s="39">
        <v>2184</v>
      </c>
      <c r="CA28" s="42">
        <v>-612</v>
      </c>
      <c r="CB28" s="38">
        <v>3487</v>
      </c>
      <c r="CC28" s="39">
        <v>5564</v>
      </c>
      <c r="CD28" s="42">
        <v>2077</v>
      </c>
      <c r="CE28" s="38">
        <v>116879</v>
      </c>
      <c r="CF28" s="39">
        <v>67848</v>
      </c>
      <c r="CG28" s="42">
        <v>-49031</v>
      </c>
      <c r="CH28" s="38">
        <v>0</v>
      </c>
      <c r="CI28" s="39">
        <v>0</v>
      </c>
      <c r="CJ28" s="42">
        <v>0</v>
      </c>
      <c r="CL28" s="39"/>
      <c r="CM28" s="58"/>
      <c r="CO28" s="39"/>
      <c r="CP28" s="58"/>
    </row>
    <row r="29" spans="1:94" s="31" customFormat="1">
      <c r="A29" s="47" t="s">
        <v>689</v>
      </c>
      <c r="B29" s="38">
        <v>0</v>
      </c>
      <c r="C29" s="39">
        <v>0</v>
      </c>
      <c r="D29" s="42">
        <v>0</v>
      </c>
      <c r="E29" s="38">
        <v>0</v>
      </c>
      <c r="F29" s="39">
        <v>0</v>
      </c>
      <c r="G29" s="42">
        <v>0</v>
      </c>
      <c r="H29" s="38">
        <v>0</v>
      </c>
      <c r="I29" s="39">
        <v>0</v>
      </c>
      <c r="J29" s="42">
        <v>0</v>
      </c>
      <c r="K29" s="38">
        <v>0</v>
      </c>
      <c r="L29" s="39">
        <v>0</v>
      </c>
      <c r="M29" s="42">
        <v>0</v>
      </c>
      <c r="N29" s="38">
        <v>0</v>
      </c>
      <c r="O29" s="39">
        <v>0</v>
      </c>
      <c r="P29" s="42">
        <v>0</v>
      </c>
      <c r="Q29" s="38">
        <v>0</v>
      </c>
      <c r="R29" s="39">
        <v>0</v>
      </c>
      <c r="S29" s="42">
        <v>0</v>
      </c>
      <c r="T29" s="38">
        <v>0</v>
      </c>
      <c r="U29" s="39">
        <v>0</v>
      </c>
      <c r="V29" s="42">
        <v>0</v>
      </c>
      <c r="W29" s="38">
        <v>0</v>
      </c>
      <c r="X29" s="39">
        <v>0</v>
      </c>
      <c r="Y29" s="42">
        <v>0</v>
      </c>
      <c r="Z29" s="38">
        <v>0</v>
      </c>
      <c r="AA29" s="39">
        <v>0</v>
      </c>
      <c r="AB29" s="42">
        <v>0</v>
      </c>
      <c r="AC29" s="38">
        <v>0</v>
      </c>
      <c r="AD29" s="39">
        <v>0</v>
      </c>
      <c r="AE29" s="42">
        <v>0</v>
      </c>
      <c r="AF29" s="38">
        <v>0</v>
      </c>
      <c r="AG29" s="39">
        <v>0</v>
      </c>
      <c r="AH29" s="42">
        <v>0</v>
      </c>
      <c r="AI29" s="38">
        <v>0</v>
      </c>
      <c r="AJ29" s="39">
        <v>0</v>
      </c>
      <c r="AK29" s="42">
        <v>0</v>
      </c>
      <c r="AL29" s="38">
        <v>0</v>
      </c>
      <c r="AM29" s="39">
        <v>0</v>
      </c>
      <c r="AN29" s="42">
        <v>0</v>
      </c>
      <c r="AO29" s="38">
        <v>0</v>
      </c>
      <c r="AP29" s="39">
        <v>0</v>
      </c>
      <c r="AQ29" s="42">
        <v>0</v>
      </c>
      <c r="AR29" s="38">
        <v>0</v>
      </c>
      <c r="AS29" s="39">
        <v>0</v>
      </c>
      <c r="AT29" s="42">
        <v>0</v>
      </c>
      <c r="AU29" s="38">
        <v>0</v>
      </c>
      <c r="AV29" s="39">
        <v>0</v>
      </c>
      <c r="AW29" s="42">
        <v>0</v>
      </c>
      <c r="AX29" s="38">
        <v>0</v>
      </c>
      <c r="AY29" s="39">
        <v>0</v>
      </c>
      <c r="AZ29" s="42">
        <v>0</v>
      </c>
      <c r="BA29" s="38">
        <v>0</v>
      </c>
      <c r="BB29" s="39">
        <v>0</v>
      </c>
      <c r="BC29" s="42">
        <v>0</v>
      </c>
      <c r="BD29" s="38">
        <v>0</v>
      </c>
      <c r="BE29" s="39">
        <v>0</v>
      </c>
      <c r="BF29" s="42">
        <v>0</v>
      </c>
      <c r="BG29" s="38">
        <v>0</v>
      </c>
      <c r="BH29" s="39">
        <v>0</v>
      </c>
      <c r="BI29" s="42">
        <v>0</v>
      </c>
      <c r="BJ29" s="38">
        <v>0</v>
      </c>
      <c r="BK29" s="39">
        <v>0</v>
      </c>
      <c r="BL29" s="42">
        <v>0</v>
      </c>
      <c r="BM29" s="38">
        <v>0</v>
      </c>
      <c r="BN29" s="39">
        <v>0</v>
      </c>
      <c r="BO29" s="42">
        <v>0</v>
      </c>
      <c r="BP29" s="38">
        <v>0</v>
      </c>
      <c r="BQ29" s="39">
        <v>0</v>
      </c>
      <c r="BR29" s="42">
        <v>0</v>
      </c>
      <c r="BS29" s="38">
        <v>0</v>
      </c>
      <c r="BT29" s="39">
        <v>0</v>
      </c>
      <c r="BU29" s="42">
        <v>0</v>
      </c>
      <c r="BV29" s="38">
        <v>0</v>
      </c>
      <c r="BW29" s="39">
        <v>0</v>
      </c>
      <c r="BX29" s="42">
        <v>0</v>
      </c>
      <c r="BY29" s="38">
        <v>0</v>
      </c>
      <c r="BZ29" s="39">
        <v>0</v>
      </c>
      <c r="CA29" s="42">
        <v>0</v>
      </c>
      <c r="CB29" s="38">
        <v>0</v>
      </c>
      <c r="CC29" s="39">
        <v>0</v>
      </c>
      <c r="CD29" s="42">
        <v>0</v>
      </c>
      <c r="CE29" s="38">
        <v>0</v>
      </c>
      <c r="CF29" s="39">
        <v>0</v>
      </c>
      <c r="CG29" s="42">
        <v>0</v>
      </c>
      <c r="CH29" s="38">
        <v>294996</v>
      </c>
      <c r="CI29" s="39">
        <v>10970</v>
      </c>
      <c r="CJ29" s="42">
        <v>-284026</v>
      </c>
      <c r="CK29" s="31">
        <v>911408</v>
      </c>
      <c r="CL29" s="39">
        <v>610553</v>
      </c>
      <c r="CM29" s="58">
        <v>-300855</v>
      </c>
      <c r="CN29" s="31">
        <v>2099733</v>
      </c>
      <c r="CO29" s="39">
        <v>2350537</v>
      </c>
      <c r="CP29" s="58">
        <v>250804</v>
      </c>
    </row>
    <row r="30" spans="1:94" s="31" customFormat="1">
      <c r="A30" s="47" t="s">
        <v>683</v>
      </c>
      <c r="B30" s="38">
        <v>52.641000000000005</v>
      </c>
      <c r="C30" s="39">
        <v>129.685</v>
      </c>
      <c r="D30" s="42">
        <v>77.043999999999983</v>
      </c>
      <c r="E30" s="38">
        <v>142.02199999999999</v>
      </c>
      <c r="F30" s="39">
        <v>164.03199999999998</v>
      </c>
      <c r="G30" s="42">
        <v>22.01</v>
      </c>
      <c r="H30" s="38">
        <v>82.281999999999996</v>
      </c>
      <c r="I30" s="39">
        <v>211.62599999999998</v>
      </c>
      <c r="J30" s="42">
        <v>129.34399999999999</v>
      </c>
      <c r="K30" s="38">
        <v>141.364</v>
      </c>
      <c r="L30" s="39">
        <v>585.49400000000003</v>
      </c>
      <c r="M30" s="42">
        <v>444.13</v>
      </c>
      <c r="N30" s="38">
        <v>225.06599999999997</v>
      </c>
      <c r="O30" s="39">
        <v>284.53800000000001</v>
      </c>
      <c r="P30" s="42">
        <v>59.47199999999998</v>
      </c>
      <c r="Q30" s="38">
        <v>221.536</v>
      </c>
      <c r="R30" s="39">
        <v>251.55</v>
      </c>
      <c r="S30" s="42">
        <v>30.013999999999982</v>
      </c>
      <c r="T30" s="38">
        <v>111.878</v>
      </c>
      <c r="U30" s="39">
        <v>161.75</v>
      </c>
      <c r="V30" s="42">
        <v>49.872</v>
      </c>
      <c r="W30" s="38">
        <v>851.96399999999994</v>
      </c>
      <c r="X30" s="39">
        <v>239.458</v>
      </c>
      <c r="Y30" s="42">
        <v>-612.50599999999997</v>
      </c>
      <c r="Z30" s="38">
        <v>254.511</v>
      </c>
      <c r="AA30" s="39">
        <v>220.892</v>
      </c>
      <c r="AB30" s="42">
        <v>-33.618999999999978</v>
      </c>
      <c r="AC30" s="38">
        <v>184.53900000000002</v>
      </c>
      <c r="AD30" s="39">
        <v>648.62599999999998</v>
      </c>
      <c r="AE30" s="42">
        <v>464.08699999999999</v>
      </c>
      <c r="AF30" s="38">
        <v>64.022999999999996</v>
      </c>
      <c r="AG30" s="39">
        <v>305.83999999999997</v>
      </c>
      <c r="AH30" s="42">
        <v>241.81700000000001</v>
      </c>
      <c r="AI30" s="38">
        <v>28.268999999999998</v>
      </c>
      <c r="AJ30" s="39">
        <v>435.73899999999998</v>
      </c>
      <c r="AK30" s="42">
        <v>407.47</v>
      </c>
      <c r="AL30" s="38">
        <v>14.246000000000002</v>
      </c>
      <c r="AM30" s="39">
        <v>403.56199999999995</v>
      </c>
      <c r="AN30" s="42">
        <v>389.31599999999997</v>
      </c>
      <c r="AO30" s="38">
        <v>37.717999999999996</v>
      </c>
      <c r="AP30" s="39">
        <v>163.73500000000001</v>
      </c>
      <c r="AQ30" s="42">
        <v>126.01700000000001</v>
      </c>
      <c r="AR30" s="38">
        <v>87</v>
      </c>
      <c r="AS30" s="39">
        <v>146.452</v>
      </c>
      <c r="AT30" s="42">
        <v>59.451999999999998</v>
      </c>
      <c r="AU30" s="38">
        <v>585</v>
      </c>
      <c r="AV30" s="39">
        <v>177</v>
      </c>
      <c r="AW30" s="42">
        <v>-408</v>
      </c>
      <c r="AX30" s="38">
        <v>831</v>
      </c>
      <c r="AY30" s="39">
        <v>68</v>
      </c>
      <c r="AZ30" s="42">
        <v>-763</v>
      </c>
      <c r="BA30" s="38">
        <v>479</v>
      </c>
      <c r="BB30" s="39">
        <v>2072</v>
      </c>
      <c r="BC30" s="42">
        <v>1593</v>
      </c>
      <c r="BD30" s="38">
        <v>705</v>
      </c>
      <c r="BE30" s="39">
        <v>1136</v>
      </c>
      <c r="BF30" s="42">
        <v>431</v>
      </c>
      <c r="BG30" s="38">
        <v>1056</v>
      </c>
      <c r="BH30" s="39">
        <v>20860</v>
      </c>
      <c r="BI30" s="42">
        <v>19804</v>
      </c>
      <c r="BJ30" s="38">
        <v>1170</v>
      </c>
      <c r="BK30" s="39">
        <v>36023</v>
      </c>
      <c r="BL30" s="42">
        <v>34853</v>
      </c>
      <c r="BM30" s="38">
        <v>605</v>
      </c>
      <c r="BN30" s="39">
        <v>52739</v>
      </c>
      <c r="BO30" s="42">
        <v>52134</v>
      </c>
      <c r="BP30" s="38">
        <v>40124</v>
      </c>
      <c r="BQ30" s="39">
        <v>174275</v>
      </c>
      <c r="BR30" s="42">
        <v>134151</v>
      </c>
      <c r="BS30" s="38">
        <v>29619</v>
      </c>
      <c r="BT30" s="39">
        <v>214593</v>
      </c>
      <c r="BU30" s="42">
        <v>184974</v>
      </c>
      <c r="BV30" s="38">
        <v>98916</v>
      </c>
      <c r="BW30" s="39">
        <v>219994</v>
      </c>
      <c r="BX30" s="42">
        <v>121078</v>
      </c>
      <c r="BY30" s="38">
        <v>269335</v>
      </c>
      <c r="BZ30" s="39">
        <v>313916</v>
      </c>
      <c r="CA30" s="42">
        <v>44581</v>
      </c>
      <c r="CB30" s="38">
        <v>352025</v>
      </c>
      <c r="CC30" s="39">
        <v>524948</v>
      </c>
      <c r="CD30" s="42">
        <v>172923</v>
      </c>
      <c r="CE30" s="38">
        <v>616337</v>
      </c>
      <c r="CF30" s="39">
        <v>452427</v>
      </c>
      <c r="CG30" s="42">
        <v>-163910</v>
      </c>
      <c r="CH30" s="38">
        <v>1353884</v>
      </c>
      <c r="CI30" s="39">
        <v>2073729</v>
      </c>
      <c r="CJ30" s="42">
        <v>719845</v>
      </c>
      <c r="CK30" s="31">
        <v>2118483</v>
      </c>
      <c r="CL30" s="39">
        <v>2761724</v>
      </c>
      <c r="CM30" s="58">
        <v>643241</v>
      </c>
      <c r="CN30" s="31">
        <v>3402650</v>
      </c>
      <c r="CO30" s="39">
        <v>3714682</v>
      </c>
      <c r="CP30" s="58">
        <v>312032</v>
      </c>
    </row>
    <row r="31" spans="1:94" s="31" customFormat="1">
      <c r="A31" s="47" t="s">
        <v>685</v>
      </c>
      <c r="B31" s="38">
        <v>50.377000000000002</v>
      </c>
      <c r="C31" s="39">
        <v>122.113</v>
      </c>
      <c r="D31" s="42">
        <v>71.73599999999999</v>
      </c>
      <c r="E31" s="38">
        <v>55.762</v>
      </c>
      <c r="F31" s="39">
        <v>12.659000000000001</v>
      </c>
      <c r="G31" s="42">
        <v>-43.103000000000002</v>
      </c>
      <c r="H31" s="38">
        <v>21.177</v>
      </c>
      <c r="I31" s="39">
        <v>67.114999999999995</v>
      </c>
      <c r="J31" s="42">
        <v>45.937999999999995</v>
      </c>
      <c r="K31" s="38">
        <v>36.737000000000002</v>
      </c>
      <c r="L31" s="39">
        <v>171.739</v>
      </c>
      <c r="M31" s="42">
        <v>135.00200000000001</v>
      </c>
      <c r="N31" s="38">
        <v>63.372</v>
      </c>
      <c r="O31" s="39">
        <v>255.04599999999999</v>
      </c>
      <c r="P31" s="42">
        <v>191.67399999999998</v>
      </c>
      <c r="Q31" s="38">
        <v>66.25</v>
      </c>
      <c r="R31" s="39">
        <v>238.22</v>
      </c>
      <c r="S31" s="42">
        <v>171.97</v>
      </c>
      <c r="T31" s="38">
        <v>87.891999999999996</v>
      </c>
      <c r="U31" s="39">
        <v>119.191</v>
      </c>
      <c r="V31" s="42">
        <v>7.3130000000000024</v>
      </c>
      <c r="W31" s="38">
        <v>786.78099999999995</v>
      </c>
      <c r="X31" s="39">
        <v>197.15899999999999</v>
      </c>
      <c r="Y31" s="42">
        <v>-589.62199999999996</v>
      </c>
      <c r="Z31" s="38">
        <v>247.53899999999999</v>
      </c>
      <c r="AA31" s="39">
        <v>179.03800000000001</v>
      </c>
      <c r="AB31" s="42">
        <v>-68.500999999999976</v>
      </c>
      <c r="AC31" s="38">
        <v>167.71100000000001</v>
      </c>
      <c r="AD31" s="39">
        <v>180.24299999999999</v>
      </c>
      <c r="AE31" s="42">
        <v>12.531999999999982</v>
      </c>
      <c r="AF31" s="38">
        <v>1.0589999999999999</v>
      </c>
      <c r="AG31" s="39">
        <v>55.567</v>
      </c>
      <c r="AH31" s="42">
        <v>54.508000000000003</v>
      </c>
      <c r="AI31" s="38">
        <v>3.4359999999999999</v>
      </c>
      <c r="AJ31" s="39">
        <v>18.734000000000002</v>
      </c>
      <c r="AK31" s="42">
        <v>15.298000000000002</v>
      </c>
      <c r="AL31" s="38">
        <v>0.20100000000000001</v>
      </c>
      <c r="AM31" s="39">
        <v>23.466999999999999</v>
      </c>
      <c r="AN31" s="42">
        <v>23.265999999999998</v>
      </c>
      <c r="AO31" s="38">
        <v>0.107</v>
      </c>
      <c r="AP31" s="39">
        <v>17.170000000000002</v>
      </c>
      <c r="AQ31" s="42">
        <v>17.063000000000002</v>
      </c>
      <c r="AR31" s="38">
        <v>0</v>
      </c>
      <c r="AS31" s="39">
        <v>0</v>
      </c>
      <c r="AT31" s="42">
        <v>0</v>
      </c>
      <c r="AU31" s="38">
        <v>41</v>
      </c>
      <c r="AV31" s="39">
        <v>1</v>
      </c>
      <c r="AW31" s="42">
        <v>-40</v>
      </c>
      <c r="AX31" s="38">
        <v>123</v>
      </c>
      <c r="AY31" s="39">
        <v>68</v>
      </c>
      <c r="AZ31" s="42">
        <v>-55</v>
      </c>
      <c r="BA31" s="38">
        <v>23</v>
      </c>
      <c r="BB31" s="39">
        <v>0</v>
      </c>
      <c r="BC31" s="42">
        <v>-23</v>
      </c>
      <c r="BD31" s="38">
        <v>18</v>
      </c>
      <c r="BE31" s="39">
        <v>0</v>
      </c>
      <c r="BF31" s="42">
        <v>-18</v>
      </c>
      <c r="BG31" s="38">
        <v>10</v>
      </c>
      <c r="BH31" s="39">
        <v>0</v>
      </c>
      <c r="BI31" s="42">
        <v>-10</v>
      </c>
      <c r="BJ31" s="38">
        <v>249</v>
      </c>
      <c r="BK31" s="39">
        <v>26</v>
      </c>
      <c r="BL31" s="42">
        <v>-223</v>
      </c>
      <c r="BM31" s="38">
        <v>112</v>
      </c>
      <c r="BN31" s="39">
        <v>469</v>
      </c>
      <c r="BO31" s="42">
        <v>357</v>
      </c>
      <c r="BP31" s="38">
        <v>37581</v>
      </c>
      <c r="BQ31" s="39">
        <v>72489</v>
      </c>
      <c r="BR31" s="42">
        <v>34908</v>
      </c>
      <c r="BS31" s="38">
        <v>12500</v>
      </c>
      <c r="BT31" s="39">
        <v>44507</v>
      </c>
      <c r="BU31" s="42">
        <v>32007</v>
      </c>
      <c r="BV31" s="38">
        <v>71677</v>
      </c>
      <c r="BW31" s="39">
        <v>167588</v>
      </c>
      <c r="BX31" s="42">
        <v>95911</v>
      </c>
      <c r="BY31" s="38">
        <v>100089</v>
      </c>
      <c r="BZ31" s="39">
        <v>170600</v>
      </c>
      <c r="CA31" s="42">
        <v>70511</v>
      </c>
      <c r="CB31" s="38">
        <v>89522</v>
      </c>
      <c r="CC31" s="39">
        <v>111505</v>
      </c>
      <c r="CD31" s="42">
        <v>21983</v>
      </c>
      <c r="CE31" s="38">
        <v>102042</v>
      </c>
      <c r="CF31" s="39">
        <v>166862</v>
      </c>
      <c r="CG31" s="42">
        <v>64820</v>
      </c>
      <c r="CH31" s="38">
        <v>219395</v>
      </c>
      <c r="CI31" s="39">
        <v>328269</v>
      </c>
      <c r="CJ31" s="42">
        <v>108874</v>
      </c>
      <c r="CK31" s="31">
        <v>309219</v>
      </c>
      <c r="CL31" s="39">
        <v>404133</v>
      </c>
      <c r="CM31" s="58">
        <v>94914</v>
      </c>
      <c r="CN31" s="31">
        <v>507469</v>
      </c>
      <c r="CO31" s="39">
        <v>477299</v>
      </c>
      <c r="CP31" s="58">
        <v>-30170</v>
      </c>
    </row>
    <row r="32" spans="1:94" s="31" customFormat="1">
      <c r="A32" s="47" t="s">
        <v>686</v>
      </c>
      <c r="B32" s="38">
        <v>2.2639999999999998</v>
      </c>
      <c r="C32" s="39">
        <v>7.5720000000000001</v>
      </c>
      <c r="D32" s="42">
        <v>5.3079999999999998</v>
      </c>
      <c r="E32" s="38">
        <v>86.26</v>
      </c>
      <c r="F32" s="39">
        <v>151.37299999999999</v>
      </c>
      <c r="G32" s="42">
        <v>65.112999999999985</v>
      </c>
      <c r="H32" s="38">
        <v>61.104999999999997</v>
      </c>
      <c r="I32" s="39">
        <v>144.511</v>
      </c>
      <c r="J32" s="42">
        <v>83.406000000000006</v>
      </c>
      <c r="K32" s="38">
        <v>104.627</v>
      </c>
      <c r="L32" s="39">
        <v>413.755</v>
      </c>
      <c r="M32" s="42">
        <v>309.12799999999999</v>
      </c>
      <c r="N32" s="38">
        <v>161.69399999999999</v>
      </c>
      <c r="O32" s="39">
        <v>29.491999999999997</v>
      </c>
      <c r="P32" s="42">
        <v>-132.202</v>
      </c>
      <c r="Q32" s="38">
        <v>155.286</v>
      </c>
      <c r="R32" s="39">
        <v>13.33</v>
      </c>
      <c r="S32" s="42">
        <v>-141.95600000000002</v>
      </c>
      <c r="T32" s="38">
        <v>80.492000000000004</v>
      </c>
      <c r="U32" s="39">
        <v>42.558999999999997</v>
      </c>
      <c r="V32" s="42">
        <v>42.558999999999997</v>
      </c>
      <c r="W32" s="38">
        <v>65.182999999999993</v>
      </c>
      <c r="X32" s="39">
        <v>42.298999999999999</v>
      </c>
      <c r="Y32" s="42">
        <v>-22.883999999999993</v>
      </c>
      <c r="Z32" s="38">
        <v>6.9719999999999995</v>
      </c>
      <c r="AA32" s="39">
        <v>41.853999999999999</v>
      </c>
      <c r="AB32" s="42">
        <v>34.881999999999998</v>
      </c>
      <c r="AC32" s="38">
        <v>16.827999999999999</v>
      </c>
      <c r="AD32" s="39">
        <v>468.38299999999998</v>
      </c>
      <c r="AE32" s="42">
        <v>451.55500000000001</v>
      </c>
      <c r="AF32" s="38">
        <v>62.963999999999999</v>
      </c>
      <c r="AG32" s="39">
        <v>250.273</v>
      </c>
      <c r="AH32" s="42">
        <v>187.309</v>
      </c>
      <c r="AI32" s="38">
        <v>24.832999999999998</v>
      </c>
      <c r="AJ32" s="39">
        <v>417.005</v>
      </c>
      <c r="AK32" s="42">
        <v>392.17200000000003</v>
      </c>
      <c r="AL32" s="38">
        <v>14.045</v>
      </c>
      <c r="AM32" s="39">
        <v>380.09500000000003</v>
      </c>
      <c r="AN32" s="42">
        <v>366.05</v>
      </c>
      <c r="AO32" s="38">
        <v>37.610999999999997</v>
      </c>
      <c r="AP32" s="39">
        <v>146.565</v>
      </c>
      <c r="AQ32" s="42">
        <v>108.95400000000001</v>
      </c>
      <c r="AR32" s="38">
        <v>87</v>
      </c>
      <c r="AS32" s="39">
        <v>146.452</v>
      </c>
      <c r="AT32" s="42">
        <v>59.451999999999998</v>
      </c>
      <c r="AU32" s="38">
        <v>544</v>
      </c>
      <c r="AV32" s="39">
        <v>176</v>
      </c>
      <c r="AW32" s="42">
        <v>-368</v>
      </c>
      <c r="AX32" s="38">
        <v>708</v>
      </c>
      <c r="AY32" s="39">
        <v>0</v>
      </c>
      <c r="AZ32" s="42">
        <v>-708</v>
      </c>
      <c r="BA32" s="38">
        <v>456</v>
      </c>
      <c r="BB32" s="39">
        <v>2072</v>
      </c>
      <c r="BC32" s="42">
        <v>1616</v>
      </c>
      <c r="BD32" s="38">
        <v>687</v>
      </c>
      <c r="BE32" s="39">
        <v>1136</v>
      </c>
      <c r="BF32" s="42">
        <v>449</v>
      </c>
      <c r="BG32" s="38">
        <v>1046</v>
      </c>
      <c r="BH32" s="39">
        <v>20860</v>
      </c>
      <c r="BI32" s="42">
        <v>19814</v>
      </c>
      <c r="BJ32" s="38">
        <v>921</v>
      </c>
      <c r="BK32" s="39">
        <v>35997</v>
      </c>
      <c r="BL32" s="42">
        <v>35076</v>
      </c>
      <c r="BM32" s="38">
        <v>493</v>
      </c>
      <c r="BN32" s="39">
        <v>52270</v>
      </c>
      <c r="BO32" s="42">
        <v>51777</v>
      </c>
      <c r="BP32" s="38">
        <v>2543</v>
      </c>
      <c r="BQ32" s="39">
        <v>101786</v>
      </c>
      <c r="BR32" s="42">
        <v>99243</v>
      </c>
      <c r="BS32" s="38">
        <v>17119</v>
      </c>
      <c r="BT32" s="39">
        <v>170086</v>
      </c>
      <c r="BU32" s="42">
        <v>152967</v>
      </c>
      <c r="BV32" s="38">
        <v>25578</v>
      </c>
      <c r="BW32" s="39">
        <v>40524</v>
      </c>
      <c r="BX32" s="42">
        <v>14946</v>
      </c>
      <c r="BY32" s="38">
        <v>163987</v>
      </c>
      <c r="BZ32" s="39">
        <v>135988</v>
      </c>
      <c r="CA32" s="42">
        <v>-27999</v>
      </c>
      <c r="CB32" s="38">
        <v>259353</v>
      </c>
      <c r="CC32" s="39">
        <v>407806</v>
      </c>
      <c r="CD32" s="42">
        <v>148453</v>
      </c>
      <c r="CE32" s="38">
        <v>505332</v>
      </c>
      <c r="CF32" s="39">
        <v>272726</v>
      </c>
      <c r="CG32" s="42">
        <v>-232606</v>
      </c>
      <c r="CH32" s="38">
        <v>1108621</v>
      </c>
      <c r="CI32" s="39">
        <v>1725217</v>
      </c>
      <c r="CJ32" s="42">
        <v>616596</v>
      </c>
      <c r="CK32" s="31">
        <v>1797349</v>
      </c>
      <c r="CL32" s="39">
        <v>2346777</v>
      </c>
      <c r="CM32" s="58">
        <v>549428</v>
      </c>
      <c r="CN32" s="31">
        <v>2872933</v>
      </c>
      <c r="CO32" s="39">
        <v>3115119</v>
      </c>
      <c r="CP32" s="58">
        <v>242186</v>
      </c>
    </row>
    <row r="33" spans="1:94" s="31" customFormat="1">
      <c r="A33" s="47" t="s">
        <v>687</v>
      </c>
      <c r="B33" s="375" t="s">
        <v>640</v>
      </c>
      <c r="C33" s="51" t="s">
        <v>640</v>
      </c>
      <c r="D33" s="42">
        <v>0</v>
      </c>
      <c r="E33" s="38">
        <v>50.822000000000003</v>
      </c>
      <c r="F33" s="39">
        <v>2.9000000000000001E-2</v>
      </c>
      <c r="G33" s="42">
        <v>-50.792999999999999</v>
      </c>
      <c r="H33" s="38">
        <v>9.8360000000000003</v>
      </c>
      <c r="I33" s="39">
        <v>0.94399999999999995</v>
      </c>
      <c r="J33" s="42">
        <v>-8.8919999999999995</v>
      </c>
      <c r="K33" s="38">
        <v>2.4780000000000002</v>
      </c>
      <c r="L33" s="39">
        <v>12.340999999999999</v>
      </c>
      <c r="M33" s="42">
        <v>9.8629999999999995</v>
      </c>
      <c r="N33" s="38">
        <v>4.32</v>
      </c>
      <c r="O33" s="39">
        <v>19.545999999999999</v>
      </c>
      <c r="P33" s="42">
        <v>15.225999999999999</v>
      </c>
      <c r="Q33" s="38">
        <v>6.0170000000000003</v>
      </c>
      <c r="R33" s="39">
        <v>10.715999999999999</v>
      </c>
      <c r="S33" s="42">
        <v>4.698999999999999</v>
      </c>
      <c r="T33" s="38">
        <v>8.6050000000000004</v>
      </c>
      <c r="U33" s="39">
        <v>25.844000000000001</v>
      </c>
      <c r="V33" s="42">
        <v>25.844000000000001</v>
      </c>
      <c r="W33" s="38">
        <v>0.71099999999999997</v>
      </c>
      <c r="X33" s="39">
        <v>20.553000000000001</v>
      </c>
      <c r="Y33" s="42">
        <v>19.842000000000002</v>
      </c>
      <c r="Z33" s="38">
        <v>1.238</v>
      </c>
      <c r="AA33" s="39">
        <v>25.651</v>
      </c>
      <c r="AB33" s="42">
        <v>24.413</v>
      </c>
      <c r="AC33" s="38">
        <v>2.7490000000000001</v>
      </c>
      <c r="AD33" s="39">
        <v>12.621</v>
      </c>
      <c r="AE33" s="42">
        <v>9.8719999999999999</v>
      </c>
      <c r="AF33" s="38">
        <v>1.1639999999999999</v>
      </c>
      <c r="AG33" s="39">
        <v>250.26300000000001</v>
      </c>
      <c r="AH33" s="42">
        <v>249.09900000000002</v>
      </c>
      <c r="AI33" s="38">
        <v>24.832999999999998</v>
      </c>
      <c r="AJ33" s="39">
        <v>417.005</v>
      </c>
      <c r="AK33" s="42">
        <v>392.17200000000003</v>
      </c>
      <c r="AL33" s="38">
        <v>9.6940000000000008</v>
      </c>
      <c r="AM33" s="39">
        <v>380.05399999999997</v>
      </c>
      <c r="AN33" s="42">
        <v>370.36</v>
      </c>
      <c r="AO33" s="38">
        <v>37.591999999999999</v>
      </c>
      <c r="AP33" s="39">
        <v>135.352</v>
      </c>
      <c r="AQ33" s="42">
        <v>97.76</v>
      </c>
      <c r="AR33" s="38">
        <v>87</v>
      </c>
      <c r="AS33" s="39">
        <v>146.33199999999999</v>
      </c>
      <c r="AT33" s="42">
        <v>59.331999999999994</v>
      </c>
      <c r="AU33" s="38">
        <v>536</v>
      </c>
      <c r="AV33" s="39">
        <v>171</v>
      </c>
      <c r="AW33" s="42">
        <v>-365</v>
      </c>
      <c r="AX33" s="38">
        <v>708</v>
      </c>
      <c r="AY33" s="39">
        <v>0</v>
      </c>
      <c r="AZ33" s="42">
        <v>-708</v>
      </c>
      <c r="BA33" s="38">
        <v>400</v>
      </c>
      <c r="BB33" s="39">
        <v>2069</v>
      </c>
      <c r="BC33" s="42">
        <v>1669</v>
      </c>
      <c r="BD33" s="38">
        <v>686</v>
      </c>
      <c r="BE33" s="39">
        <v>1136</v>
      </c>
      <c r="BF33" s="42">
        <v>450</v>
      </c>
      <c r="BG33" s="38">
        <v>1045</v>
      </c>
      <c r="BH33" s="39">
        <v>20856</v>
      </c>
      <c r="BI33" s="42">
        <v>19811</v>
      </c>
      <c r="BJ33" s="38">
        <v>881</v>
      </c>
      <c r="BK33" s="39">
        <v>35978</v>
      </c>
      <c r="BL33" s="42">
        <v>35097</v>
      </c>
      <c r="BM33" s="38">
        <v>464</v>
      </c>
      <c r="BN33" s="39">
        <v>52236</v>
      </c>
      <c r="BO33" s="42">
        <v>51772</v>
      </c>
      <c r="BP33" s="38">
        <v>2314</v>
      </c>
      <c r="BQ33" s="39">
        <v>100762</v>
      </c>
      <c r="BR33" s="42">
        <v>98448</v>
      </c>
      <c r="BS33" s="38">
        <v>16090</v>
      </c>
      <c r="BT33" s="39">
        <v>168681</v>
      </c>
      <c r="BU33" s="42">
        <v>152591</v>
      </c>
      <c r="BV33" s="38">
        <v>23074</v>
      </c>
      <c r="BW33" s="39">
        <v>28380</v>
      </c>
      <c r="BX33" s="42">
        <v>5306</v>
      </c>
      <c r="BY33" s="38">
        <v>156833</v>
      </c>
      <c r="BZ33" s="39">
        <v>125228</v>
      </c>
      <c r="CA33" s="42">
        <v>-31605</v>
      </c>
      <c r="CB33" s="38">
        <v>243758</v>
      </c>
      <c r="CC33" s="39">
        <v>385953</v>
      </c>
      <c r="CD33" s="42">
        <v>142195</v>
      </c>
      <c r="CE33" s="38">
        <v>481401</v>
      </c>
      <c r="CF33" s="39">
        <v>245142</v>
      </c>
      <c r="CG33" s="42">
        <v>-236259</v>
      </c>
      <c r="CH33" s="38">
        <v>1003953</v>
      </c>
      <c r="CI33" s="39">
        <v>1591240</v>
      </c>
      <c r="CJ33" s="42">
        <v>587287</v>
      </c>
      <c r="CK33" s="31">
        <v>1709136</v>
      </c>
      <c r="CL33" s="39">
        <v>2237774</v>
      </c>
      <c r="CM33" s="58">
        <v>528638</v>
      </c>
      <c r="CN33" s="31">
        <v>2405351</v>
      </c>
      <c r="CO33" s="39">
        <v>2649540</v>
      </c>
      <c r="CP33" s="58">
        <v>244189</v>
      </c>
    </row>
    <row r="34" spans="1:94" s="31" customFormat="1">
      <c r="A34" s="47" t="s">
        <v>688</v>
      </c>
      <c r="B34" s="375" t="s">
        <v>640</v>
      </c>
      <c r="C34" s="51" t="s">
        <v>640</v>
      </c>
      <c r="D34" s="42">
        <v>0</v>
      </c>
      <c r="E34" s="38">
        <v>35.438000000000002</v>
      </c>
      <c r="F34" s="39">
        <v>151.34399999999999</v>
      </c>
      <c r="G34" s="42">
        <v>115.90599999999999</v>
      </c>
      <c r="H34" s="38">
        <v>51.268999999999998</v>
      </c>
      <c r="I34" s="39">
        <v>143.56700000000001</v>
      </c>
      <c r="J34" s="42">
        <v>92.298000000000002</v>
      </c>
      <c r="K34" s="38">
        <v>102.149</v>
      </c>
      <c r="L34" s="39">
        <v>401.41399999999999</v>
      </c>
      <c r="M34" s="42">
        <v>299.26499999999999</v>
      </c>
      <c r="N34" s="38">
        <v>157.374</v>
      </c>
      <c r="O34" s="39">
        <v>9.9459999999999997</v>
      </c>
      <c r="P34" s="42">
        <v>-147.428</v>
      </c>
      <c r="Q34" s="38">
        <v>149.26900000000001</v>
      </c>
      <c r="R34" s="39">
        <v>2.6139999999999999</v>
      </c>
      <c r="S34" s="42">
        <v>-146.655</v>
      </c>
      <c r="T34" s="38">
        <v>71.887</v>
      </c>
      <c r="U34" s="39">
        <v>16.715</v>
      </c>
      <c r="V34" s="42">
        <v>16.715</v>
      </c>
      <c r="W34" s="38">
        <v>64.471999999999994</v>
      </c>
      <c r="X34" s="39">
        <v>21.745999999999999</v>
      </c>
      <c r="Y34" s="42">
        <v>-42.725999999999999</v>
      </c>
      <c r="Z34" s="38">
        <v>5.734</v>
      </c>
      <c r="AA34" s="39">
        <v>16.202999999999999</v>
      </c>
      <c r="AB34" s="42">
        <v>10.468999999999999</v>
      </c>
      <c r="AC34" s="38">
        <v>14.079000000000001</v>
      </c>
      <c r="AD34" s="39">
        <v>455.762</v>
      </c>
      <c r="AE34" s="42">
        <v>441.68299999999999</v>
      </c>
      <c r="AF34" s="38">
        <v>61.8</v>
      </c>
      <c r="AG34" s="39">
        <v>0.01</v>
      </c>
      <c r="AH34" s="42">
        <v>-61.79</v>
      </c>
      <c r="AI34" s="38">
        <v>0</v>
      </c>
      <c r="AJ34" s="39">
        <v>0</v>
      </c>
      <c r="AK34" s="42">
        <v>0</v>
      </c>
      <c r="AL34" s="38">
        <v>4.351</v>
      </c>
      <c r="AM34" s="39">
        <v>4.1000000000000002E-2</v>
      </c>
      <c r="AN34" s="42">
        <v>-4.3099999999999996</v>
      </c>
      <c r="AO34" s="38">
        <v>1.9E-2</v>
      </c>
      <c r="AP34" s="39">
        <v>11.212999999999999</v>
      </c>
      <c r="AQ34" s="42">
        <v>11.193999999999999</v>
      </c>
      <c r="AR34" s="38">
        <v>0</v>
      </c>
      <c r="AS34" s="39">
        <v>0.12</v>
      </c>
      <c r="AT34" s="42">
        <v>0.12</v>
      </c>
      <c r="AU34" s="38">
        <v>8</v>
      </c>
      <c r="AV34" s="39">
        <v>5</v>
      </c>
      <c r="AW34" s="42">
        <v>-3</v>
      </c>
      <c r="AX34" s="38">
        <v>0</v>
      </c>
      <c r="AY34" s="39">
        <v>0</v>
      </c>
      <c r="AZ34" s="42">
        <v>0</v>
      </c>
      <c r="BA34" s="38">
        <v>56</v>
      </c>
      <c r="BB34" s="39">
        <v>3</v>
      </c>
      <c r="BC34" s="42">
        <v>-53</v>
      </c>
      <c r="BD34" s="38">
        <v>1</v>
      </c>
      <c r="BE34" s="39">
        <v>0</v>
      </c>
      <c r="BF34" s="42">
        <v>-1</v>
      </c>
      <c r="BG34" s="38">
        <v>1</v>
      </c>
      <c r="BH34" s="39">
        <v>4</v>
      </c>
      <c r="BI34" s="42">
        <v>3</v>
      </c>
      <c r="BJ34" s="38">
        <v>40</v>
      </c>
      <c r="BK34" s="39">
        <v>19</v>
      </c>
      <c r="BL34" s="42">
        <v>-21</v>
      </c>
      <c r="BM34" s="38">
        <v>29</v>
      </c>
      <c r="BN34" s="39">
        <v>34</v>
      </c>
      <c r="BO34" s="42">
        <v>5</v>
      </c>
      <c r="BP34" s="38">
        <v>229</v>
      </c>
      <c r="BQ34" s="39">
        <v>1024</v>
      </c>
      <c r="BR34" s="42">
        <v>795</v>
      </c>
      <c r="BS34" s="38">
        <v>1029</v>
      </c>
      <c r="BT34" s="39">
        <v>1405</v>
      </c>
      <c r="BU34" s="42">
        <v>376</v>
      </c>
      <c r="BV34" s="38">
        <v>2504</v>
      </c>
      <c r="BW34" s="39">
        <v>12144</v>
      </c>
      <c r="BX34" s="42">
        <v>9640</v>
      </c>
      <c r="BY34" s="38">
        <v>7154</v>
      </c>
      <c r="BZ34" s="39">
        <v>10760</v>
      </c>
      <c r="CA34" s="42">
        <v>3606</v>
      </c>
      <c r="CB34" s="38">
        <v>15595</v>
      </c>
      <c r="CC34" s="39">
        <v>21853</v>
      </c>
      <c r="CD34" s="42">
        <v>6258</v>
      </c>
      <c r="CE34" s="38">
        <v>23931</v>
      </c>
      <c r="CF34" s="39">
        <v>27584</v>
      </c>
      <c r="CG34" s="42">
        <v>3653</v>
      </c>
      <c r="CH34" s="38">
        <v>104668</v>
      </c>
      <c r="CI34" s="39">
        <v>133977</v>
      </c>
      <c r="CJ34" s="42">
        <v>29309</v>
      </c>
      <c r="CK34" s="31">
        <v>88213</v>
      </c>
      <c r="CL34" s="39">
        <v>109003</v>
      </c>
      <c r="CM34" s="58">
        <v>20790</v>
      </c>
      <c r="CN34" s="31">
        <v>467582</v>
      </c>
      <c r="CO34" s="39">
        <v>465579</v>
      </c>
      <c r="CP34" s="58">
        <v>-2003</v>
      </c>
    </row>
    <row r="35" spans="1:94" s="31" customFormat="1">
      <c r="A35" s="47" t="s">
        <v>689</v>
      </c>
      <c r="B35" s="38">
        <v>0</v>
      </c>
      <c r="C35" s="39">
        <v>0</v>
      </c>
      <c r="D35" s="42">
        <v>0</v>
      </c>
      <c r="E35" s="38">
        <v>0</v>
      </c>
      <c r="F35" s="39">
        <v>0</v>
      </c>
      <c r="G35" s="42">
        <v>0</v>
      </c>
      <c r="H35" s="38">
        <v>0</v>
      </c>
      <c r="I35" s="39">
        <v>0</v>
      </c>
      <c r="J35" s="42">
        <v>0</v>
      </c>
      <c r="K35" s="38">
        <v>0</v>
      </c>
      <c r="L35" s="39">
        <v>0</v>
      </c>
      <c r="M35" s="42">
        <v>0</v>
      </c>
      <c r="N35" s="38">
        <v>0</v>
      </c>
      <c r="O35" s="39">
        <v>0</v>
      </c>
      <c r="P35" s="42">
        <v>0</v>
      </c>
      <c r="Q35" s="38">
        <v>0</v>
      </c>
      <c r="R35" s="39">
        <v>0</v>
      </c>
      <c r="S35" s="42">
        <v>0</v>
      </c>
      <c r="T35" s="38">
        <v>0</v>
      </c>
      <c r="U35" s="39">
        <v>0</v>
      </c>
      <c r="V35" s="42">
        <v>0</v>
      </c>
      <c r="W35" s="38">
        <v>0</v>
      </c>
      <c r="X35" s="39">
        <v>0</v>
      </c>
      <c r="Y35" s="42">
        <v>0</v>
      </c>
      <c r="Z35" s="38">
        <v>0</v>
      </c>
      <c r="AA35" s="39">
        <v>0</v>
      </c>
      <c r="AB35" s="42">
        <v>0</v>
      </c>
      <c r="AC35" s="38">
        <v>0</v>
      </c>
      <c r="AD35" s="39">
        <v>0</v>
      </c>
      <c r="AE35" s="42">
        <v>0</v>
      </c>
      <c r="AF35" s="38">
        <v>0</v>
      </c>
      <c r="AG35" s="39">
        <v>0</v>
      </c>
      <c r="AH35" s="42">
        <v>0</v>
      </c>
      <c r="AI35" s="38">
        <v>0</v>
      </c>
      <c r="AJ35" s="39">
        <v>0</v>
      </c>
      <c r="AK35" s="42">
        <v>0</v>
      </c>
      <c r="AL35" s="38">
        <v>0</v>
      </c>
      <c r="AM35" s="39">
        <v>0</v>
      </c>
      <c r="AN35" s="42">
        <v>0</v>
      </c>
      <c r="AO35" s="38">
        <v>0</v>
      </c>
      <c r="AP35" s="39">
        <v>0</v>
      </c>
      <c r="AQ35" s="42">
        <v>0</v>
      </c>
      <c r="AR35" s="38">
        <v>0</v>
      </c>
      <c r="AS35" s="39">
        <v>0</v>
      </c>
      <c r="AT35" s="42">
        <v>0</v>
      </c>
      <c r="AU35" s="38">
        <v>0</v>
      </c>
      <c r="AV35" s="39">
        <v>0</v>
      </c>
      <c r="AW35" s="42">
        <v>0</v>
      </c>
      <c r="AX35" s="38">
        <v>0</v>
      </c>
      <c r="AY35" s="39">
        <v>0</v>
      </c>
      <c r="AZ35" s="42">
        <v>0</v>
      </c>
      <c r="BA35" s="38">
        <v>0</v>
      </c>
      <c r="BB35" s="39">
        <v>0</v>
      </c>
      <c r="BC35" s="42">
        <v>0</v>
      </c>
      <c r="BD35" s="38">
        <v>0</v>
      </c>
      <c r="BE35" s="39">
        <v>0</v>
      </c>
      <c r="BF35" s="42">
        <v>0</v>
      </c>
      <c r="BG35" s="38">
        <v>0</v>
      </c>
      <c r="BH35" s="39">
        <v>0</v>
      </c>
      <c r="BI35" s="42">
        <v>0</v>
      </c>
      <c r="BJ35" s="38">
        <v>0</v>
      </c>
      <c r="BK35" s="39">
        <v>0</v>
      </c>
      <c r="BL35" s="42">
        <v>0</v>
      </c>
      <c r="BM35" s="38">
        <v>0</v>
      </c>
      <c r="BN35" s="39">
        <v>0</v>
      </c>
      <c r="BO35" s="42">
        <v>0</v>
      </c>
      <c r="BP35" s="38">
        <v>0</v>
      </c>
      <c r="BQ35" s="39">
        <v>0</v>
      </c>
      <c r="BR35" s="42">
        <v>0</v>
      </c>
      <c r="BS35" s="38">
        <v>0</v>
      </c>
      <c r="BT35" s="39">
        <v>0</v>
      </c>
      <c r="BU35" s="42">
        <v>0</v>
      </c>
      <c r="BV35" s="38">
        <v>1661</v>
      </c>
      <c r="BW35" s="39">
        <v>11882</v>
      </c>
      <c r="BX35" s="42">
        <v>10221</v>
      </c>
      <c r="BY35" s="38">
        <v>5259</v>
      </c>
      <c r="BZ35" s="39">
        <v>7328</v>
      </c>
      <c r="CA35" s="42">
        <v>2069</v>
      </c>
      <c r="CB35" s="38">
        <v>3150</v>
      </c>
      <c r="CC35" s="39">
        <v>5637</v>
      </c>
      <c r="CD35" s="42">
        <v>2487</v>
      </c>
      <c r="CE35" s="38">
        <v>8963</v>
      </c>
      <c r="CF35" s="39">
        <v>12839</v>
      </c>
      <c r="CG35" s="42">
        <v>3876</v>
      </c>
      <c r="CH35" s="38">
        <v>25868</v>
      </c>
      <c r="CI35" s="39">
        <v>20243</v>
      </c>
      <c r="CJ35" s="42">
        <v>-5625</v>
      </c>
      <c r="CK35" s="31">
        <v>11915</v>
      </c>
      <c r="CL35" s="39">
        <v>10814</v>
      </c>
      <c r="CM35" s="58">
        <v>-1101</v>
      </c>
      <c r="CN35" s="31">
        <v>22248</v>
      </c>
      <c r="CO35" s="39">
        <v>122264</v>
      </c>
      <c r="CP35" s="58">
        <v>100016</v>
      </c>
    </row>
    <row r="36" spans="1:94" s="31" customFormat="1">
      <c r="A36" s="47" t="s">
        <v>690</v>
      </c>
      <c r="B36" s="38">
        <v>117.066</v>
      </c>
      <c r="C36" s="39">
        <v>237.24799999999999</v>
      </c>
      <c r="D36" s="42">
        <v>120.18199999999999</v>
      </c>
      <c r="E36" s="38">
        <v>156.02600000000001</v>
      </c>
      <c r="F36" s="39">
        <v>198.679</v>
      </c>
      <c r="G36" s="42">
        <v>42.652999999999992</v>
      </c>
      <c r="H36" s="38">
        <v>721.52700000000004</v>
      </c>
      <c r="I36" s="39">
        <v>510.30099999999999</v>
      </c>
      <c r="J36" s="42">
        <v>-211.22600000000006</v>
      </c>
      <c r="K36" s="38">
        <v>373.60399999999998</v>
      </c>
      <c r="L36" s="39">
        <v>544.59900000000005</v>
      </c>
      <c r="M36" s="42">
        <v>170.995</v>
      </c>
      <c r="N36" s="38">
        <v>340.23899999999998</v>
      </c>
      <c r="O36" s="39">
        <v>262.87</v>
      </c>
      <c r="P36" s="42">
        <v>-77.368999999999971</v>
      </c>
      <c r="Q36" s="38">
        <v>119.214</v>
      </c>
      <c r="R36" s="39">
        <v>147.904</v>
      </c>
      <c r="S36" s="42">
        <v>28.69</v>
      </c>
      <c r="T36" s="38">
        <v>325.786</v>
      </c>
      <c r="U36" s="39">
        <v>247.001</v>
      </c>
      <c r="V36" s="42">
        <v>-78.784999999999997</v>
      </c>
      <c r="W36" s="38">
        <v>799.70899999999995</v>
      </c>
      <c r="X36" s="39">
        <v>380.41500000000002</v>
      </c>
      <c r="Y36" s="42">
        <v>-419.29399999999993</v>
      </c>
      <c r="Z36" s="38">
        <v>712.74199999999996</v>
      </c>
      <c r="AA36" s="39">
        <v>455.99799999999999</v>
      </c>
      <c r="AB36" s="42">
        <v>-256.74399999999997</v>
      </c>
      <c r="AC36" s="38">
        <v>735.42600000000004</v>
      </c>
      <c r="AD36" s="39">
        <v>926.75199999999995</v>
      </c>
      <c r="AE36" s="42">
        <v>191.32599999999991</v>
      </c>
      <c r="AF36" s="38">
        <v>687</v>
      </c>
      <c r="AG36" s="39">
        <v>780.58</v>
      </c>
      <c r="AH36" s="42">
        <v>93.58</v>
      </c>
      <c r="AI36" s="38">
        <v>345.673</v>
      </c>
      <c r="AJ36" s="39">
        <v>613.10500000000002</v>
      </c>
      <c r="AK36" s="42">
        <v>267.43200000000002</v>
      </c>
      <c r="AL36" s="38">
        <v>388.66</v>
      </c>
      <c r="AM36" s="39">
        <v>1184.2860000000001</v>
      </c>
      <c r="AN36" s="42">
        <v>795.62599999999998</v>
      </c>
      <c r="AO36" s="38">
        <v>386.52199999999999</v>
      </c>
      <c r="AP36" s="39">
        <v>1220.229</v>
      </c>
      <c r="AQ36" s="42">
        <v>833.70700000000011</v>
      </c>
      <c r="AR36" s="38">
        <v>97</v>
      </c>
      <c r="AS36" s="39">
        <v>1233.5530000000001</v>
      </c>
      <c r="AT36" s="42">
        <v>1136.5530000000001</v>
      </c>
      <c r="AU36" s="38">
        <v>146</v>
      </c>
      <c r="AV36" s="39">
        <v>704</v>
      </c>
      <c r="AW36" s="42">
        <v>558</v>
      </c>
      <c r="AX36" s="38">
        <v>979</v>
      </c>
      <c r="AY36" s="39">
        <v>2016</v>
      </c>
      <c r="AZ36" s="42">
        <v>1037</v>
      </c>
      <c r="BA36" s="38">
        <v>2077</v>
      </c>
      <c r="BB36" s="39">
        <v>3470</v>
      </c>
      <c r="BC36" s="42">
        <v>1393</v>
      </c>
      <c r="BD36" s="38">
        <v>8368</v>
      </c>
      <c r="BE36" s="39">
        <v>5032</v>
      </c>
      <c r="BF36" s="42">
        <v>-3336</v>
      </c>
      <c r="BG36" s="38">
        <v>16472</v>
      </c>
      <c r="BH36" s="39">
        <v>7437</v>
      </c>
      <c r="BI36" s="42">
        <v>-9035</v>
      </c>
      <c r="BJ36" s="38">
        <v>17342</v>
      </c>
      <c r="BK36" s="39">
        <v>15034</v>
      </c>
      <c r="BL36" s="42">
        <v>-2308</v>
      </c>
      <c r="BM36" s="38">
        <v>3676</v>
      </c>
      <c r="BN36" s="39">
        <v>6994</v>
      </c>
      <c r="BO36" s="42">
        <v>3318</v>
      </c>
      <c r="BP36" s="38">
        <v>6713</v>
      </c>
      <c r="BQ36" s="39">
        <v>11486</v>
      </c>
      <c r="BR36" s="42">
        <v>4773</v>
      </c>
      <c r="BS36" s="38">
        <v>2570</v>
      </c>
      <c r="BT36" s="39">
        <v>9507</v>
      </c>
      <c r="BU36" s="42">
        <v>6937</v>
      </c>
      <c r="BV36" s="38">
        <v>5133</v>
      </c>
      <c r="BW36" s="39">
        <v>9765</v>
      </c>
      <c r="BX36" s="42">
        <v>4632</v>
      </c>
      <c r="BY36" s="38">
        <v>10421</v>
      </c>
      <c r="BZ36" s="39">
        <v>4796</v>
      </c>
      <c r="CA36" s="42">
        <v>-5625</v>
      </c>
      <c r="CB36" s="38">
        <v>10475</v>
      </c>
      <c r="CC36" s="39">
        <v>4944</v>
      </c>
      <c r="CD36" s="42">
        <v>-5531</v>
      </c>
      <c r="CE36" s="38">
        <v>36068</v>
      </c>
      <c r="CF36" s="39">
        <v>9078</v>
      </c>
      <c r="CG36" s="42">
        <v>-26990</v>
      </c>
      <c r="CH36" s="38">
        <v>72983</v>
      </c>
      <c r="CI36" s="39">
        <v>44606</v>
      </c>
      <c r="CJ36" s="42">
        <v>-28377</v>
      </c>
      <c r="CK36" s="31">
        <v>28758</v>
      </c>
      <c r="CL36" s="39">
        <v>19661</v>
      </c>
      <c r="CM36" s="58">
        <v>-9097</v>
      </c>
      <c r="CN36" s="31">
        <v>293115</v>
      </c>
      <c r="CO36" s="39">
        <v>245378</v>
      </c>
      <c r="CP36" s="58">
        <v>-47737</v>
      </c>
    </row>
    <row r="37" spans="1:94" s="31" customFormat="1">
      <c r="A37" s="47" t="s">
        <v>691</v>
      </c>
      <c r="B37" s="38">
        <v>117.066</v>
      </c>
      <c r="C37" s="39">
        <v>237.24799999999999</v>
      </c>
      <c r="D37" s="42">
        <v>120.18199999999999</v>
      </c>
      <c r="E37" s="38">
        <v>156.02600000000001</v>
      </c>
      <c r="F37" s="39">
        <v>198.679</v>
      </c>
      <c r="G37" s="42">
        <v>42.652999999999992</v>
      </c>
      <c r="H37" s="38">
        <v>721.52700000000004</v>
      </c>
      <c r="I37" s="39">
        <v>510.30099999999999</v>
      </c>
      <c r="J37" s="42">
        <v>-211.22600000000006</v>
      </c>
      <c r="K37" s="38">
        <v>373.60399999999998</v>
      </c>
      <c r="L37" s="39">
        <v>544.59900000000005</v>
      </c>
      <c r="M37" s="42">
        <v>170.995</v>
      </c>
      <c r="N37" s="38">
        <v>340.23899999999998</v>
      </c>
      <c r="O37" s="39">
        <v>262.87</v>
      </c>
      <c r="P37" s="42">
        <v>-77.368999999999971</v>
      </c>
      <c r="Q37" s="38">
        <v>119.214</v>
      </c>
      <c r="R37" s="39">
        <v>147.904</v>
      </c>
      <c r="S37" s="42">
        <v>28.69</v>
      </c>
      <c r="T37" s="38">
        <v>325.786</v>
      </c>
      <c r="U37" s="39">
        <v>247.001</v>
      </c>
      <c r="V37" s="42">
        <v>-78.784999999999997</v>
      </c>
      <c r="W37" s="38">
        <v>799.70899999999995</v>
      </c>
      <c r="X37" s="39">
        <v>380.41500000000002</v>
      </c>
      <c r="Y37" s="42">
        <v>-419.29399999999993</v>
      </c>
      <c r="Z37" s="38">
        <v>712.74199999999996</v>
      </c>
      <c r="AA37" s="39">
        <v>455.99799999999999</v>
      </c>
      <c r="AB37" s="42">
        <v>-256.74399999999997</v>
      </c>
      <c r="AC37" s="38">
        <v>735.42600000000004</v>
      </c>
      <c r="AD37" s="39">
        <v>926.75199999999995</v>
      </c>
      <c r="AE37" s="42">
        <v>191.32599999999991</v>
      </c>
      <c r="AF37" s="38">
        <v>687</v>
      </c>
      <c r="AG37" s="39">
        <v>780.58</v>
      </c>
      <c r="AH37" s="42">
        <v>93.58</v>
      </c>
      <c r="AI37" s="38">
        <v>345.673</v>
      </c>
      <c r="AJ37" s="39">
        <v>613.10500000000002</v>
      </c>
      <c r="AK37" s="42">
        <v>267.43200000000002</v>
      </c>
      <c r="AL37" s="38">
        <v>388.66</v>
      </c>
      <c r="AM37" s="39">
        <v>1184.2860000000001</v>
      </c>
      <c r="AN37" s="42">
        <v>795.62599999999998</v>
      </c>
      <c r="AO37" s="38">
        <v>386.52199999999999</v>
      </c>
      <c r="AP37" s="39">
        <v>1220.229</v>
      </c>
      <c r="AQ37" s="42">
        <v>833.70700000000011</v>
      </c>
      <c r="AR37" s="38">
        <v>97</v>
      </c>
      <c r="AS37" s="39">
        <v>1233.5530000000001</v>
      </c>
      <c r="AT37" s="42">
        <v>1136.5530000000001</v>
      </c>
      <c r="AU37" s="38">
        <v>146</v>
      </c>
      <c r="AV37" s="39">
        <v>704</v>
      </c>
      <c r="AW37" s="42">
        <v>558</v>
      </c>
      <c r="AX37" s="38">
        <v>979</v>
      </c>
      <c r="AY37" s="39">
        <v>2016</v>
      </c>
      <c r="AZ37" s="42">
        <v>1037</v>
      </c>
      <c r="BA37" s="38">
        <v>2077</v>
      </c>
      <c r="BB37" s="39">
        <v>3470</v>
      </c>
      <c r="BC37" s="42">
        <v>1393</v>
      </c>
      <c r="BD37" s="38">
        <v>8368</v>
      </c>
      <c r="BE37" s="39">
        <v>5032</v>
      </c>
      <c r="BF37" s="42">
        <v>-3336</v>
      </c>
      <c r="BG37" s="38">
        <v>16472</v>
      </c>
      <c r="BH37" s="39">
        <v>7437</v>
      </c>
      <c r="BI37" s="42">
        <v>-9035</v>
      </c>
      <c r="BJ37" s="38">
        <v>17342</v>
      </c>
      <c r="BK37" s="39">
        <v>15034</v>
      </c>
      <c r="BL37" s="42">
        <v>-2308</v>
      </c>
      <c r="BM37" s="38">
        <v>3676</v>
      </c>
      <c r="BN37" s="39">
        <v>6994</v>
      </c>
      <c r="BO37" s="42">
        <v>3318</v>
      </c>
      <c r="BP37" s="38">
        <v>6713</v>
      </c>
      <c r="BQ37" s="39">
        <v>11486</v>
      </c>
      <c r="BR37" s="42">
        <v>4773</v>
      </c>
      <c r="BS37" s="38">
        <v>2570</v>
      </c>
      <c r="BT37" s="39">
        <v>9507</v>
      </c>
      <c r="BU37" s="42">
        <v>6937</v>
      </c>
      <c r="BV37" s="38">
        <v>5133</v>
      </c>
      <c r="BW37" s="39">
        <v>9765</v>
      </c>
      <c r="BX37" s="42">
        <v>4632</v>
      </c>
      <c r="BY37" s="38">
        <v>10421</v>
      </c>
      <c r="BZ37" s="39">
        <v>4796</v>
      </c>
      <c r="CA37" s="42">
        <v>-5625</v>
      </c>
      <c r="CB37" s="38">
        <v>10475</v>
      </c>
      <c r="CC37" s="39">
        <v>4944</v>
      </c>
      <c r="CD37" s="42">
        <v>-5531</v>
      </c>
      <c r="CE37" s="38">
        <v>36068</v>
      </c>
      <c r="CF37" s="39">
        <v>9078</v>
      </c>
      <c r="CG37" s="42">
        <v>-26990</v>
      </c>
      <c r="CH37" s="38">
        <v>17486</v>
      </c>
      <c r="CI37" s="39">
        <v>8674</v>
      </c>
      <c r="CJ37" s="42">
        <v>-8812</v>
      </c>
      <c r="CK37" s="31">
        <v>14079</v>
      </c>
      <c r="CL37" s="39">
        <v>11087</v>
      </c>
      <c r="CM37" s="58">
        <v>-2992</v>
      </c>
      <c r="CN37" s="31">
        <v>34785</v>
      </c>
      <c r="CO37" s="39">
        <v>21017</v>
      </c>
      <c r="CP37" s="58">
        <v>-13768</v>
      </c>
    </row>
    <row r="38" spans="1:94" s="31" customFormat="1">
      <c r="A38" s="47" t="s">
        <v>692</v>
      </c>
      <c r="B38" s="375" t="s">
        <v>640</v>
      </c>
      <c r="C38" s="51" t="s">
        <v>640</v>
      </c>
      <c r="D38" s="52" t="s">
        <v>640</v>
      </c>
      <c r="E38" s="375" t="s">
        <v>640</v>
      </c>
      <c r="F38" s="51" t="s">
        <v>640</v>
      </c>
      <c r="G38" s="52" t="s">
        <v>640</v>
      </c>
      <c r="H38" s="375" t="s">
        <v>640</v>
      </c>
      <c r="I38" s="51" t="s">
        <v>640</v>
      </c>
      <c r="J38" s="52" t="s">
        <v>640</v>
      </c>
      <c r="K38" s="375" t="s">
        <v>640</v>
      </c>
      <c r="L38" s="51" t="s">
        <v>640</v>
      </c>
      <c r="M38" s="52" t="s">
        <v>640</v>
      </c>
      <c r="N38" s="375" t="s">
        <v>640</v>
      </c>
      <c r="O38" s="51" t="s">
        <v>640</v>
      </c>
      <c r="P38" s="52" t="s">
        <v>640</v>
      </c>
      <c r="Q38" s="375" t="s">
        <v>640</v>
      </c>
      <c r="R38" s="51" t="s">
        <v>640</v>
      </c>
      <c r="S38" s="52" t="s">
        <v>640</v>
      </c>
      <c r="T38" s="375" t="s">
        <v>640</v>
      </c>
      <c r="U38" s="51" t="s">
        <v>640</v>
      </c>
      <c r="V38" s="52" t="s">
        <v>640</v>
      </c>
      <c r="W38" s="375" t="s">
        <v>640</v>
      </c>
      <c r="X38" s="51" t="s">
        <v>640</v>
      </c>
      <c r="Y38" s="52" t="s">
        <v>640</v>
      </c>
      <c r="Z38" s="375" t="s">
        <v>640</v>
      </c>
      <c r="AA38" s="51" t="s">
        <v>640</v>
      </c>
      <c r="AB38" s="52" t="s">
        <v>640</v>
      </c>
      <c r="AC38" s="375" t="s">
        <v>640</v>
      </c>
      <c r="AD38" s="51" t="s">
        <v>640</v>
      </c>
      <c r="AE38" s="52" t="s">
        <v>640</v>
      </c>
      <c r="AF38" s="375" t="s">
        <v>640</v>
      </c>
      <c r="AG38" s="51" t="s">
        <v>640</v>
      </c>
      <c r="AH38" s="52" t="s">
        <v>640</v>
      </c>
      <c r="AI38" s="375" t="s">
        <v>640</v>
      </c>
      <c r="AJ38" s="51" t="s">
        <v>640</v>
      </c>
      <c r="AK38" s="52" t="s">
        <v>640</v>
      </c>
      <c r="AL38" s="375" t="s">
        <v>640</v>
      </c>
      <c r="AM38" s="51" t="s">
        <v>640</v>
      </c>
      <c r="AN38" s="52" t="s">
        <v>640</v>
      </c>
      <c r="AO38" s="375" t="s">
        <v>640</v>
      </c>
      <c r="AP38" s="51" t="s">
        <v>640</v>
      </c>
      <c r="AQ38" s="52" t="s">
        <v>640</v>
      </c>
      <c r="AR38" s="375" t="s">
        <v>640</v>
      </c>
      <c r="AS38" s="51" t="s">
        <v>640</v>
      </c>
      <c r="AT38" s="52" t="s">
        <v>640</v>
      </c>
      <c r="AU38" s="375" t="s">
        <v>640</v>
      </c>
      <c r="AV38" s="51" t="s">
        <v>640</v>
      </c>
      <c r="AW38" s="52" t="s">
        <v>640</v>
      </c>
      <c r="AX38" s="375" t="s">
        <v>640</v>
      </c>
      <c r="AY38" s="51" t="s">
        <v>640</v>
      </c>
      <c r="AZ38" s="52" t="s">
        <v>640</v>
      </c>
      <c r="BA38" s="375" t="s">
        <v>640</v>
      </c>
      <c r="BB38" s="51" t="s">
        <v>640</v>
      </c>
      <c r="BC38" s="52" t="s">
        <v>640</v>
      </c>
      <c r="BD38" s="375" t="s">
        <v>640</v>
      </c>
      <c r="BE38" s="51" t="s">
        <v>640</v>
      </c>
      <c r="BF38" s="52" t="s">
        <v>640</v>
      </c>
      <c r="BG38" s="375" t="s">
        <v>640</v>
      </c>
      <c r="BH38" s="51" t="s">
        <v>640</v>
      </c>
      <c r="BI38" s="52" t="s">
        <v>640</v>
      </c>
      <c r="BJ38" s="375" t="s">
        <v>640</v>
      </c>
      <c r="BK38" s="51" t="s">
        <v>640</v>
      </c>
      <c r="BL38" s="52" t="s">
        <v>640</v>
      </c>
      <c r="BM38" s="375" t="s">
        <v>640</v>
      </c>
      <c r="BN38" s="51" t="s">
        <v>640</v>
      </c>
      <c r="BO38" s="52" t="s">
        <v>640</v>
      </c>
      <c r="BP38" s="375" t="s">
        <v>640</v>
      </c>
      <c r="BQ38" s="51" t="s">
        <v>640</v>
      </c>
      <c r="BR38" s="52" t="s">
        <v>640</v>
      </c>
      <c r="BS38" s="375" t="s">
        <v>640</v>
      </c>
      <c r="BT38" s="51" t="s">
        <v>640</v>
      </c>
      <c r="BU38" s="52" t="s">
        <v>640</v>
      </c>
      <c r="BV38" s="375" t="s">
        <v>640</v>
      </c>
      <c r="BW38" s="51" t="s">
        <v>640</v>
      </c>
      <c r="BX38" s="52" t="s">
        <v>640</v>
      </c>
      <c r="BY38" s="375" t="s">
        <v>640</v>
      </c>
      <c r="BZ38" s="51" t="s">
        <v>640</v>
      </c>
      <c r="CA38" s="52" t="s">
        <v>640</v>
      </c>
      <c r="CB38" s="375" t="s">
        <v>640</v>
      </c>
      <c r="CC38" s="51" t="s">
        <v>640</v>
      </c>
      <c r="CD38" s="52" t="s">
        <v>640</v>
      </c>
      <c r="CE38" s="375" t="s">
        <v>640</v>
      </c>
      <c r="CF38" s="51" t="s">
        <v>640</v>
      </c>
      <c r="CG38" s="52" t="s">
        <v>640</v>
      </c>
      <c r="CH38" s="38">
        <v>55497</v>
      </c>
      <c r="CI38" s="39">
        <v>35932</v>
      </c>
      <c r="CJ38" s="42">
        <v>-19565</v>
      </c>
      <c r="CK38" s="31">
        <v>14679</v>
      </c>
      <c r="CL38" s="39">
        <v>8574</v>
      </c>
      <c r="CM38" s="58">
        <v>-6105</v>
      </c>
      <c r="CN38" s="31">
        <v>258330</v>
      </c>
      <c r="CO38" s="39">
        <v>224361</v>
      </c>
      <c r="CP38" s="58">
        <v>-33969</v>
      </c>
    </row>
    <row r="39" spans="1:94" s="31" customFormat="1">
      <c r="A39" s="47" t="s">
        <v>693</v>
      </c>
      <c r="B39" s="38">
        <v>2257.739</v>
      </c>
      <c r="C39" s="39">
        <v>2781.65</v>
      </c>
      <c r="D39" s="42">
        <v>523.91100000000006</v>
      </c>
      <c r="E39" s="38">
        <v>2481.9809999999998</v>
      </c>
      <c r="F39" s="39">
        <v>4374.0990000000002</v>
      </c>
      <c r="G39" s="42">
        <v>1892.1180000000004</v>
      </c>
      <c r="H39" s="38">
        <v>3370.7110000000002</v>
      </c>
      <c r="I39" s="39">
        <v>5387.7170000000006</v>
      </c>
      <c r="J39" s="42">
        <v>2017.0060000000003</v>
      </c>
      <c r="K39" s="38">
        <v>3851.201</v>
      </c>
      <c r="L39" s="39">
        <v>5614.9939999999997</v>
      </c>
      <c r="M39" s="42">
        <v>1763.7929999999997</v>
      </c>
      <c r="N39" s="38">
        <v>4540.7690000000002</v>
      </c>
      <c r="O39" s="39">
        <v>3759.8980000000001</v>
      </c>
      <c r="P39" s="42">
        <v>-780.87100000000009</v>
      </c>
      <c r="Q39" s="38">
        <v>3380.0610000000001</v>
      </c>
      <c r="R39" s="39">
        <v>3136.4929999999999</v>
      </c>
      <c r="S39" s="42">
        <v>-243.56800000000021</v>
      </c>
      <c r="T39" s="38">
        <v>4054.3850000000002</v>
      </c>
      <c r="U39" s="39">
        <v>4969.2309999999998</v>
      </c>
      <c r="V39" s="42">
        <v>914.84599999999955</v>
      </c>
      <c r="W39" s="38">
        <v>5408.924</v>
      </c>
      <c r="X39" s="39">
        <v>5078.0360000000001</v>
      </c>
      <c r="Y39" s="42">
        <v>-330.88799999999992</v>
      </c>
      <c r="Z39" s="38">
        <v>6451.5929999999998</v>
      </c>
      <c r="AA39" s="39">
        <v>3933.0239999999999</v>
      </c>
      <c r="AB39" s="42">
        <v>-2518.569</v>
      </c>
      <c r="AC39" s="38">
        <v>6599.13</v>
      </c>
      <c r="AD39" s="39">
        <v>12470.759</v>
      </c>
      <c r="AE39" s="42">
        <v>5871.6289999999999</v>
      </c>
      <c r="AF39" s="38">
        <v>9287</v>
      </c>
      <c r="AG39" s="39">
        <v>3668.2979999999998</v>
      </c>
      <c r="AH39" s="42">
        <v>-5618.7020000000002</v>
      </c>
      <c r="AI39" s="38">
        <v>13584.449000000001</v>
      </c>
      <c r="AJ39" s="39">
        <v>13007.581</v>
      </c>
      <c r="AK39" s="42">
        <v>-576.86800000000039</v>
      </c>
      <c r="AL39" s="38">
        <v>18612.141</v>
      </c>
      <c r="AM39" s="39">
        <v>19896.16</v>
      </c>
      <c r="AN39" s="42">
        <v>1284.0190000000002</v>
      </c>
      <c r="AO39" s="38">
        <v>16969</v>
      </c>
      <c r="AP39" s="39">
        <v>49457.137000000002</v>
      </c>
      <c r="AQ39" s="42">
        <v>32488.137000000002</v>
      </c>
      <c r="AR39" s="38">
        <v>29999.239000000001</v>
      </c>
      <c r="AS39" s="39">
        <v>63797.942999999999</v>
      </c>
      <c r="AT39" s="42">
        <v>33798.703999999998</v>
      </c>
      <c r="AU39" s="38">
        <v>120173</v>
      </c>
      <c r="AV39" s="39">
        <v>260119</v>
      </c>
      <c r="AW39" s="42">
        <v>139946</v>
      </c>
      <c r="AX39" s="38">
        <v>366101</v>
      </c>
      <c r="AY39" s="39">
        <v>536725</v>
      </c>
      <c r="AZ39" s="42">
        <v>170624</v>
      </c>
      <c r="BA39" s="38">
        <v>648371</v>
      </c>
      <c r="BB39" s="39">
        <v>895089</v>
      </c>
      <c r="BC39" s="42">
        <v>246718</v>
      </c>
      <c r="BD39" s="38">
        <v>916021</v>
      </c>
      <c r="BE39" s="39">
        <v>998782</v>
      </c>
      <c r="BF39" s="42">
        <v>82761</v>
      </c>
      <c r="BG39" s="38">
        <v>1289508</v>
      </c>
      <c r="BH39" s="39">
        <v>1410183</v>
      </c>
      <c r="BI39" s="42">
        <v>120675</v>
      </c>
      <c r="BJ39" s="38">
        <v>1521213</v>
      </c>
      <c r="BK39" s="39">
        <v>1606324</v>
      </c>
      <c r="BL39" s="42">
        <v>85111</v>
      </c>
      <c r="BM39" s="38">
        <v>1210142</v>
      </c>
      <c r="BN39" s="39">
        <v>889663</v>
      </c>
      <c r="BO39" s="42">
        <v>-320479</v>
      </c>
      <c r="BP39" s="38">
        <v>1084594</v>
      </c>
      <c r="BQ39" s="39">
        <v>1004859</v>
      </c>
      <c r="BR39" s="42">
        <v>-79735</v>
      </c>
      <c r="BS39" s="38">
        <v>1247500</v>
      </c>
      <c r="BT39" s="39">
        <v>1106453</v>
      </c>
      <c r="BU39" s="42">
        <v>-141047</v>
      </c>
      <c r="BV39" s="38">
        <v>1606172</v>
      </c>
      <c r="BW39" s="39">
        <v>1687638</v>
      </c>
      <c r="BX39" s="42">
        <v>81466</v>
      </c>
      <c r="BY39" s="38">
        <v>1798387</v>
      </c>
      <c r="BZ39" s="39">
        <v>1777223</v>
      </c>
      <c r="CA39" s="42">
        <v>-21164</v>
      </c>
      <c r="CB39" s="38">
        <v>1982920</v>
      </c>
      <c r="CC39" s="39">
        <v>1881760</v>
      </c>
      <c r="CD39" s="42">
        <v>-101160</v>
      </c>
      <c r="CE39" s="38">
        <v>2135470</v>
      </c>
      <c r="CF39" s="39">
        <v>2360415</v>
      </c>
      <c r="CG39" s="42">
        <v>224945</v>
      </c>
      <c r="CH39" s="38">
        <v>2188994</v>
      </c>
      <c r="CI39" s="39">
        <v>2258100</v>
      </c>
      <c r="CJ39" s="42">
        <v>69106</v>
      </c>
      <c r="CK39" s="31">
        <v>2382279</v>
      </c>
      <c r="CL39" s="39">
        <v>2238764</v>
      </c>
      <c r="CM39" s="58">
        <v>-143515</v>
      </c>
      <c r="CN39" s="31">
        <v>3482266</v>
      </c>
      <c r="CO39" s="39">
        <v>3544265</v>
      </c>
      <c r="CP39" s="58">
        <v>61999</v>
      </c>
    </row>
    <row r="40" spans="1:94" s="31" customFormat="1">
      <c r="A40" s="47" t="s">
        <v>694</v>
      </c>
      <c r="B40" s="38">
        <v>2257.739</v>
      </c>
      <c r="C40" s="39">
        <v>2781.65</v>
      </c>
      <c r="D40" s="42">
        <v>523.91100000000006</v>
      </c>
      <c r="E40" s="38">
        <v>2481.9809999999998</v>
      </c>
      <c r="F40" s="39">
        <v>4374.0990000000002</v>
      </c>
      <c r="G40" s="42">
        <v>1892.1180000000002</v>
      </c>
      <c r="H40" s="38">
        <v>3370.7110000000002</v>
      </c>
      <c r="I40" s="39">
        <v>5387.7170000000006</v>
      </c>
      <c r="J40" s="42">
        <v>2017.0060000000001</v>
      </c>
      <c r="K40" s="38">
        <v>3851.201</v>
      </c>
      <c r="L40" s="39">
        <v>5614.9939999999997</v>
      </c>
      <c r="M40" s="42">
        <v>1763.7929999999997</v>
      </c>
      <c r="N40" s="38">
        <v>4540.7690000000002</v>
      </c>
      <c r="O40" s="39">
        <v>3759.8980000000001</v>
      </c>
      <c r="P40" s="42">
        <v>-780.87099999999964</v>
      </c>
      <c r="Q40" s="38">
        <v>3380.0610000000001</v>
      </c>
      <c r="R40" s="39">
        <v>3136.4929999999999</v>
      </c>
      <c r="S40" s="42">
        <v>-243.56800000000021</v>
      </c>
      <c r="T40" s="38">
        <v>4054.3850000000002</v>
      </c>
      <c r="U40" s="39">
        <v>4969.2309999999998</v>
      </c>
      <c r="V40" s="42">
        <v>914.846</v>
      </c>
      <c r="W40" s="38">
        <v>5408.924</v>
      </c>
      <c r="X40" s="39">
        <v>5078.0360000000001</v>
      </c>
      <c r="Y40" s="42">
        <v>-330.88799999999992</v>
      </c>
      <c r="Z40" s="38">
        <v>6451.5929999999998</v>
      </c>
      <c r="AA40" s="39">
        <v>3933.0239999999999</v>
      </c>
      <c r="AB40" s="42">
        <v>-2518.569</v>
      </c>
      <c r="AC40" s="38">
        <v>6599.13</v>
      </c>
      <c r="AD40" s="39">
        <v>12470.759</v>
      </c>
      <c r="AE40" s="42">
        <v>5871.6289999999999</v>
      </c>
      <c r="AF40" s="38">
        <v>9287</v>
      </c>
      <c r="AG40" s="39">
        <v>3668.2979999999998</v>
      </c>
      <c r="AH40" s="42">
        <v>-5618.7020000000002</v>
      </c>
      <c r="AI40" s="38">
        <v>13584.449000000001</v>
      </c>
      <c r="AJ40" s="39">
        <v>13007.581</v>
      </c>
      <c r="AK40" s="42">
        <v>-576.86800000000039</v>
      </c>
      <c r="AL40" s="38">
        <v>18612.141</v>
      </c>
      <c r="AM40" s="39">
        <v>19896.16</v>
      </c>
      <c r="AN40" s="42">
        <v>1284.0190000000002</v>
      </c>
      <c r="AO40" s="38">
        <v>16969</v>
      </c>
      <c r="AP40" s="39">
        <v>49457.137000000002</v>
      </c>
      <c r="AQ40" s="42">
        <v>32488.136999999999</v>
      </c>
      <c r="AR40" s="38">
        <v>29999.239000000001</v>
      </c>
      <c r="AS40" s="39">
        <v>63797.942999999999</v>
      </c>
      <c r="AT40" s="42">
        <v>33798.703999999998</v>
      </c>
      <c r="AU40" s="38">
        <v>31581</v>
      </c>
      <c r="AV40" s="39">
        <v>84237</v>
      </c>
      <c r="AW40" s="42">
        <v>52656</v>
      </c>
      <c r="AX40" s="38">
        <v>42213</v>
      </c>
      <c r="AY40" s="39">
        <v>159451</v>
      </c>
      <c r="AZ40" s="42">
        <v>117238</v>
      </c>
      <c r="BA40" s="38">
        <v>62770</v>
      </c>
      <c r="BB40" s="39">
        <v>257188</v>
      </c>
      <c r="BC40" s="42">
        <v>194418</v>
      </c>
      <c r="BD40" s="38">
        <v>118136</v>
      </c>
      <c r="BE40" s="39">
        <v>265456</v>
      </c>
      <c r="BF40" s="42">
        <v>147320</v>
      </c>
      <c r="BG40" s="38">
        <v>278284</v>
      </c>
      <c r="BH40" s="39">
        <v>439019</v>
      </c>
      <c r="BI40" s="42">
        <v>160735</v>
      </c>
      <c r="BJ40" s="38">
        <v>399364</v>
      </c>
      <c r="BK40" s="39">
        <v>528294</v>
      </c>
      <c r="BL40" s="42">
        <v>128930</v>
      </c>
      <c r="BM40" s="38">
        <v>371397</v>
      </c>
      <c r="BN40" s="39">
        <v>239860</v>
      </c>
      <c r="BO40" s="42">
        <v>-131537</v>
      </c>
      <c r="BP40" s="38">
        <v>508841</v>
      </c>
      <c r="BQ40" s="39">
        <v>338819</v>
      </c>
      <c r="BR40" s="42">
        <v>-170022</v>
      </c>
      <c r="BS40" s="38">
        <v>562119</v>
      </c>
      <c r="BT40" s="39">
        <v>384742</v>
      </c>
      <c r="BU40" s="42">
        <v>-177377</v>
      </c>
      <c r="BV40" s="38">
        <v>484962</v>
      </c>
      <c r="BW40" s="39">
        <v>490039</v>
      </c>
      <c r="BX40" s="42">
        <v>5077</v>
      </c>
      <c r="BY40" s="38">
        <v>374270</v>
      </c>
      <c r="BZ40" s="39">
        <v>421254</v>
      </c>
      <c r="CA40" s="42">
        <v>46984</v>
      </c>
      <c r="CB40" s="38">
        <v>644540</v>
      </c>
      <c r="CC40" s="39">
        <v>561242</v>
      </c>
      <c r="CD40" s="42">
        <v>-83298</v>
      </c>
      <c r="CE40" s="38">
        <v>555435</v>
      </c>
      <c r="CF40" s="39">
        <v>726876</v>
      </c>
      <c r="CG40" s="42">
        <v>171441</v>
      </c>
      <c r="CH40" s="38">
        <v>530446</v>
      </c>
      <c r="CI40" s="39">
        <v>546620</v>
      </c>
      <c r="CJ40" s="42">
        <v>16174</v>
      </c>
      <c r="CK40" s="31">
        <v>498706</v>
      </c>
      <c r="CL40" s="39">
        <v>371824</v>
      </c>
      <c r="CM40" s="58">
        <v>-126882</v>
      </c>
      <c r="CN40" s="31">
        <v>661702</v>
      </c>
      <c r="CO40" s="39">
        <v>677991</v>
      </c>
      <c r="CP40" s="58">
        <v>16289</v>
      </c>
    </row>
    <row r="41" spans="1:94" s="31" customFormat="1">
      <c r="A41" s="47" t="s">
        <v>695</v>
      </c>
      <c r="B41" s="375">
        <v>531</v>
      </c>
      <c r="C41" s="39">
        <v>1132</v>
      </c>
      <c r="D41" s="42">
        <v>601</v>
      </c>
      <c r="E41" s="375">
        <v>679</v>
      </c>
      <c r="F41" s="39">
        <v>1230</v>
      </c>
      <c r="G41" s="42">
        <v>551</v>
      </c>
      <c r="H41" s="375">
        <v>1346</v>
      </c>
      <c r="I41" s="39">
        <v>1758</v>
      </c>
      <c r="J41" s="52">
        <v>412</v>
      </c>
      <c r="K41" s="38">
        <v>966</v>
      </c>
      <c r="L41" s="51">
        <v>1449</v>
      </c>
      <c r="M41" s="42">
        <v>483</v>
      </c>
      <c r="N41" s="38">
        <v>907</v>
      </c>
      <c r="O41" s="51">
        <v>1064</v>
      </c>
      <c r="P41" s="42">
        <v>157</v>
      </c>
      <c r="Q41" s="38">
        <v>1024</v>
      </c>
      <c r="R41" s="51">
        <v>85</v>
      </c>
      <c r="S41" s="42">
        <v>-939</v>
      </c>
      <c r="T41" s="38">
        <v>927</v>
      </c>
      <c r="U41" s="51">
        <v>1020</v>
      </c>
      <c r="V41" s="42">
        <v>93</v>
      </c>
      <c r="W41" s="38">
        <v>1226</v>
      </c>
      <c r="X41" s="51">
        <v>141</v>
      </c>
      <c r="Y41" s="42">
        <v>-1085</v>
      </c>
      <c r="Z41" s="38">
        <v>1143</v>
      </c>
      <c r="AA41" s="51">
        <v>644</v>
      </c>
      <c r="AB41" s="42">
        <v>-499</v>
      </c>
      <c r="AC41" s="38">
        <v>1020</v>
      </c>
      <c r="AD41" s="51">
        <v>332</v>
      </c>
      <c r="AE41" s="42">
        <v>-688</v>
      </c>
      <c r="AF41" s="38">
        <v>2119</v>
      </c>
      <c r="AG41" s="51">
        <v>5</v>
      </c>
      <c r="AH41" s="42">
        <v>-2114</v>
      </c>
      <c r="AI41" s="38">
        <v>489</v>
      </c>
      <c r="AJ41" s="51">
        <v>1554</v>
      </c>
      <c r="AK41" s="42">
        <v>1065</v>
      </c>
      <c r="AL41" s="38">
        <v>933</v>
      </c>
      <c r="AM41" s="39">
        <v>4906</v>
      </c>
      <c r="AN41" s="42">
        <v>3973</v>
      </c>
      <c r="AO41" s="38">
        <v>1600</v>
      </c>
      <c r="AP41" s="39">
        <v>26409</v>
      </c>
      <c r="AQ41" s="42">
        <v>24809</v>
      </c>
      <c r="AR41" s="38">
        <v>2239</v>
      </c>
      <c r="AS41" s="39">
        <v>19275</v>
      </c>
      <c r="AT41" s="42">
        <v>17036</v>
      </c>
      <c r="AU41" s="38">
        <v>988</v>
      </c>
      <c r="AV41" s="39">
        <v>22940</v>
      </c>
      <c r="AW41" s="42">
        <v>21952</v>
      </c>
      <c r="AX41" s="38">
        <v>1631</v>
      </c>
      <c r="AY41" s="39">
        <v>38557</v>
      </c>
      <c r="AZ41" s="42">
        <v>36926</v>
      </c>
      <c r="BA41" s="38">
        <v>2810</v>
      </c>
      <c r="BB41" s="39">
        <v>57086</v>
      </c>
      <c r="BC41" s="42">
        <v>54276</v>
      </c>
      <c r="BD41" s="38">
        <v>22911</v>
      </c>
      <c r="BE41" s="39">
        <v>102268</v>
      </c>
      <c r="BF41" s="42">
        <v>79357</v>
      </c>
      <c r="BG41" s="38">
        <v>42712</v>
      </c>
      <c r="BH41" s="39">
        <v>100686</v>
      </c>
      <c r="BI41" s="42">
        <v>57974</v>
      </c>
      <c r="BJ41" s="38">
        <v>74116</v>
      </c>
      <c r="BK41" s="39">
        <v>116048</v>
      </c>
      <c r="BL41" s="42">
        <v>41932</v>
      </c>
      <c r="BM41" s="38">
        <v>107333</v>
      </c>
      <c r="BN41" s="39">
        <v>48936</v>
      </c>
      <c r="BO41" s="42">
        <v>-58397</v>
      </c>
      <c r="BP41" s="38">
        <v>141123</v>
      </c>
      <c r="BQ41" s="39">
        <v>62901</v>
      </c>
      <c r="BR41" s="42">
        <v>-78222</v>
      </c>
      <c r="BS41" s="38">
        <v>267763</v>
      </c>
      <c r="BT41" s="39">
        <v>134208</v>
      </c>
      <c r="BU41" s="42">
        <v>-133555</v>
      </c>
      <c r="BV41" s="38">
        <v>105075</v>
      </c>
      <c r="BW41" s="39">
        <v>50672</v>
      </c>
      <c r="BX41" s="42">
        <v>-54403</v>
      </c>
      <c r="BY41" s="38">
        <v>71719</v>
      </c>
      <c r="BZ41" s="39">
        <v>34972</v>
      </c>
      <c r="CA41" s="42">
        <v>-36747</v>
      </c>
      <c r="CB41" s="38">
        <v>124855</v>
      </c>
      <c r="CC41" s="39">
        <v>33088</v>
      </c>
      <c r="CD41" s="42">
        <v>-91767</v>
      </c>
      <c r="CE41" s="38">
        <v>44604</v>
      </c>
      <c r="CF41" s="39">
        <v>67893</v>
      </c>
      <c r="CG41" s="42">
        <v>23289</v>
      </c>
      <c r="CH41" s="38">
        <v>41780</v>
      </c>
      <c r="CI41" s="39">
        <v>18150</v>
      </c>
      <c r="CJ41" s="42">
        <v>-23630</v>
      </c>
      <c r="CK41" s="31">
        <v>59159</v>
      </c>
      <c r="CL41" s="39">
        <v>34000</v>
      </c>
      <c r="CM41" s="58">
        <v>-25159</v>
      </c>
      <c r="CN41" s="31">
        <v>40804</v>
      </c>
      <c r="CO41" s="39">
        <v>62345</v>
      </c>
      <c r="CP41" s="58">
        <v>21541</v>
      </c>
    </row>
    <row r="42" spans="1:94" s="31" customFormat="1">
      <c r="A42" s="47" t="s">
        <v>696</v>
      </c>
      <c r="B42" s="375" t="s">
        <v>640</v>
      </c>
      <c r="C42" s="51" t="s">
        <v>640</v>
      </c>
      <c r="D42" s="52" t="s">
        <v>640</v>
      </c>
      <c r="E42" s="375" t="s">
        <v>640</v>
      </c>
      <c r="F42" s="51" t="s">
        <v>640</v>
      </c>
      <c r="G42" s="52" t="s">
        <v>640</v>
      </c>
      <c r="H42" s="375" t="s">
        <v>640</v>
      </c>
      <c r="I42" s="51" t="s">
        <v>640</v>
      </c>
      <c r="J42" s="52" t="s">
        <v>640</v>
      </c>
      <c r="K42" s="375" t="s">
        <v>640</v>
      </c>
      <c r="L42" s="51" t="s">
        <v>640</v>
      </c>
      <c r="M42" s="52" t="s">
        <v>640</v>
      </c>
      <c r="N42" s="375" t="s">
        <v>640</v>
      </c>
      <c r="O42" s="51" t="s">
        <v>640</v>
      </c>
      <c r="P42" s="52" t="s">
        <v>640</v>
      </c>
      <c r="Q42" s="375" t="s">
        <v>640</v>
      </c>
      <c r="R42" s="51" t="s">
        <v>640</v>
      </c>
      <c r="S42" s="52" t="s">
        <v>640</v>
      </c>
      <c r="T42" s="375" t="s">
        <v>640</v>
      </c>
      <c r="U42" s="51" t="s">
        <v>640</v>
      </c>
      <c r="V42" s="52" t="s">
        <v>640</v>
      </c>
      <c r="W42" s="375" t="s">
        <v>640</v>
      </c>
      <c r="X42" s="51" t="s">
        <v>640</v>
      </c>
      <c r="Y42" s="52" t="s">
        <v>640</v>
      </c>
      <c r="Z42" s="375" t="s">
        <v>640</v>
      </c>
      <c r="AA42" s="51" t="s">
        <v>640</v>
      </c>
      <c r="AB42" s="52" t="s">
        <v>640</v>
      </c>
      <c r="AC42" s="375" t="s">
        <v>640</v>
      </c>
      <c r="AD42" s="51" t="s">
        <v>640</v>
      </c>
      <c r="AE42" s="52" t="s">
        <v>640</v>
      </c>
      <c r="AF42" s="375" t="s">
        <v>640</v>
      </c>
      <c r="AG42" s="51" t="s">
        <v>640</v>
      </c>
      <c r="AH42" s="52" t="s">
        <v>640</v>
      </c>
      <c r="AI42" s="375" t="s">
        <v>640</v>
      </c>
      <c r="AJ42" s="51" t="s">
        <v>640</v>
      </c>
      <c r="AK42" s="52" t="s">
        <v>640</v>
      </c>
      <c r="AL42" s="375" t="s">
        <v>640</v>
      </c>
      <c r="AM42" s="51" t="s">
        <v>640</v>
      </c>
      <c r="AN42" s="52" t="s">
        <v>640</v>
      </c>
      <c r="AO42" s="375" t="s">
        <v>640</v>
      </c>
      <c r="AP42" s="51" t="s">
        <v>640</v>
      </c>
      <c r="AQ42" s="52" t="s">
        <v>640</v>
      </c>
      <c r="AR42" s="375" t="s">
        <v>640</v>
      </c>
      <c r="AS42" s="51" t="s">
        <v>640</v>
      </c>
      <c r="AT42" s="52" t="s">
        <v>640</v>
      </c>
      <c r="AU42" s="38">
        <v>1363</v>
      </c>
      <c r="AV42" s="39">
        <v>12172</v>
      </c>
      <c r="AW42" s="42">
        <v>10809</v>
      </c>
      <c r="AX42" s="38">
        <v>1941</v>
      </c>
      <c r="AY42" s="39">
        <v>14439</v>
      </c>
      <c r="AZ42" s="42">
        <v>12498</v>
      </c>
      <c r="BA42" s="38">
        <v>7868</v>
      </c>
      <c r="BB42" s="39">
        <v>46565</v>
      </c>
      <c r="BC42" s="42">
        <v>38697</v>
      </c>
      <c r="BD42" s="38">
        <v>29707</v>
      </c>
      <c r="BE42" s="39">
        <v>61203</v>
      </c>
      <c r="BF42" s="42">
        <v>31496</v>
      </c>
      <c r="BG42" s="38">
        <v>68323</v>
      </c>
      <c r="BH42" s="39">
        <v>81109</v>
      </c>
      <c r="BI42" s="42">
        <v>12786</v>
      </c>
      <c r="BJ42" s="38">
        <v>102312</v>
      </c>
      <c r="BK42" s="39">
        <v>52045</v>
      </c>
      <c r="BL42" s="42">
        <v>-50267</v>
      </c>
      <c r="BM42" s="38">
        <v>80393</v>
      </c>
      <c r="BN42" s="39">
        <v>39883</v>
      </c>
      <c r="BO42" s="42">
        <v>-40510</v>
      </c>
      <c r="BP42" s="38">
        <v>72815</v>
      </c>
      <c r="BQ42" s="39">
        <v>33547</v>
      </c>
      <c r="BR42" s="42">
        <v>-39268</v>
      </c>
      <c r="BS42" s="38">
        <v>83982</v>
      </c>
      <c r="BT42" s="39">
        <v>41004</v>
      </c>
      <c r="BU42" s="42">
        <v>-42978</v>
      </c>
      <c r="BV42" s="38">
        <v>28369</v>
      </c>
      <c r="BW42" s="39">
        <v>42158</v>
      </c>
      <c r="BX42" s="42">
        <v>13789</v>
      </c>
      <c r="BY42" s="38">
        <v>27386</v>
      </c>
      <c r="BZ42" s="39">
        <v>29790</v>
      </c>
      <c r="CA42" s="42">
        <v>2404</v>
      </c>
      <c r="CB42" s="38">
        <v>48529</v>
      </c>
      <c r="CC42" s="39">
        <v>46364</v>
      </c>
      <c r="CD42" s="42">
        <v>-2165</v>
      </c>
      <c r="CE42" s="38">
        <v>29053</v>
      </c>
      <c r="CF42" s="39">
        <v>45862</v>
      </c>
      <c r="CG42" s="42">
        <v>16809</v>
      </c>
      <c r="CH42" s="38">
        <v>48730</v>
      </c>
      <c r="CI42" s="39">
        <v>8733</v>
      </c>
      <c r="CJ42" s="42">
        <v>-39997</v>
      </c>
      <c r="CK42" s="31">
        <v>28807</v>
      </c>
      <c r="CL42" s="39">
        <v>6919</v>
      </c>
      <c r="CM42" s="58">
        <v>-21888</v>
      </c>
      <c r="CN42" s="31">
        <v>165013</v>
      </c>
      <c r="CO42" s="39">
        <v>135474</v>
      </c>
      <c r="CP42" s="58">
        <v>-29539</v>
      </c>
    </row>
    <row r="43" spans="1:94" s="31" customFormat="1">
      <c r="A43" s="47" t="s">
        <v>697</v>
      </c>
      <c r="B43" s="38">
        <v>1726.739</v>
      </c>
      <c r="C43" s="39">
        <v>1649.65</v>
      </c>
      <c r="D43" s="42">
        <v>-77.088999999999942</v>
      </c>
      <c r="E43" s="38">
        <v>1802.981</v>
      </c>
      <c r="F43" s="39">
        <v>3144.0990000000002</v>
      </c>
      <c r="G43" s="42">
        <v>1341.1180000000002</v>
      </c>
      <c r="H43" s="38">
        <v>2024.711</v>
      </c>
      <c r="I43" s="39">
        <v>3629.7170000000001</v>
      </c>
      <c r="J43" s="42">
        <v>1605.0060000000001</v>
      </c>
      <c r="K43" s="38">
        <v>2885.201</v>
      </c>
      <c r="L43" s="39">
        <v>4165.9939999999997</v>
      </c>
      <c r="M43" s="42">
        <v>1280.7929999999997</v>
      </c>
      <c r="N43" s="38">
        <v>3633.7689999999998</v>
      </c>
      <c r="O43" s="39">
        <v>2695.8980000000001</v>
      </c>
      <c r="P43" s="42">
        <v>-937.87099999999964</v>
      </c>
      <c r="Q43" s="38">
        <v>2356.0610000000001</v>
      </c>
      <c r="R43" s="39">
        <v>3051.4929999999999</v>
      </c>
      <c r="S43" s="42">
        <v>695.43199999999979</v>
      </c>
      <c r="T43" s="38">
        <v>3127.3850000000002</v>
      </c>
      <c r="U43" s="39">
        <v>3949.2310000000002</v>
      </c>
      <c r="V43" s="42">
        <v>821.846</v>
      </c>
      <c r="W43" s="38">
        <v>4182.924</v>
      </c>
      <c r="X43" s="39">
        <v>4937.0360000000001</v>
      </c>
      <c r="Y43" s="42">
        <v>754.11200000000008</v>
      </c>
      <c r="Z43" s="38">
        <v>5308.5929999999998</v>
      </c>
      <c r="AA43" s="39">
        <v>3289.0239999999999</v>
      </c>
      <c r="AB43" s="42">
        <v>-2019.569</v>
      </c>
      <c r="AC43" s="38">
        <v>5579.13</v>
      </c>
      <c r="AD43" s="39">
        <v>12138.759</v>
      </c>
      <c r="AE43" s="42">
        <v>6559.6289999999999</v>
      </c>
      <c r="AF43" s="38">
        <v>7168</v>
      </c>
      <c r="AG43" s="39">
        <v>3663.2979999999998</v>
      </c>
      <c r="AH43" s="42">
        <v>-3504.7020000000002</v>
      </c>
      <c r="AI43" s="38">
        <v>13095.449000000001</v>
      </c>
      <c r="AJ43" s="39">
        <v>11453.581</v>
      </c>
      <c r="AK43" s="42">
        <v>-1641.8680000000004</v>
      </c>
      <c r="AL43" s="38">
        <v>17679.141</v>
      </c>
      <c r="AM43" s="39">
        <v>14990.16</v>
      </c>
      <c r="AN43" s="42">
        <v>-2688.9809999999998</v>
      </c>
      <c r="AO43" s="38">
        <v>15369</v>
      </c>
      <c r="AP43" s="39">
        <v>23048.136999999999</v>
      </c>
      <c r="AQ43" s="42">
        <v>7679.1369999999988</v>
      </c>
      <c r="AR43" s="38">
        <v>27760.239000000001</v>
      </c>
      <c r="AS43" s="39">
        <v>44522.942999999999</v>
      </c>
      <c r="AT43" s="42">
        <v>16762.703999999998</v>
      </c>
      <c r="AU43" s="38">
        <v>29230</v>
      </c>
      <c r="AV43" s="39">
        <v>49125</v>
      </c>
      <c r="AW43" s="42">
        <v>19895</v>
      </c>
      <c r="AX43" s="38">
        <v>38641</v>
      </c>
      <c r="AY43" s="39">
        <v>106455</v>
      </c>
      <c r="AZ43" s="42">
        <v>67814</v>
      </c>
      <c r="BA43" s="38">
        <v>52092</v>
      </c>
      <c r="BB43" s="39">
        <v>153537</v>
      </c>
      <c r="BC43" s="42">
        <v>101445</v>
      </c>
      <c r="BD43" s="38">
        <v>65518</v>
      </c>
      <c r="BE43" s="39">
        <v>101985</v>
      </c>
      <c r="BF43" s="42">
        <v>36467</v>
      </c>
      <c r="BG43" s="38">
        <v>167249</v>
      </c>
      <c r="BH43" s="39">
        <v>257224</v>
      </c>
      <c r="BI43" s="42">
        <v>89975</v>
      </c>
      <c r="BJ43" s="38">
        <v>222936</v>
      </c>
      <c r="BK43" s="39">
        <v>360201</v>
      </c>
      <c r="BL43" s="42">
        <v>137265</v>
      </c>
      <c r="BM43" s="38">
        <v>183671</v>
      </c>
      <c r="BN43" s="39">
        <v>151041</v>
      </c>
      <c r="BO43" s="42">
        <v>-32630</v>
      </c>
      <c r="BP43" s="38">
        <v>294903</v>
      </c>
      <c r="BQ43" s="39">
        <v>242371</v>
      </c>
      <c r="BR43" s="42">
        <v>-52532</v>
      </c>
      <c r="BS43" s="38">
        <v>210374</v>
      </c>
      <c r="BT43" s="39">
        <v>209530</v>
      </c>
      <c r="BU43" s="42">
        <v>-844</v>
      </c>
      <c r="BV43" s="38">
        <v>351518</v>
      </c>
      <c r="BW43" s="39">
        <v>397209</v>
      </c>
      <c r="BX43" s="42">
        <v>45691</v>
      </c>
      <c r="BY43" s="38">
        <v>275165</v>
      </c>
      <c r="BZ43" s="39">
        <v>356492</v>
      </c>
      <c r="CA43" s="42">
        <v>81327</v>
      </c>
      <c r="CB43" s="38">
        <v>471156</v>
      </c>
      <c r="CC43" s="39">
        <v>481790</v>
      </c>
      <c r="CD43" s="42">
        <v>10634</v>
      </c>
      <c r="CE43" s="38">
        <v>481778</v>
      </c>
      <c r="CF43" s="39">
        <v>613121</v>
      </c>
      <c r="CG43" s="42">
        <v>131343</v>
      </c>
      <c r="CH43" s="38">
        <v>439936</v>
      </c>
      <c r="CI43" s="39">
        <v>519737</v>
      </c>
      <c r="CJ43" s="42">
        <v>79801</v>
      </c>
      <c r="CK43" s="31">
        <v>410740</v>
      </c>
      <c r="CL43" s="39">
        <v>330905</v>
      </c>
      <c r="CM43" s="58">
        <v>-79835</v>
      </c>
      <c r="CN43" s="31">
        <v>455885</v>
      </c>
      <c r="CO43" s="39">
        <v>480172</v>
      </c>
      <c r="CP43" s="58">
        <v>24287</v>
      </c>
    </row>
    <row r="44" spans="1:94" s="31" customFormat="1">
      <c r="A44" s="47" t="s">
        <v>698</v>
      </c>
      <c r="B44" s="375" t="s">
        <v>640</v>
      </c>
      <c r="C44" s="51" t="s">
        <v>640</v>
      </c>
      <c r="D44" s="52" t="s">
        <v>640</v>
      </c>
      <c r="E44" s="375" t="s">
        <v>640</v>
      </c>
      <c r="F44" s="51" t="s">
        <v>640</v>
      </c>
      <c r="G44" s="52" t="s">
        <v>640</v>
      </c>
      <c r="H44" s="375" t="s">
        <v>640</v>
      </c>
      <c r="I44" s="51" t="s">
        <v>640</v>
      </c>
      <c r="J44" s="52" t="s">
        <v>640</v>
      </c>
      <c r="K44" s="375" t="s">
        <v>640</v>
      </c>
      <c r="L44" s="51" t="s">
        <v>640</v>
      </c>
      <c r="M44" s="52" t="s">
        <v>640</v>
      </c>
      <c r="N44" s="375" t="s">
        <v>640</v>
      </c>
      <c r="O44" s="51" t="s">
        <v>640</v>
      </c>
      <c r="P44" s="52" t="s">
        <v>640</v>
      </c>
      <c r="Q44" s="375" t="s">
        <v>640</v>
      </c>
      <c r="R44" s="51" t="s">
        <v>640</v>
      </c>
      <c r="S44" s="52" t="s">
        <v>640</v>
      </c>
      <c r="T44" s="375" t="s">
        <v>640</v>
      </c>
      <c r="U44" s="51" t="s">
        <v>640</v>
      </c>
      <c r="V44" s="52" t="s">
        <v>640</v>
      </c>
      <c r="W44" s="375" t="s">
        <v>640</v>
      </c>
      <c r="X44" s="51" t="s">
        <v>640</v>
      </c>
      <c r="Y44" s="52" t="s">
        <v>640</v>
      </c>
      <c r="Z44" s="375" t="s">
        <v>640</v>
      </c>
      <c r="AA44" s="51" t="s">
        <v>640</v>
      </c>
      <c r="AB44" s="52" t="s">
        <v>640</v>
      </c>
      <c r="AC44" s="375" t="s">
        <v>640</v>
      </c>
      <c r="AD44" s="51" t="s">
        <v>640</v>
      </c>
      <c r="AE44" s="52" t="s">
        <v>640</v>
      </c>
      <c r="AF44" s="375" t="s">
        <v>640</v>
      </c>
      <c r="AG44" s="51" t="s">
        <v>640</v>
      </c>
      <c r="AH44" s="52" t="s">
        <v>640</v>
      </c>
      <c r="AI44" s="375" t="s">
        <v>640</v>
      </c>
      <c r="AJ44" s="51" t="s">
        <v>640</v>
      </c>
      <c r="AK44" s="52" t="s">
        <v>640</v>
      </c>
      <c r="AL44" s="375" t="s">
        <v>640</v>
      </c>
      <c r="AM44" s="51" t="s">
        <v>640</v>
      </c>
      <c r="AN44" s="52" t="s">
        <v>640</v>
      </c>
      <c r="AO44" s="375" t="s">
        <v>640</v>
      </c>
      <c r="AP44" s="51" t="s">
        <v>640</v>
      </c>
      <c r="AQ44" s="52" t="s">
        <v>640</v>
      </c>
      <c r="AR44" s="375" t="s">
        <v>640</v>
      </c>
      <c r="AS44" s="51" t="s">
        <v>640</v>
      </c>
      <c r="AT44" s="52" t="s">
        <v>640</v>
      </c>
      <c r="AU44" s="38">
        <v>88592</v>
      </c>
      <c r="AV44" s="39">
        <v>175882</v>
      </c>
      <c r="AW44" s="42">
        <v>87290</v>
      </c>
      <c r="AX44" s="38">
        <v>323888</v>
      </c>
      <c r="AY44" s="39">
        <v>377274</v>
      </c>
      <c r="AZ44" s="42">
        <v>53386</v>
      </c>
      <c r="BA44" s="38">
        <v>585601</v>
      </c>
      <c r="BB44" s="39">
        <v>637901</v>
      </c>
      <c r="BC44" s="42">
        <v>52300</v>
      </c>
      <c r="BD44" s="38">
        <v>797885</v>
      </c>
      <c r="BE44" s="39">
        <v>733326</v>
      </c>
      <c r="BF44" s="42">
        <v>-64559</v>
      </c>
      <c r="BG44" s="38">
        <v>1011224</v>
      </c>
      <c r="BH44" s="39">
        <v>971164</v>
      </c>
      <c r="BI44" s="42">
        <v>-40060</v>
      </c>
      <c r="BJ44" s="38">
        <v>1121849</v>
      </c>
      <c r="BK44" s="39">
        <v>1078030</v>
      </c>
      <c r="BL44" s="42">
        <v>-43819</v>
      </c>
      <c r="BM44" s="38">
        <v>838745</v>
      </c>
      <c r="BN44" s="39">
        <v>649803</v>
      </c>
      <c r="BO44" s="42">
        <v>-188942</v>
      </c>
      <c r="BP44" s="38">
        <v>575753</v>
      </c>
      <c r="BQ44" s="39">
        <v>666040</v>
      </c>
      <c r="BR44" s="42">
        <v>90287</v>
      </c>
      <c r="BS44" s="38">
        <v>685381</v>
      </c>
      <c r="BT44" s="39">
        <v>721711</v>
      </c>
      <c r="BU44" s="42">
        <v>36330</v>
      </c>
      <c r="BV44" s="38">
        <v>1121210</v>
      </c>
      <c r="BW44" s="39">
        <v>1197599</v>
      </c>
      <c r="BX44" s="42">
        <v>76389</v>
      </c>
      <c r="BY44" s="38">
        <v>1424117</v>
      </c>
      <c r="BZ44" s="39">
        <v>1355969</v>
      </c>
      <c r="CA44" s="42">
        <v>-68148</v>
      </c>
      <c r="CB44" s="38">
        <v>1338380</v>
      </c>
      <c r="CC44" s="39">
        <v>1320518</v>
      </c>
      <c r="CD44" s="42">
        <v>-17862</v>
      </c>
      <c r="CE44" s="38">
        <v>1580035</v>
      </c>
      <c r="CF44" s="39">
        <v>1633539</v>
      </c>
      <c r="CG44" s="42">
        <v>53504</v>
      </c>
      <c r="CH44" s="38">
        <v>1658548</v>
      </c>
      <c r="CI44" s="39">
        <v>1711480</v>
      </c>
      <c r="CJ44" s="42">
        <v>52932</v>
      </c>
      <c r="CK44" s="31">
        <v>1883573</v>
      </c>
      <c r="CL44" s="39">
        <v>1866940</v>
      </c>
      <c r="CM44" s="58">
        <v>-16633</v>
      </c>
      <c r="CN44" s="31">
        <v>2820564</v>
      </c>
      <c r="CO44" s="39">
        <v>2866274</v>
      </c>
      <c r="CP44" s="58">
        <v>45710</v>
      </c>
    </row>
    <row r="45" spans="1:94" s="31" customFormat="1">
      <c r="A45" s="47" t="s">
        <v>699</v>
      </c>
      <c r="B45" s="38">
        <v>1032</v>
      </c>
      <c r="C45" s="39">
        <v>675</v>
      </c>
      <c r="D45" s="42">
        <v>-357</v>
      </c>
      <c r="E45" s="38">
        <v>242</v>
      </c>
      <c r="F45" s="39">
        <v>718.64200000000005</v>
      </c>
      <c r="G45" s="42">
        <v>476.64200000000005</v>
      </c>
      <c r="H45" s="38">
        <v>821.45900000000006</v>
      </c>
      <c r="I45" s="39">
        <v>719</v>
      </c>
      <c r="J45" s="42">
        <v>-102.45900000000006</v>
      </c>
      <c r="K45" s="38">
        <v>759.61</v>
      </c>
      <c r="L45" s="39">
        <v>563</v>
      </c>
      <c r="M45" s="42">
        <v>-196.61</v>
      </c>
      <c r="N45" s="38">
        <v>978.85699999999997</v>
      </c>
      <c r="O45" s="39">
        <v>600.17899999999997</v>
      </c>
      <c r="P45" s="42">
        <v>-378.678</v>
      </c>
      <c r="Q45" s="38">
        <v>1054</v>
      </c>
      <c r="R45" s="39">
        <v>707</v>
      </c>
      <c r="S45" s="42">
        <v>-347</v>
      </c>
      <c r="T45" s="38">
        <v>615</v>
      </c>
      <c r="U45" s="39">
        <v>182.297</v>
      </c>
      <c r="V45" s="42">
        <v>-432.70299999999997</v>
      </c>
      <c r="W45" s="38">
        <v>4851.2700000000004</v>
      </c>
      <c r="X45" s="39">
        <v>739.56</v>
      </c>
      <c r="Y45" s="42">
        <v>-4111.71</v>
      </c>
      <c r="Z45" s="38">
        <v>3179</v>
      </c>
      <c r="AA45" s="39">
        <v>1056</v>
      </c>
      <c r="AB45" s="42">
        <v>-2123</v>
      </c>
      <c r="AC45" s="38">
        <v>3356</v>
      </c>
      <c r="AD45" s="39">
        <v>1941</v>
      </c>
      <c r="AE45" s="42">
        <v>-1415</v>
      </c>
      <c r="AF45" s="38">
        <v>454</v>
      </c>
      <c r="AG45" s="39">
        <v>276</v>
      </c>
      <c r="AH45" s="42">
        <v>-178</v>
      </c>
      <c r="AI45" s="38">
        <v>1160.864</v>
      </c>
      <c r="AJ45" s="39">
        <v>314.23</v>
      </c>
      <c r="AK45" s="42">
        <v>-846.63400000000001</v>
      </c>
      <c r="AL45" s="38">
        <v>1253</v>
      </c>
      <c r="AM45" s="39">
        <v>766.08299999999997</v>
      </c>
      <c r="AN45" s="42">
        <v>-486.91700000000003</v>
      </c>
      <c r="AO45" s="38">
        <v>2378</v>
      </c>
      <c r="AP45" s="39">
        <v>376</v>
      </c>
      <c r="AQ45" s="42">
        <v>-2002</v>
      </c>
      <c r="AR45" s="38">
        <v>603</v>
      </c>
      <c r="AS45" s="39">
        <v>1156</v>
      </c>
      <c r="AT45" s="42">
        <v>553</v>
      </c>
      <c r="AU45" s="38">
        <v>2138</v>
      </c>
      <c r="AV45" s="39">
        <v>486</v>
      </c>
      <c r="AW45" s="42">
        <v>-1652</v>
      </c>
      <c r="AX45" s="38">
        <v>3753</v>
      </c>
      <c r="AY45" s="39">
        <v>626</v>
      </c>
      <c r="AZ45" s="42">
        <v>-3127</v>
      </c>
      <c r="BA45" s="38">
        <v>2913</v>
      </c>
      <c r="BB45" s="39">
        <v>149</v>
      </c>
      <c r="BC45" s="42">
        <v>-2764</v>
      </c>
      <c r="BD45" s="38">
        <v>3951</v>
      </c>
      <c r="BE45" s="39">
        <v>56</v>
      </c>
      <c r="BF45" s="42">
        <v>-3895</v>
      </c>
      <c r="BG45" s="38">
        <v>6606</v>
      </c>
      <c r="BH45" s="39">
        <v>174</v>
      </c>
      <c r="BI45" s="42">
        <v>-6432</v>
      </c>
      <c r="BJ45" s="38">
        <v>9123</v>
      </c>
      <c r="BK45" s="39">
        <v>4</v>
      </c>
      <c r="BL45" s="42">
        <v>-9119</v>
      </c>
      <c r="BM45" s="38">
        <v>13139</v>
      </c>
      <c r="BN45" s="39">
        <v>189</v>
      </c>
      <c r="BO45" s="42">
        <v>-12950</v>
      </c>
      <c r="BP45" s="38">
        <v>8503</v>
      </c>
      <c r="BQ45" s="39">
        <v>157</v>
      </c>
      <c r="BR45" s="42">
        <v>-8346</v>
      </c>
      <c r="BS45" s="38">
        <v>24605</v>
      </c>
      <c r="BT45" s="39">
        <v>56</v>
      </c>
      <c r="BU45" s="42">
        <v>-24549</v>
      </c>
      <c r="BV45" s="38">
        <v>39516</v>
      </c>
      <c r="BW45" s="39">
        <v>13</v>
      </c>
      <c r="BX45" s="42">
        <v>-39503</v>
      </c>
      <c r="BY45" s="38">
        <v>67447</v>
      </c>
      <c r="BZ45" s="39">
        <v>4985</v>
      </c>
      <c r="CA45" s="42">
        <v>-62462</v>
      </c>
      <c r="CB45" s="38">
        <v>147458</v>
      </c>
      <c r="CC45" s="39">
        <v>104579</v>
      </c>
      <c r="CD45" s="42">
        <v>-42879</v>
      </c>
      <c r="CE45" s="38">
        <v>10761</v>
      </c>
      <c r="CF45" s="39">
        <v>17805</v>
      </c>
      <c r="CG45" s="42">
        <v>7044</v>
      </c>
      <c r="CH45" s="38">
        <v>2055482</v>
      </c>
      <c r="CI45" s="39">
        <v>1908303</v>
      </c>
      <c r="CJ45" s="42">
        <v>-147179</v>
      </c>
      <c r="CK45" s="31">
        <v>3641822</v>
      </c>
      <c r="CL45" s="39">
        <v>3255048</v>
      </c>
      <c r="CM45" s="58">
        <v>-386774</v>
      </c>
      <c r="CN45" s="31">
        <v>5261883</v>
      </c>
      <c r="CO45" s="39">
        <v>5185535</v>
      </c>
      <c r="CP45" s="58">
        <v>-76348</v>
      </c>
    </row>
    <row r="46" spans="1:94" s="31" customFormat="1" ht="13.5" thickBot="1">
      <c r="A46" s="54"/>
      <c r="B46" s="55"/>
      <c r="C46" s="56"/>
      <c r="D46" s="57"/>
      <c r="E46" s="55"/>
      <c r="F46" s="56"/>
      <c r="G46" s="57"/>
      <c r="H46" s="55"/>
      <c r="I46" s="56"/>
      <c r="J46" s="57"/>
      <c r="K46" s="55"/>
      <c r="L46" s="56"/>
      <c r="M46" s="57"/>
      <c r="N46" s="55"/>
      <c r="O46" s="56"/>
      <c r="P46" s="57"/>
      <c r="Q46" s="55"/>
      <c r="R46" s="56"/>
      <c r="S46" s="57"/>
      <c r="T46" s="55"/>
      <c r="U46" s="56"/>
      <c r="V46" s="57"/>
      <c r="W46" s="55"/>
      <c r="X46" s="56"/>
      <c r="Y46" s="57"/>
      <c r="Z46" s="55"/>
      <c r="AA46" s="56"/>
      <c r="AB46" s="57"/>
      <c r="AC46" s="55"/>
      <c r="AD46" s="56"/>
      <c r="AE46" s="57"/>
      <c r="AF46" s="55"/>
      <c r="AG46" s="56"/>
      <c r="AH46" s="57"/>
      <c r="AI46" s="55"/>
      <c r="AJ46" s="56"/>
      <c r="AK46" s="57"/>
      <c r="AL46" s="55"/>
      <c r="AM46" s="56"/>
      <c r="AN46" s="57"/>
      <c r="AO46" s="55"/>
      <c r="AP46" s="56"/>
      <c r="AQ46" s="57"/>
      <c r="AR46" s="55"/>
      <c r="AS46" s="56"/>
      <c r="AT46" s="57"/>
      <c r="AU46" s="55"/>
      <c r="AV46" s="56"/>
      <c r="AW46" s="57"/>
      <c r="AX46" s="55"/>
      <c r="AY46" s="56"/>
      <c r="AZ46" s="57"/>
      <c r="BA46" s="55"/>
      <c r="BB46" s="56"/>
      <c r="BC46" s="57"/>
      <c r="BD46" s="55"/>
      <c r="BE46" s="56"/>
      <c r="BF46" s="57"/>
      <c r="BG46" s="55"/>
      <c r="BH46" s="56"/>
      <c r="BI46" s="57"/>
      <c r="BJ46" s="55"/>
      <c r="BK46" s="56"/>
      <c r="BL46" s="57"/>
      <c r="BM46" s="55"/>
      <c r="BN46" s="56"/>
      <c r="BO46" s="57"/>
      <c r="BP46" s="55"/>
      <c r="BQ46" s="56"/>
      <c r="BR46" s="57"/>
      <c r="BS46" s="55"/>
      <c r="BT46" s="56"/>
      <c r="BU46" s="57"/>
      <c r="BV46" s="55"/>
      <c r="BW46" s="56"/>
      <c r="BX46" s="57"/>
      <c r="BY46" s="55"/>
      <c r="BZ46" s="56"/>
      <c r="CA46" s="57"/>
      <c r="CB46" s="55"/>
      <c r="CC46" s="56"/>
      <c r="CD46" s="57"/>
      <c r="CE46" s="55"/>
      <c r="CF46" s="56"/>
      <c r="CG46" s="57"/>
      <c r="CH46" s="55"/>
      <c r="CI46" s="56"/>
      <c r="CJ46" s="57"/>
      <c r="CK46" s="393"/>
      <c r="CL46" s="56"/>
      <c r="CM46" s="394"/>
      <c r="CN46" s="393"/>
      <c r="CO46" s="56"/>
      <c r="CP46" s="394"/>
    </row>
    <row r="47" spans="1:94" s="31" customFormat="1"/>
    <row r="48" spans="1:94" s="31" customFormat="1"/>
    <row r="49" spans="2:148" s="31" customFormat="1"/>
    <row r="50" spans="2:148" s="31" customFormat="1"/>
    <row r="51" spans="2:148" s="31" customFormat="1"/>
    <row r="52" spans="2:148" s="31" customFormat="1"/>
    <row r="53" spans="2:148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</row>
    <row r="54" spans="2:148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</row>
    <row r="55" spans="2:148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</row>
    <row r="56" spans="2:148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</row>
    <row r="57" spans="2:148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</row>
    <row r="58" spans="2:148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</row>
    <row r="59" spans="2:148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</row>
    <row r="60" spans="2:148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</row>
    <row r="61" spans="2:148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</row>
    <row r="62" spans="2:148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</row>
    <row r="63" spans="2:148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</row>
    <row r="64" spans="2:148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</row>
    <row r="65" spans="2:148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</row>
    <row r="66" spans="2:148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</row>
    <row r="67" spans="2:148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</row>
    <row r="68" spans="2:148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</row>
    <row r="69" spans="2:148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</row>
    <row r="70" spans="2:148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</row>
    <row r="71" spans="2:148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</row>
    <row r="72" spans="2:148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</row>
    <row r="73" spans="2:148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</row>
    <row r="74" spans="2:148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</row>
    <row r="75" spans="2:148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</row>
    <row r="76" spans="2:148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</row>
    <row r="77" spans="2:148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</row>
    <row r="78" spans="2:148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</row>
    <row r="79" spans="2:148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</row>
    <row r="80" spans="2:148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</row>
    <row r="81" spans="2:148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</row>
    <row r="82" spans="2:148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</row>
    <row r="83" spans="2:148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</row>
    <row r="84" spans="2:148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</row>
    <row r="85" spans="2:148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</row>
    <row r="86" spans="2:148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</row>
    <row r="87" spans="2:148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</row>
    <row r="88" spans="2:148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</row>
    <row r="89" spans="2:148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</row>
    <row r="90" spans="2:148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</row>
    <row r="91" spans="2:148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</row>
    <row r="92" spans="2:148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</row>
    <row r="93" spans="2:148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</row>
    <row r="94" spans="2:148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</row>
    <row r="95" spans="2:148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</row>
    <row r="96" spans="2:148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</row>
    <row r="97" spans="2:148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</row>
    <row r="98" spans="2:148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</row>
    <row r="99" spans="2:148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</row>
    <row r="100" spans="2:148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</row>
    <row r="101" spans="2:148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</row>
    <row r="102" spans="2:148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</row>
    <row r="103" spans="2:148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</row>
    <row r="104" spans="2:148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</row>
    <row r="105" spans="2:148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</row>
    <row r="106" spans="2:148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</row>
    <row r="107" spans="2:148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</row>
    <row r="108" spans="2:148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</row>
    <row r="109" spans="2:148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</row>
    <row r="110" spans="2:148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</row>
    <row r="111" spans="2:148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</row>
    <row r="112" spans="2:148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</row>
    <row r="113" spans="2:148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</row>
    <row r="114" spans="2:148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</row>
    <row r="115" spans="2:148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</row>
  </sheetData>
  <pageMargins left="1.1000000000000001" right="0.2" top="0.2" bottom="0.31" header="0.18" footer="0.2"/>
  <pageSetup paperSize="9" scale="8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37C1-C49A-479F-BBD9-4AE15B91F69C}">
  <dimension ref="A1:IR21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4" sqref="F4"/>
    </sheetView>
  </sheetViews>
  <sheetFormatPr defaultColWidth="10.26953125" defaultRowHeight="12.5"/>
  <cols>
    <col min="1" max="1" width="28.1796875" style="396" customWidth="1"/>
    <col min="2" max="30" width="10.26953125" style="396"/>
    <col min="31" max="49" width="11" style="396" customWidth="1"/>
    <col min="50" max="256" width="10.26953125" style="396"/>
    <col min="257" max="257" width="28.1796875" style="396" customWidth="1"/>
    <col min="258" max="286" width="10.26953125" style="396"/>
    <col min="287" max="305" width="11" style="396" customWidth="1"/>
    <col min="306" max="512" width="10.26953125" style="396"/>
    <col min="513" max="513" width="28.1796875" style="396" customWidth="1"/>
    <col min="514" max="542" width="10.26953125" style="396"/>
    <col min="543" max="561" width="11" style="396" customWidth="1"/>
    <col min="562" max="768" width="10.26953125" style="396"/>
    <col min="769" max="769" width="28.1796875" style="396" customWidth="1"/>
    <col min="770" max="798" width="10.26953125" style="396"/>
    <col min="799" max="817" width="11" style="396" customWidth="1"/>
    <col min="818" max="1024" width="10.26953125" style="396"/>
    <col min="1025" max="1025" width="28.1796875" style="396" customWidth="1"/>
    <col min="1026" max="1054" width="10.26953125" style="396"/>
    <col min="1055" max="1073" width="11" style="396" customWidth="1"/>
    <col min="1074" max="1280" width="10.26953125" style="396"/>
    <col min="1281" max="1281" width="28.1796875" style="396" customWidth="1"/>
    <col min="1282" max="1310" width="10.26953125" style="396"/>
    <col min="1311" max="1329" width="11" style="396" customWidth="1"/>
    <col min="1330" max="1536" width="10.26953125" style="396"/>
    <col min="1537" max="1537" width="28.1796875" style="396" customWidth="1"/>
    <col min="1538" max="1566" width="10.26953125" style="396"/>
    <col min="1567" max="1585" width="11" style="396" customWidth="1"/>
    <col min="1586" max="1792" width="10.26953125" style="396"/>
    <col min="1793" max="1793" width="28.1796875" style="396" customWidth="1"/>
    <col min="1794" max="1822" width="10.26953125" style="396"/>
    <col min="1823" max="1841" width="11" style="396" customWidth="1"/>
    <col min="1842" max="2048" width="10.26953125" style="396"/>
    <col min="2049" max="2049" width="28.1796875" style="396" customWidth="1"/>
    <col min="2050" max="2078" width="10.26953125" style="396"/>
    <col min="2079" max="2097" width="11" style="396" customWidth="1"/>
    <col min="2098" max="2304" width="10.26953125" style="396"/>
    <col min="2305" max="2305" width="28.1796875" style="396" customWidth="1"/>
    <col min="2306" max="2334" width="10.26953125" style="396"/>
    <col min="2335" max="2353" width="11" style="396" customWidth="1"/>
    <col min="2354" max="2560" width="10.26953125" style="396"/>
    <col min="2561" max="2561" width="28.1796875" style="396" customWidth="1"/>
    <col min="2562" max="2590" width="10.26953125" style="396"/>
    <col min="2591" max="2609" width="11" style="396" customWidth="1"/>
    <col min="2610" max="2816" width="10.26953125" style="396"/>
    <col min="2817" max="2817" width="28.1796875" style="396" customWidth="1"/>
    <col min="2818" max="2846" width="10.26953125" style="396"/>
    <col min="2847" max="2865" width="11" style="396" customWidth="1"/>
    <col min="2866" max="3072" width="10.26953125" style="396"/>
    <col min="3073" max="3073" width="28.1796875" style="396" customWidth="1"/>
    <col min="3074" max="3102" width="10.26953125" style="396"/>
    <col min="3103" max="3121" width="11" style="396" customWidth="1"/>
    <col min="3122" max="3328" width="10.26953125" style="396"/>
    <col min="3329" max="3329" width="28.1796875" style="396" customWidth="1"/>
    <col min="3330" max="3358" width="10.26953125" style="396"/>
    <col min="3359" max="3377" width="11" style="396" customWidth="1"/>
    <col min="3378" max="3584" width="10.26953125" style="396"/>
    <col min="3585" max="3585" width="28.1796875" style="396" customWidth="1"/>
    <col min="3586" max="3614" width="10.26953125" style="396"/>
    <col min="3615" max="3633" width="11" style="396" customWidth="1"/>
    <col min="3634" max="3840" width="10.26953125" style="396"/>
    <col min="3841" max="3841" width="28.1796875" style="396" customWidth="1"/>
    <col min="3842" max="3870" width="10.26953125" style="396"/>
    <col min="3871" max="3889" width="11" style="396" customWidth="1"/>
    <col min="3890" max="4096" width="10.26953125" style="396"/>
    <col min="4097" max="4097" width="28.1796875" style="396" customWidth="1"/>
    <col min="4098" max="4126" width="10.26953125" style="396"/>
    <col min="4127" max="4145" width="11" style="396" customWidth="1"/>
    <col min="4146" max="4352" width="10.26953125" style="396"/>
    <col min="4353" max="4353" width="28.1796875" style="396" customWidth="1"/>
    <col min="4354" max="4382" width="10.26953125" style="396"/>
    <col min="4383" max="4401" width="11" style="396" customWidth="1"/>
    <col min="4402" max="4608" width="10.26953125" style="396"/>
    <col min="4609" max="4609" width="28.1796875" style="396" customWidth="1"/>
    <col min="4610" max="4638" width="10.26953125" style="396"/>
    <col min="4639" max="4657" width="11" style="396" customWidth="1"/>
    <col min="4658" max="4864" width="10.26953125" style="396"/>
    <col min="4865" max="4865" width="28.1796875" style="396" customWidth="1"/>
    <col min="4866" max="4894" width="10.26953125" style="396"/>
    <col min="4895" max="4913" width="11" style="396" customWidth="1"/>
    <col min="4914" max="5120" width="10.26953125" style="396"/>
    <col min="5121" max="5121" width="28.1796875" style="396" customWidth="1"/>
    <col min="5122" max="5150" width="10.26953125" style="396"/>
    <col min="5151" max="5169" width="11" style="396" customWidth="1"/>
    <col min="5170" max="5376" width="10.26953125" style="396"/>
    <col min="5377" max="5377" width="28.1796875" style="396" customWidth="1"/>
    <col min="5378" max="5406" width="10.26953125" style="396"/>
    <col min="5407" max="5425" width="11" style="396" customWidth="1"/>
    <col min="5426" max="5632" width="10.26953125" style="396"/>
    <col min="5633" max="5633" width="28.1796875" style="396" customWidth="1"/>
    <col min="5634" max="5662" width="10.26953125" style="396"/>
    <col min="5663" max="5681" width="11" style="396" customWidth="1"/>
    <col min="5682" max="5888" width="10.26953125" style="396"/>
    <col min="5889" max="5889" width="28.1796875" style="396" customWidth="1"/>
    <col min="5890" max="5918" width="10.26953125" style="396"/>
    <col min="5919" max="5937" width="11" style="396" customWidth="1"/>
    <col min="5938" max="6144" width="10.26953125" style="396"/>
    <col min="6145" max="6145" width="28.1796875" style="396" customWidth="1"/>
    <col min="6146" max="6174" width="10.26953125" style="396"/>
    <col min="6175" max="6193" width="11" style="396" customWidth="1"/>
    <col min="6194" max="6400" width="10.26953125" style="396"/>
    <col min="6401" max="6401" width="28.1796875" style="396" customWidth="1"/>
    <col min="6402" max="6430" width="10.26953125" style="396"/>
    <col min="6431" max="6449" width="11" style="396" customWidth="1"/>
    <col min="6450" max="6656" width="10.26953125" style="396"/>
    <col min="6657" max="6657" width="28.1796875" style="396" customWidth="1"/>
    <col min="6658" max="6686" width="10.26953125" style="396"/>
    <col min="6687" max="6705" width="11" style="396" customWidth="1"/>
    <col min="6706" max="6912" width="10.26953125" style="396"/>
    <col min="6913" max="6913" width="28.1796875" style="396" customWidth="1"/>
    <col min="6914" max="6942" width="10.26953125" style="396"/>
    <col min="6943" max="6961" width="11" style="396" customWidth="1"/>
    <col min="6962" max="7168" width="10.26953125" style="396"/>
    <col min="7169" max="7169" width="28.1796875" style="396" customWidth="1"/>
    <col min="7170" max="7198" width="10.26953125" style="396"/>
    <col min="7199" max="7217" width="11" style="396" customWidth="1"/>
    <col min="7218" max="7424" width="10.26953125" style="396"/>
    <col min="7425" max="7425" width="28.1796875" style="396" customWidth="1"/>
    <col min="7426" max="7454" width="10.26953125" style="396"/>
    <col min="7455" max="7473" width="11" style="396" customWidth="1"/>
    <col min="7474" max="7680" width="10.26953125" style="396"/>
    <col min="7681" max="7681" width="28.1796875" style="396" customWidth="1"/>
    <col min="7682" max="7710" width="10.26953125" style="396"/>
    <col min="7711" max="7729" width="11" style="396" customWidth="1"/>
    <col min="7730" max="7936" width="10.26953125" style="396"/>
    <col min="7937" max="7937" width="28.1796875" style="396" customWidth="1"/>
    <col min="7938" max="7966" width="10.26953125" style="396"/>
    <col min="7967" max="7985" width="11" style="396" customWidth="1"/>
    <col min="7986" max="8192" width="10.26953125" style="396"/>
    <col min="8193" max="8193" width="28.1796875" style="396" customWidth="1"/>
    <col min="8194" max="8222" width="10.26953125" style="396"/>
    <col min="8223" max="8241" width="11" style="396" customWidth="1"/>
    <col min="8242" max="8448" width="10.26953125" style="396"/>
    <col min="8449" max="8449" width="28.1796875" style="396" customWidth="1"/>
    <col min="8450" max="8478" width="10.26953125" style="396"/>
    <col min="8479" max="8497" width="11" style="396" customWidth="1"/>
    <col min="8498" max="8704" width="10.26953125" style="396"/>
    <col min="8705" max="8705" width="28.1796875" style="396" customWidth="1"/>
    <col min="8706" max="8734" width="10.26953125" style="396"/>
    <col min="8735" max="8753" width="11" style="396" customWidth="1"/>
    <col min="8754" max="8960" width="10.26953125" style="396"/>
    <col min="8961" max="8961" width="28.1796875" style="396" customWidth="1"/>
    <col min="8962" max="8990" width="10.26953125" style="396"/>
    <col min="8991" max="9009" width="11" style="396" customWidth="1"/>
    <col min="9010" max="9216" width="10.26953125" style="396"/>
    <col min="9217" max="9217" width="28.1796875" style="396" customWidth="1"/>
    <col min="9218" max="9246" width="10.26953125" style="396"/>
    <col min="9247" max="9265" width="11" style="396" customWidth="1"/>
    <col min="9266" max="9472" width="10.26953125" style="396"/>
    <col min="9473" max="9473" width="28.1796875" style="396" customWidth="1"/>
    <col min="9474" max="9502" width="10.26953125" style="396"/>
    <col min="9503" max="9521" width="11" style="396" customWidth="1"/>
    <col min="9522" max="9728" width="10.26953125" style="396"/>
    <col min="9729" max="9729" width="28.1796875" style="396" customWidth="1"/>
    <col min="9730" max="9758" width="10.26953125" style="396"/>
    <col min="9759" max="9777" width="11" style="396" customWidth="1"/>
    <col min="9778" max="9984" width="10.26953125" style="396"/>
    <col min="9985" max="9985" width="28.1796875" style="396" customWidth="1"/>
    <col min="9986" max="10014" width="10.26953125" style="396"/>
    <col min="10015" max="10033" width="11" style="396" customWidth="1"/>
    <col min="10034" max="10240" width="10.26953125" style="396"/>
    <col min="10241" max="10241" width="28.1796875" style="396" customWidth="1"/>
    <col min="10242" max="10270" width="10.26953125" style="396"/>
    <col min="10271" max="10289" width="11" style="396" customWidth="1"/>
    <col min="10290" max="10496" width="10.26953125" style="396"/>
    <col min="10497" max="10497" width="28.1796875" style="396" customWidth="1"/>
    <col min="10498" max="10526" width="10.26953125" style="396"/>
    <col min="10527" max="10545" width="11" style="396" customWidth="1"/>
    <col min="10546" max="10752" width="10.26953125" style="396"/>
    <col min="10753" max="10753" width="28.1796875" style="396" customWidth="1"/>
    <col min="10754" max="10782" width="10.26953125" style="396"/>
    <col min="10783" max="10801" width="11" style="396" customWidth="1"/>
    <col min="10802" max="11008" width="10.26953125" style="396"/>
    <col min="11009" max="11009" width="28.1796875" style="396" customWidth="1"/>
    <col min="11010" max="11038" width="10.26953125" style="396"/>
    <col min="11039" max="11057" width="11" style="396" customWidth="1"/>
    <col min="11058" max="11264" width="10.26953125" style="396"/>
    <col min="11265" max="11265" width="28.1796875" style="396" customWidth="1"/>
    <col min="11266" max="11294" width="10.26953125" style="396"/>
    <col min="11295" max="11313" width="11" style="396" customWidth="1"/>
    <col min="11314" max="11520" width="10.26953125" style="396"/>
    <col min="11521" max="11521" width="28.1796875" style="396" customWidth="1"/>
    <col min="11522" max="11550" width="10.26953125" style="396"/>
    <col min="11551" max="11569" width="11" style="396" customWidth="1"/>
    <col min="11570" max="11776" width="10.26953125" style="396"/>
    <col min="11777" max="11777" width="28.1796875" style="396" customWidth="1"/>
    <col min="11778" max="11806" width="10.26953125" style="396"/>
    <col min="11807" max="11825" width="11" style="396" customWidth="1"/>
    <col min="11826" max="12032" width="10.26953125" style="396"/>
    <col min="12033" max="12033" width="28.1796875" style="396" customWidth="1"/>
    <col min="12034" max="12062" width="10.26953125" style="396"/>
    <col min="12063" max="12081" width="11" style="396" customWidth="1"/>
    <col min="12082" max="12288" width="10.26953125" style="396"/>
    <col min="12289" max="12289" width="28.1796875" style="396" customWidth="1"/>
    <col min="12290" max="12318" width="10.26953125" style="396"/>
    <col min="12319" max="12337" width="11" style="396" customWidth="1"/>
    <col min="12338" max="12544" width="10.26953125" style="396"/>
    <col min="12545" max="12545" width="28.1796875" style="396" customWidth="1"/>
    <col min="12546" max="12574" width="10.26953125" style="396"/>
    <col min="12575" max="12593" width="11" style="396" customWidth="1"/>
    <col min="12594" max="12800" width="10.26953125" style="396"/>
    <col min="12801" max="12801" width="28.1796875" style="396" customWidth="1"/>
    <col min="12802" max="12830" width="10.26953125" style="396"/>
    <col min="12831" max="12849" width="11" style="396" customWidth="1"/>
    <col min="12850" max="13056" width="10.26953125" style="396"/>
    <col min="13057" max="13057" width="28.1796875" style="396" customWidth="1"/>
    <col min="13058" max="13086" width="10.26953125" style="396"/>
    <col min="13087" max="13105" width="11" style="396" customWidth="1"/>
    <col min="13106" max="13312" width="10.26953125" style="396"/>
    <col min="13313" max="13313" width="28.1796875" style="396" customWidth="1"/>
    <col min="13314" max="13342" width="10.26953125" style="396"/>
    <col min="13343" max="13361" width="11" style="396" customWidth="1"/>
    <col min="13362" max="13568" width="10.26953125" style="396"/>
    <col min="13569" max="13569" width="28.1796875" style="396" customWidth="1"/>
    <col min="13570" max="13598" width="10.26953125" style="396"/>
    <col min="13599" max="13617" width="11" style="396" customWidth="1"/>
    <col min="13618" max="13824" width="10.26953125" style="396"/>
    <col min="13825" max="13825" width="28.1796875" style="396" customWidth="1"/>
    <col min="13826" max="13854" width="10.26953125" style="396"/>
    <col min="13855" max="13873" width="11" style="396" customWidth="1"/>
    <col min="13874" max="14080" width="10.26953125" style="396"/>
    <col min="14081" max="14081" width="28.1796875" style="396" customWidth="1"/>
    <col min="14082" max="14110" width="10.26953125" style="396"/>
    <col min="14111" max="14129" width="11" style="396" customWidth="1"/>
    <col min="14130" max="14336" width="10.26953125" style="396"/>
    <col min="14337" max="14337" width="28.1796875" style="396" customWidth="1"/>
    <col min="14338" max="14366" width="10.26953125" style="396"/>
    <col min="14367" max="14385" width="11" style="396" customWidth="1"/>
    <col min="14386" max="14592" width="10.26953125" style="396"/>
    <col min="14593" max="14593" width="28.1796875" style="396" customWidth="1"/>
    <col min="14594" max="14622" width="10.26953125" style="396"/>
    <col min="14623" max="14641" width="11" style="396" customWidth="1"/>
    <col min="14642" max="14848" width="10.26953125" style="396"/>
    <col min="14849" max="14849" width="28.1796875" style="396" customWidth="1"/>
    <col min="14850" max="14878" width="10.26953125" style="396"/>
    <col min="14879" max="14897" width="11" style="396" customWidth="1"/>
    <col min="14898" max="15104" width="10.26953125" style="396"/>
    <col min="15105" max="15105" width="28.1796875" style="396" customWidth="1"/>
    <col min="15106" max="15134" width="10.26953125" style="396"/>
    <col min="15135" max="15153" width="11" style="396" customWidth="1"/>
    <col min="15154" max="15360" width="10.26953125" style="396"/>
    <col min="15361" max="15361" width="28.1796875" style="396" customWidth="1"/>
    <col min="15362" max="15390" width="10.26953125" style="396"/>
    <col min="15391" max="15409" width="11" style="396" customWidth="1"/>
    <col min="15410" max="15616" width="10.26953125" style="396"/>
    <col min="15617" max="15617" width="28.1796875" style="396" customWidth="1"/>
    <col min="15618" max="15646" width="10.26953125" style="396"/>
    <col min="15647" max="15665" width="11" style="396" customWidth="1"/>
    <col min="15666" max="15872" width="10.26953125" style="396"/>
    <col min="15873" max="15873" width="28.1796875" style="396" customWidth="1"/>
    <col min="15874" max="15902" width="10.26953125" style="396"/>
    <col min="15903" max="15921" width="11" style="396" customWidth="1"/>
    <col min="15922" max="16128" width="10.26953125" style="396"/>
    <col min="16129" max="16129" width="28.1796875" style="396" customWidth="1"/>
    <col min="16130" max="16158" width="10.26953125" style="396"/>
    <col min="16159" max="16177" width="11" style="396" customWidth="1"/>
    <col min="16178" max="16384" width="10.26953125" style="396"/>
  </cols>
  <sheetData>
    <row r="1" spans="1:252" ht="13">
      <c r="A1" s="395"/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5"/>
      <c r="AT1" s="395"/>
      <c r="AU1" s="395"/>
      <c r="AV1" s="395"/>
      <c r="AW1" s="395"/>
    </row>
    <row r="2" spans="1:252" ht="13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</row>
    <row r="3" spans="1:252" ht="13">
      <c r="A3" s="397" t="s">
        <v>700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5"/>
      <c r="AN3" s="395"/>
      <c r="AO3" s="395"/>
      <c r="AP3" s="395"/>
      <c r="AQ3" s="395"/>
      <c r="AR3" s="395"/>
      <c r="AS3" s="395"/>
      <c r="AT3" s="395"/>
      <c r="AU3" s="395"/>
      <c r="AV3" s="395"/>
      <c r="AW3" s="395"/>
    </row>
    <row r="4" spans="1:252" ht="13">
      <c r="A4" s="397" t="s">
        <v>701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  <c r="AA4" s="395"/>
      <c r="AB4" s="395"/>
      <c r="AC4" s="395"/>
      <c r="AD4" s="395"/>
      <c r="AE4" s="395"/>
      <c r="AF4" s="395"/>
      <c r="AG4" s="395"/>
      <c r="AH4" s="395"/>
      <c r="AI4" s="395"/>
      <c r="AJ4" s="395"/>
      <c r="AK4" s="395"/>
      <c r="AL4" s="395"/>
      <c r="AM4" s="395"/>
      <c r="AN4" s="395"/>
      <c r="AO4" s="395"/>
      <c r="AP4" s="395"/>
      <c r="AQ4" s="395"/>
      <c r="AR4" s="395"/>
      <c r="AS4" s="395"/>
      <c r="AT4" s="395"/>
      <c r="AU4" s="395"/>
      <c r="AV4" s="395"/>
      <c r="AW4" s="395"/>
    </row>
    <row r="5" spans="1:252" ht="13">
      <c r="A5" s="398" t="s">
        <v>192</v>
      </c>
      <c r="B5" s="395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  <c r="AA5" s="395"/>
      <c r="AB5" s="395"/>
      <c r="AC5" s="395"/>
      <c r="AD5" s="395"/>
      <c r="AE5" s="395"/>
      <c r="AF5" s="395"/>
      <c r="AG5" s="395"/>
      <c r="AH5" s="395"/>
      <c r="AI5" s="395"/>
      <c r="AJ5" s="395"/>
      <c r="AK5" s="395"/>
      <c r="AL5" s="395"/>
      <c r="AM5" s="395"/>
      <c r="AN5" s="395"/>
      <c r="AO5" s="395"/>
      <c r="AP5" s="395"/>
      <c r="AQ5" s="395"/>
      <c r="AR5" s="395"/>
      <c r="AS5" s="395"/>
      <c r="AT5" s="395"/>
      <c r="AU5" s="395"/>
      <c r="AV5" s="395"/>
      <c r="AW5" s="395"/>
    </row>
    <row r="6" spans="1:252" ht="13.5" thickBot="1">
      <c r="A6" s="398"/>
      <c r="B6" s="395"/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395"/>
      <c r="AG6" s="395"/>
      <c r="AH6" s="395"/>
      <c r="AI6" s="395"/>
      <c r="AJ6" s="395"/>
      <c r="AK6" s="395"/>
      <c r="AL6" s="395"/>
      <c r="AM6" s="395"/>
      <c r="AN6" s="395"/>
      <c r="AO6" s="395"/>
      <c r="AP6" s="395"/>
      <c r="AQ6" s="395"/>
      <c r="AR6" s="395"/>
      <c r="AS6" s="395"/>
      <c r="AT6" s="395"/>
      <c r="AU6" s="395"/>
      <c r="AV6" s="395"/>
      <c r="AW6" s="395"/>
    </row>
    <row r="7" spans="1:252" ht="18" customHeight="1" thickTop="1" thickBot="1">
      <c r="A7" s="399"/>
      <c r="B7" s="400">
        <v>1948</v>
      </c>
      <c r="C7" s="400">
        <v>1949</v>
      </c>
      <c r="D7" s="400">
        <v>1950</v>
      </c>
      <c r="E7" s="400">
        <v>1951</v>
      </c>
      <c r="F7" s="400">
        <v>1952</v>
      </c>
      <c r="G7" s="400">
        <v>1953</v>
      </c>
      <c r="H7" s="400">
        <v>1954</v>
      </c>
      <c r="I7" s="400">
        <v>1955</v>
      </c>
      <c r="J7" s="400">
        <v>1956</v>
      </c>
      <c r="K7" s="400">
        <v>1957</v>
      </c>
      <c r="L7" s="400">
        <v>1958</v>
      </c>
      <c r="M7" s="400">
        <v>1959</v>
      </c>
      <c r="N7" s="400">
        <v>1960</v>
      </c>
      <c r="O7" s="400">
        <v>1961</v>
      </c>
      <c r="P7" s="400">
        <v>1962</v>
      </c>
      <c r="Q7" s="400">
        <v>1963</v>
      </c>
      <c r="R7" s="400">
        <v>1964</v>
      </c>
      <c r="S7" s="400">
        <v>1965</v>
      </c>
      <c r="T7" s="400">
        <v>1966</v>
      </c>
      <c r="U7" s="400">
        <v>1967</v>
      </c>
      <c r="V7" s="400">
        <v>1968</v>
      </c>
      <c r="W7" s="400">
        <v>1969</v>
      </c>
      <c r="X7" s="400">
        <v>1970</v>
      </c>
      <c r="Y7" s="400">
        <v>1971</v>
      </c>
      <c r="Z7" s="400">
        <v>1972</v>
      </c>
      <c r="AA7" s="400">
        <v>1973</v>
      </c>
      <c r="AB7" s="400">
        <v>1974</v>
      </c>
      <c r="AC7" s="400">
        <v>1975</v>
      </c>
      <c r="AD7" s="400">
        <v>1976</v>
      </c>
      <c r="AE7" s="400">
        <v>1977</v>
      </c>
      <c r="AF7" s="400">
        <v>1978</v>
      </c>
      <c r="AG7" s="400">
        <v>1979</v>
      </c>
      <c r="AH7" s="400">
        <v>1980</v>
      </c>
      <c r="AI7" s="400">
        <v>1981</v>
      </c>
      <c r="AJ7" s="400">
        <v>1982</v>
      </c>
      <c r="AK7" s="400">
        <v>1983</v>
      </c>
      <c r="AL7" s="400">
        <v>1984</v>
      </c>
      <c r="AM7" s="400">
        <v>1985</v>
      </c>
      <c r="AN7" s="400">
        <v>1986</v>
      </c>
      <c r="AO7" s="400">
        <v>1987</v>
      </c>
      <c r="AP7" s="400">
        <v>1988</v>
      </c>
      <c r="AQ7" s="400">
        <v>1989</v>
      </c>
      <c r="AR7" s="400">
        <v>1990</v>
      </c>
      <c r="AS7" s="401">
        <v>1991</v>
      </c>
      <c r="AT7" s="401">
        <v>1992</v>
      </c>
      <c r="AU7" s="401">
        <v>1993</v>
      </c>
      <c r="AV7" s="401">
        <v>1994</v>
      </c>
      <c r="AW7" s="402">
        <v>1995</v>
      </c>
    </row>
    <row r="8" spans="1:252" ht="16.5" customHeight="1" thickTop="1">
      <c r="A8" s="403" t="s">
        <v>702</v>
      </c>
      <c r="B8" s="404"/>
      <c r="C8" s="404"/>
      <c r="D8" s="404"/>
      <c r="E8" s="404"/>
      <c r="F8" s="404"/>
      <c r="G8" s="404"/>
      <c r="H8" s="404"/>
      <c r="I8" s="404"/>
      <c r="J8" s="404"/>
      <c r="K8" s="404"/>
      <c r="L8" s="404"/>
      <c r="M8" s="404"/>
      <c r="N8" s="404"/>
      <c r="O8" s="404"/>
      <c r="P8" s="404"/>
      <c r="Q8" s="404"/>
      <c r="R8" s="404"/>
      <c r="S8" s="404"/>
      <c r="T8" s="404"/>
      <c r="U8" s="404"/>
      <c r="V8" s="404"/>
      <c r="W8" s="404"/>
      <c r="X8" s="404"/>
      <c r="Y8" s="404"/>
      <c r="Z8" s="404"/>
      <c r="AA8" s="404"/>
      <c r="AB8" s="404"/>
      <c r="AC8" s="404"/>
      <c r="AD8" s="404"/>
      <c r="AE8" s="404"/>
      <c r="AF8" s="404"/>
      <c r="AG8" s="404"/>
      <c r="AH8" s="404"/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5" t="s">
        <v>637</v>
      </c>
      <c r="AT8" s="405" t="s">
        <v>637</v>
      </c>
      <c r="AU8" s="405" t="s">
        <v>637</v>
      </c>
      <c r="AV8" s="405"/>
      <c r="AW8" s="406"/>
    </row>
    <row r="9" spans="1:252" ht="13">
      <c r="A9" s="407" t="s">
        <v>703</v>
      </c>
      <c r="B9" s="408">
        <v>12285</v>
      </c>
      <c r="C9" s="408">
        <v>12343</v>
      </c>
      <c r="D9" s="408">
        <v>13371</v>
      </c>
      <c r="E9" s="408">
        <v>15652</v>
      </c>
      <c r="F9" s="408">
        <v>16097</v>
      </c>
      <c r="G9" s="408">
        <v>17565</v>
      </c>
      <c r="H9" s="408">
        <v>18662</v>
      </c>
      <c r="I9" s="408">
        <v>19079</v>
      </c>
      <c r="J9" s="408">
        <v>19724</v>
      </c>
      <c r="K9" s="408">
        <v>19730</v>
      </c>
      <c r="L9" s="408">
        <v>20105</v>
      </c>
      <c r="M9" s="408">
        <v>20677</v>
      </c>
      <c r="N9" s="408">
        <v>20624</v>
      </c>
      <c r="O9" s="408">
        <v>18300.09471478</v>
      </c>
      <c r="P9" s="408">
        <v>22942.397807880003</v>
      </c>
      <c r="Q9" s="408">
        <v>24074.998779309997</v>
      </c>
      <c r="R9" s="408">
        <v>27132.63713236</v>
      </c>
      <c r="S9" s="408">
        <v>29608</v>
      </c>
      <c r="T9" s="408">
        <v>33339</v>
      </c>
      <c r="U9" s="408">
        <v>37438</v>
      </c>
      <c r="V9" s="408">
        <v>40644</v>
      </c>
      <c r="W9" s="408">
        <v>42820</v>
      </c>
      <c r="X9" s="408">
        <v>44505</v>
      </c>
      <c r="Y9" s="408">
        <v>54555</v>
      </c>
      <c r="Z9" s="408">
        <v>62105</v>
      </c>
      <c r="AA9" s="408">
        <v>72765</v>
      </c>
      <c r="AB9" s="408">
        <v>58268</v>
      </c>
      <c r="AC9" s="408">
        <v>33132</v>
      </c>
      <c r="AD9" s="408">
        <v>7112</v>
      </c>
      <c r="AE9" s="408">
        <v>-8599</v>
      </c>
      <c r="AF9" s="408">
        <v>2466</v>
      </c>
      <c r="AG9" s="408">
        <v>22191</v>
      </c>
      <c r="AH9" s="408">
        <v>287751</v>
      </c>
      <c r="AI9" s="408">
        <v>344024</v>
      </c>
      <c r="AJ9" s="408">
        <v>472975</v>
      </c>
      <c r="AK9" s="408">
        <v>585313</v>
      </c>
      <c r="AL9" s="408">
        <v>789133</v>
      </c>
      <c r="AM9" s="408">
        <v>900271</v>
      </c>
      <c r="AN9" s="408">
        <v>838977</v>
      </c>
      <c r="AO9" s="408">
        <v>1015232</v>
      </c>
      <c r="AP9" s="408">
        <v>1510518</v>
      </c>
      <c r="AQ9" s="408">
        <v>2250532</v>
      </c>
      <c r="AR9" s="408">
        <v>2601057</v>
      </c>
      <c r="AS9" s="408">
        <v>3440962</v>
      </c>
      <c r="AT9" s="408">
        <v>3557534</v>
      </c>
      <c r="AU9" s="408">
        <v>3705620</v>
      </c>
      <c r="AV9" s="408">
        <f>+AV12-AV20</f>
        <v>3238072</v>
      </c>
      <c r="AW9" s="409">
        <f>+AW12-AW20</f>
        <v>3095755</v>
      </c>
    </row>
    <row r="10" spans="1:252" ht="13">
      <c r="A10" s="407" t="s">
        <v>704</v>
      </c>
      <c r="B10" s="408">
        <v>12957.641950586387</v>
      </c>
      <c r="C10" s="408">
        <v>12543.593950852484</v>
      </c>
      <c r="D10" s="408">
        <v>14110.737964639939</v>
      </c>
      <c r="E10" s="408">
        <v>16669.948056657293</v>
      </c>
      <c r="F10" s="408">
        <v>17196.831139039452</v>
      </c>
      <c r="G10" s="408">
        <v>18952.072061573268</v>
      </c>
      <c r="H10" s="408">
        <v>20428.468642390733</v>
      </c>
      <c r="I10" s="408">
        <v>20816.106752432985</v>
      </c>
      <c r="J10" s="408">
        <v>21522.605598082413</v>
      </c>
      <c r="K10" s="408">
        <v>21614.176897568221</v>
      </c>
      <c r="L10" s="408">
        <v>22151.663472004049</v>
      </c>
      <c r="M10" s="408">
        <v>22936.2772227858</v>
      </c>
      <c r="N10" s="408">
        <v>23090.709755795935</v>
      </c>
      <c r="O10" s="408">
        <v>20114.07626916741</v>
      </c>
      <c r="P10" s="408">
        <v>23012.741493841091</v>
      </c>
      <c r="Q10" s="408">
        <v>24207.007315662733</v>
      </c>
      <c r="R10" s="408">
        <v>27227.89217507315</v>
      </c>
      <c r="S10" s="408">
        <v>29800.165656638594</v>
      </c>
      <c r="T10" s="408">
        <v>33590.336074336825</v>
      </c>
      <c r="U10" s="408">
        <v>37634.594810693467</v>
      </c>
      <c r="V10" s="408">
        <v>45540.108825156945</v>
      </c>
      <c r="W10" s="408">
        <v>42879.040159674019</v>
      </c>
      <c r="X10" s="408">
        <v>46101.201488125669</v>
      </c>
      <c r="Y10" s="408">
        <v>56870.137248084779</v>
      </c>
      <c r="Z10" s="408">
        <v>81466.866540976276</v>
      </c>
      <c r="AA10" s="408">
        <v>118905.44148228323</v>
      </c>
      <c r="AB10" s="408">
        <v>160227.12440606399</v>
      </c>
      <c r="AC10" s="408">
        <v>101355.73714949029</v>
      </c>
      <c r="AD10" s="408">
        <v>84571</v>
      </c>
      <c r="AE10" s="408">
        <v>106377</v>
      </c>
      <c r="AF10" s="408">
        <v>180761</v>
      </c>
      <c r="AG10" s="408">
        <v>452359</v>
      </c>
      <c r="AH10" s="408">
        <v>708480</v>
      </c>
      <c r="AI10" s="408">
        <v>572387</v>
      </c>
      <c r="AJ10" s="408">
        <v>834616</v>
      </c>
      <c r="AK10" s="408">
        <v>946811</v>
      </c>
      <c r="AL10" s="408">
        <v>1025101</v>
      </c>
      <c r="AM10" s="408">
        <v>1126038</v>
      </c>
      <c r="AN10" s="408">
        <v>1234134</v>
      </c>
      <c r="AO10" s="408">
        <v>1616004</v>
      </c>
      <c r="AP10" s="408">
        <v>1719092</v>
      </c>
      <c r="AQ10" s="408">
        <v>2434518</v>
      </c>
      <c r="AR10" s="408">
        <v>2733857</v>
      </c>
      <c r="AS10" s="408">
        <v>3505316</v>
      </c>
      <c r="AT10" s="408">
        <v>3604201</v>
      </c>
      <c r="AU10" s="408">
        <v>3852159</v>
      </c>
      <c r="AV10" s="408">
        <f>+AV13-AV20</f>
        <v>3392577</v>
      </c>
      <c r="AW10" s="409">
        <f>+AW13-AW20</f>
        <v>3243838</v>
      </c>
    </row>
    <row r="11" spans="1:252" ht="18.649999999999999" customHeight="1">
      <c r="A11" s="407" t="s">
        <v>643</v>
      </c>
      <c r="B11" s="408"/>
      <c r="C11" s="408"/>
      <c r="D11" s="408"/>
      <c r="E11" s="408"/>
      <c r="F11" s="408"/>
      <c r="G11" s="408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8"/>
      <c r="AB11" s="408"/>
      <c r="AC11" s="408"/>
      <c r="AD11" s="408"/>
      <c r="AE11" s="408"/>
      <c r="AF11" s="408"/>
      <c r="AG11" s="408"/>
      <c r="AH11" s="408"/>
      <c r="AI11" s="408"/>
      <c r="AJ11" s="408"/>
      <c r="AK11" s="408"/>
      <c r="AL11" s="408"/>
      <c r="AM11" s="408"/>
      <c r="AN11" s="408"/>
      <c r="AO11" s="408"/>
      <c r="AP11" s="408"/>
      <c r="AQ11" s="408"/>
      <c r="AR11" s="408"/>
      <c r="AS11" s="408"/>
      <c r="AT11" s="408"/>
      <c r="AU11" s="408"/>
      <c r="AV11" s="408"/>
      <c r="AW11" s="409"/>
    </row>
    <row r="12" spans="1:252" ht="13">
      <c r="A12" s="407" t="s">
        <v>705</v>
      </c>
      <c r="B12" s="408">
        <v>12735</v>
      </c>
      <c r="C12" s="408">
        <v>12447</v>
      </c>
      <c r="D12" s="408">
        <v>13540</v>
      </c>
      <c r="E12" s="408">
        <v>15990</v>
      </c>
      <c r="F12" s="408">
        <v>16225</v>
      </c>
      <c r="G12" s="408">
        <v>17718</v>
      </c>
      <c r="H12" s="408">
        <v>18865</v>
      </c>
      <c r="I12" s="408">
        <v>19328</v>
      </c>
      <c r="J12" s="408">
        <v>19939</v>
      </c>
      <c r="K12" s="408">
        <v>19763</v>
      </c>
      <c r="L12" s="408">
        <v>20395</v>
      </c>
      <c r="M12" s="408">
        <v>21091</v>
      </c>
      <c r="N12" s="408">
        <v>20671</v>
      </c>
      <c r="O12" s="408">
        <v>18542.511153380001</v>
      </c>
      <c r="P12" s="408">
        <v>23230.703066000002</v>
      </c>
      <c r="Q12" s="408">
        <v>24679.623278899999</v>
      </c>
      <c r="R12" s="408">
        <v>27836.2458596</v>
      </c>
      <c r="S12" s="408">
        <v>31926</v>
      </c>
      <c r="T12" s="408">
        <v>35879</v>
      </c>
      <c r="U12" s="408">
        <v>40054</v>
      </c>
      <c r="V12" s="408">
        <v>43522</v>
      </c>
      <c r="W12" s="408">
        <v>45551</v>
      </c>
      <c r="X12" s="408">
        <v>46952</v>
      </c>
      <c r="Y12" s="408">
        <v>58001</v>
      </c>
      <c r="Z12" s="408">
        <v>67021</v>
      </c>
      <c r="AA12" s="408">
        <v>76440</v>
      </c>
      <c r="AB12" s="408">
        <v>61348</v>
      </c>
      <c r="AC12" s="408">
        <v>42367</v>
      </c>
      <c r="AD12" s="408">
        <v>44076</v>
      </c>
      <c r="AE12" s="408">
        <v>57810</v>
      </c>
      <c r="AF12" s="408">
        <v>88830</v>
      </c>
      <c r="AG12" s="408">
        <v>100213</v>
      </c>
      <c r="AH12" s="408">
        <v>345395</v>
      </c>
      <c r="AI12" s="408">
        <v>405793</v>
      </c>
      <c r="AJ12" s="408">
        <v>546580</v>
      </c>
      <c r="AK12" s="408">
        <v>738892</v>
      </c>
      <c r="AL12" s="408">
        <v>967337</v>
      </c>
      <c r="AM12" s="408">
        <v>1035859</v>
      </c>
      <c r="AN12" s="408">
        <v>966100</v>
      </c>
      <c r="AO12" s="408">
        <v>1100374</v>
      </c>
      <c r="AP12" s="408">
        <v>1518161</v>
      </c>
      <c r="AQ12" s="408">
        <v>2271646</v>
      </c>
      <c r="AR12" s="408">
        <v>2625775</v>
      </c>
      <c r="AS12" s="408">
        <v>3453556</v>
      </c>
      <c r="AT12" s="408">
        <v>3571082</v>
      </c>
      <c r="AU12" s="408">
        <v>3713981</v>
      </c>
      <c r="AV12" s="408">
        <f>+AV15+AV17+AV18+AV19</f>
        <v>3295675</v>
      </c>
      <c r="AW12" s="409">
        <f>+AW15+AW17+AW18+AW19</f>
        <v>3137293</v>
      </c>
    </row>
    <row r="13" spans="1:252" ht="13">
      <c r="A13" s="407" t="s">
        <v>706</v>
      </c>
      <c r="B13" s="408">
        <v>13407.641950586387</v>
      </c>
      <c r="C13" s="408">
        <v>12647.593950852484</v>
      </c>
      <c r="D13" s="408">
        <v>14279.737964639939</v>
      </c>
      <c r="E13" s="408">
        <v>17007.948056657293</v>
      </c>
      <c r="F13" s="408">
        <v>17324.831139039452</v>
      </c>
      <c r="G13" s="408">
        <v>19105.072061573268</v>
      </c>
      <c r="H13" s="408">
        <v>20631.468642390733</v>
      </c>
      <c r="I13" s="408">
        <v>21065.106752432985</v>
      </c>
      <c r="J13" s="408">
        <v>21737.605598082413</v>
      </c>
      <c r="K13" s="408">
        <v>21647.176897568221</v>
      </c>
      <c r="L13" s="408">
        <v>22441.663472004049</v>
      </c>
      <c r="M13" s="408">
        <v>23350.2772227858</v>
      </c>
      <c r="N13" s="408">
        <v>23137.709755795935</v>
      </c>
      <c r="O13" s="408">
        <v>20356.492707767411</v>
      </c>
      <c r="P13" s="408">
        <v>23301.04675196109</v>
      </c>
      <c r="Q13" s="408">
        <v>24811.631815252735</v>
      </c>
      <c r="R13" s="408">
        <v>27931.50090231315</v>
      </c>
      <c r="S13" s="408">
        <v>32118.165656638594</v>
      </c>
      <c r="T13" s="408">
        <v>36130.336074336825</v>
      </c>
      <c r="U13" s="408">
        <v>40250.594810693467</v>
      </c>
      <c r="V13" s="408">
        <v>48418.108825156945</v>
      </c>
      <c r="W13" s="408">
        <v>45610.040159674019</v>
      </c>
      <c r="X13" s="408">
        <v>48548.201488125669</v>
      </c>
      <c r="Y13" s="408">
        <v>60316.137248084779</v>
      </c>
      <c r="Z13" s="408">
        <v>86382.866540976276</v>
      </c>
      <c r="AA13" s="408">
        <v>122580.44148228323</v>
      </c>
      <c r="AB13" s="408">
        <v>163307.12440606399</v>
      </c>
      <c r="AC13" s="408">
        <v>110590.73714949029</v>
      </c>
      <c r="AD13" s="408">
        <v>121535</v>
      </c>
      <c r="AE13" s="408">
        <v>172786</v>
      </c>
      <c r="AF13" s="408">
        <v>267125</v>
      </c>
      <c r="AG13" s="408">
        <v>530381</v>
      </c>
      <c r="AH13" s="408">
        <v>766124</v>
      </c>
      <c r="AI13" s="408">
        <v>634156</v>
      </c>
      <c r="AJ13" s="408">
        <v>908221</v>
      </c>
      <c r="AK13" s="408">
        <v>1100390</v>
      </c>
      <c r="AL13" s="408">
        <v>1203305</v>
      </c>
      <c r="AM13" s="408">
        <v>1261626</v>
      </c>
      <c r="AN13" s="408">
        <v>1361257</v>
      </c>
      <c r="AO13" s="408">
        <v>1701146</v>
      </c>
      <c r="AP13" s="408">
        <v>1726735</v>
      </c>
      <c r="AQ13" s="408">
        <v>2455632</v>
      </c>
      <c r="AR13" s="408">
        <v>2758575</v>
      </c>
      <c r="AS13" s="408">
        <v>3517910</v>
      </c>
      <c r="AT13" s="408">
        <v>3617749</v>
      </c>
      <c r="AU13" s="408">
        <v>3860520</v>
      </c>
      <c r="AV13" s="408">
        <f>+AV16+AV17+AV18+AV19</f>
        <v>3450180</v>
      </c>
      <c r="AW13" s="409">
        <f>+AW16+AW17+AW18+AW19</f>
        <v>3285376</v>
      </c>
    </row>
    <row r="14" spans="1:252" ht="13">
      <c r="A14" s="407" t="s">
        <v>707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9"/>
    </row>
    <row r="15" spans="1:252" ht="13">
      <c r="A15" s="407" t="s">
        <v>708</v>
      </c>
      <c r="B15" s="408">
        <v>5196</v>
      </c>
      <c r="C15" s="408">
        <v>4411</v>
      </c>
      <c r="D15" s="408">
        <v>4773</v>
      </c>
      <c r="E15" s="408">
        <v>6565</v>
      </c>
      <c r="F15" s="408">
        <v>7093</v>
      </c>
      <c r="G15" s="408">
        <v>8950</v>
      </c>
      <c r="H15" s="408">
        <v>10638</v>
      </c>
      <c r="I15" s="408">
        <v>10610</v>
      </c>
      <c r="J15" s="408">
        <v>11125</v>
      </c>
      <c r="K15" s="408">
        <v>11442</v>
      </c>
      <c r="L15" s="408">
        <v>12233</v>
      </c>
      <c r="M15" s="408">
        <v>13590</v>
      </c>
      <c r="N15" s="408">
        <v>13690</v>
      </c>
      <c r="O15" s="408">
        <v>10998</v>
      </c>
      <c r="P15" s="408">
        <v>13539</v>
      </c>
      <c r="Q15" s="408">
        <v>14295</v>
      </c>
      <c r="R15" s="408">
        <v>15045</v>
      </c>
      <c r="S15" s="408">
        <v>16549</v>
      </c>
      <c r="T15" s="408">
        <v>18483</v>
      </c>
      <c r="U15" s="408">
        <v>20104</v>
      </c>
      <c r="V15" s="408">
        <v>24619</v>
      </c>
      <c r="W15" s="408">
        <v>25164</v>
      </c>
      <c r="X15" s="408">
        <v>25927</v>
      </c>
      <c r="Y15" s="408">
        <v>27245</v>
      </c>
      <c r="Z15" s="408">
        <v>27836</v>
      </c>
      <c r="AA15" s="408">
        <v>29653</v>
      </c>
      <c r="AB15" s="408">
        <v>29973</v>
      </c>
      <c r="AC15" s="408">
        <v>31068</v>
      </c>
      <c r="AD15" s="408">
        <v>35503</v>
      </c>
      <c r="AE15" s="408">
        <v>40850</v>
      </c>
      <c r="AF15" s="408">
        <v>46436</v>
      </c>
      <c r="AG15" s="408">
        <v>50796</v>
      </c>
      <c r="AH15" s="408">
        <v>299721</v>
      </c>
      <c r="AI15" s="408">
        <v>368244</v>
      </c>
      <c r="AJ15" s="408">
        <v>501556</v>
      </c>
      <c r="AK15" s="408">
        <v>684746</v>
      </c>
      <c r="AL15" s="408">
        <v>875842</v>
      </c>
      <c r="AM15" s="408">
        <v>811974</v>
      </c>
      <c r="AN15" s="408">
        <v>750873</v>
      </c>
      <c r="AO15" s="408">
        <v>664190</v>
      </c>
      <c r="AP15" s="408">
        <v>759735</v>
      </c>
      <c r="AQ15" s="408">
        <v>776828</v>
      </c>
      <c r="AR15" s="408">
        <v>683030</v>
      </c>
      <c r="AS15" s="408">
        <v>687717</v>
      </c>
      <c r="AT15" s="408">
        <v>761327</v>
      </c>
      <c r="AU15" s="408">
        <v>917396</v>
      </c>
      <c r="AV15" s="408">
        <v>825560</v>
      </c>
      <c r="AW15" s="409">
        <v>775339</v>
      </c>
    </row>
    <row r="16" spans="1:252" ht="13">
      <c r="A16" s="407" t="s">
        <v>709</v>
      </c>
      <c r="B16" s="410">
        <v>5868.6419505863869</v>
      </c>
      <c r="C16" s="410">
        <v>4611.5939508524843</v>
      </c>
      <c r="D16" s="410">
        <v>5512.7379646399386</v>
      </c>
      <c r="E16" s="410">
        <v>7582.948056657292</v>
      </c>
      <c r="F16" s="410">
        <v>8192.8311390394538</v>
      </c>
      <c r="G16" s="410">
        <v>10337.072061573268</v>
      </c>
      <c r="H16" s="410">
        <v>12404.468642390733</v>
      </c>
      <c r="I16" s="410">
        <v>12347.106752432983</v>
      </c>
      <c r="J16" s="410">
        <v>12923.605598082413</v>
      </c>
      <c r="K16" s="410">
        <v>13326.176897568219</v>
      </c>
      <c r="L16" s="410">
        <v>14279.663472004049</v>
      </c>
      <c r="M16" s="410">
        <v>15849.277222785802</v>
      </c>
      <c r="N16" s="410">
        <v>16156.709755795935</v>
      </c>
      <c r="O16" s="410">
        <v>12811.981554387412</v>
      </c>
      <c r="P16" s="410">
        <v>13609.343685961092</v>
      </c>
      <c r="Q16" s="410">
        <v>14427.008536352736</v>
      </c>
      <c r="R16" s="410">
        <v>15140.255042713152</v>
      </c>
      <c r="S16" s="410">
        <v>16741.165656638594</v>
      </c>
      <c r="T16" s="410">
        <v>18734.336074336821</v>
      </c>
      <c r="U16" s="410">
        <v>20300.594810693463</v>
      </c>
      <c r="V16" s="410">
        <v>29515.108825156945</v>
      </c>
      <c r="W16" s="410">
        <v>25223.040159674019</v>
      </c>
      <c r="X16" s="410">
        <v>27523.201488125669</v>
      </c>
      <c r="Y16" s="410">
        <v>29560.137248084782</v>
      </c>
      <c r="Z16" s="410">
        <v>47197.866540976276</v>
      </c>
      <c r="AA16" s="410">
        <v>75793.441482283233</v>
      </c>
      <c r="AB16" s="410">
        <v>131932.12440606399</v>
      </c>
      <c r="AC16" s="410">
        <v>99291.737149490291</v>
      </c>
      <c r="AD16" s="408">
        <v>112962</v>
      </c>
      <c r="AE16" s="408">
        <v>155826</v>
      </c>
      <c r="AF16" s="408">
        <v>224731</v>
      </c>
      <c r="AG16" s="408">
        <v>480964</v>
      </c>
      <c r="AH16" s="408">
        <v>720450</v>
      </c>
      <c r="AI16" s="408">
        <v>596607</v>
      </c>
      <c r="AJ16" s="408">
        <v>863197</v>
      </c>
      <c r="AK16" s="408">
        <v>1046244</v>
      </c>
      <c r="AL16" s="408">
        <v>1111810</v>
      </c>
      <c r="AM16" s="408">
        <v>1037741</v>
      </c>
      <c r="AN16" s="408">
        <v>1146030</v>
      </c>
      <c r="AO16" s="408">
        <v>1264962</v>
      </c>
      <c r="AP16" s="408">
        <v>968309</v>
      </c>
      <c r="AQ16" s="408">
        <v>960814</v>
      </c>
      <c r="AR16" s="408">
        <v>815830</v>
      </c>
      <c r="AS16" s="408">
        <v>752071</v>
      </c>
      <c r="AT16" s="408">
        <v>807994</v>
      </c>
      <c r="AU16" s="408">
        <v>1063935</v>
      </c>
      <c r="AV16" s="408">
        <v>980065</v>
      </c>
      <c r="AW16" s="409">
        <v>923422</v>
      </c>
      <c r="AX16" s="411"/>
      <c r="AY16" s="411"/>
      <c r="AZ16" s="411"/>
      <c r="BA16" s="411"/>
      <c r="BB16" s="411"/>
      <c r="BC16" s="411"/>
      <c r="BD16" s="411"/>
      <c r="BE16" s="411"/>
      <c r="BF16" s="411"/>
      <c r="BG16" s="411"/>
      <c r="BH16" s="411"/>
      <c r="BI16" s="411"/>
      <c r="BJ16" s="411"/>
      <c r="BK16" s="411"/>
      <c r="BL16" s="411"/>
      <c r="BM16" s="411"/>
      <c r="BN16" s="411"/>
      <c r="BO16" s="411"/>
      <c r="BP16" s="411"/>
      <c r="BQ16" s="411"/>
      <c r="BR16" s="411"/>
      <c r="BS16" s="411"/>
      <c r="BT16" s="411"/>
      <c r="BU16" s="411"/>
      <c r="BV16" s="411"/>
      <c r="BW16" s="411"/>
      <c r="BX16" s="411"/>
      <c r="BY16" s="411"/>
      <c r="BZ16" s="411"/>
      <c r="CA16" s="411"/>
      <c r="CB16" s="411"/>
      <c r="CC16" s="411"/>
      <c r="CD16" s="411"/>
      <c r="CE16" s="411"/>
      <c r="CF16" s="411"/>
      <c r="CG16" s="411"/>
      <c r="CH16" s="411"/>
      <c r="CI16" s="411"/>
      <c r="CJ16" s="411"/>
      <c r="CK16" s="411"/>
      <c r="CL16" s="411"/>
      <c r="CM16" s="411"/>
      <c r="CN16" s="411"/>
      <c r="CO16" s="411"/>
      <c r="CP16" s="411"/>
      <c r="CQ16" s="411"/>
      <c r="CR16" s="411"/>
      <c r="CS16" s="411"/>
      <c r="CT16" s="411"/>
      <c r="CU16" s="411"/>
      <c r="CV16" s="411"/>
      <c r="CW16" s="411"/>
      <c r="CX16" s="411"/>
      <c r="CY16" s="411"/>
      <c r="CZ16" s="411"/>
      <c r="DA16" s="411"/>
      <c r="DB16" s="411"/>
      <c r="DC16" s="411"/>
      <c r="DD16" s="411"/>
      <c r="DE16" s="411"/>
      <c r="DF16" s="411"/>
      <c r="DG16" s="411"/>
      <c r="DH16" s="411"/>
      <c r="DI16" s="411"/>
      <c r="DJ16" s="411"/>
      <c r="DK16" s="411"/>
      <c r="DL16" s="411"/>
      <c r="DM16" s="411"/>
      <c r="DN16" s="411"/>
      <c r="DO16" s="411"/>
      <c r="DP16" s="411"/>
      <c r="DQ16" s="411"/>
      <c r="DR16" s="411"/>
      <c r="DS16" s="411"/>
      <c r="DT16" s="411"/>
      <c r="DU16" s="411"/>
      <c r="DV16" s="411"/>
      <c r="DW16" s="411"/>
      <c r="DX16" s="411"/>
      <c r="DY16" s="411"/>
      <c r="DZ16" s="411"/>
      <c r="EA16" s="411"/>
      <c r="EB16" s="411"/>
      <c r="EC16" s="411"/>
      <c r="ED16" s="411"/>
      <c r="EE16" s="411"/>
      <c r="EF16" s="411"/>
      <c r="EG16" s="411"/>
      <c r="EH16" s="411"/>
      <c r="EI16" s="411"/>
      <c r="EJ16" s="411"/>
      <c r="EK16" s="411"/>
      <c r="EL16" s="411"/>
      <c r="EM16" s="411"/>
      <c r="EN16" s="411"/>
      <c r="EO16" s="411"/>
      <c r="EP16" s="411"/>
      <c r="EQ16" s="411"/>
      <c r="ER16" s="411"/>
      <c r="ES16" s="411"/>
      <c r="ET16" s="411"/>
      <c r="EU16" s="411"/>
      <c r="EV16" s="411"/>
      <c r="EW16" s="411"/>
      <c r="EX16" s="411"/>
      <c r="EY16" s="411"/>
      <c r="EZ16" s="411"/>
      <c r="FA16" s="411"/>
      <c r="FB16" s="411"/>
      <c r="FC16" s="411"/>
      <c r="FD16" s="411"/>
      <c r="FE16" s="411"/>
      <c r="FF16" s="411"/>
      <c r="FG16" s="411"/>
      <c r="FH16" s="411"/>
      <c r="FI16" s="411"/>
      <c r="FJ16" s="411"/>
      <c r="FK16" s="411"/>
      <c r="FL16" s="411"/>
      <c r="FM16" s="411"/>
      <c r="FN16" s="411"/>
      <c r="FO16" s="411"/>
      <c r="FP16" s="411"/>
      <c r="FQ16" s="411"/>
      <c r="FR16" s="411"/>
      <c r="FS16" s="411"/>
      <c r="FT16" s="411"/>
      <c r="FU16" s="411"/>
      <c r="FV16" s="411"/>
      <c r="FW16" s="411"/>
      <c r="FX16" s="411"/>
      <c r="FY16" s="411"/>
      <c r="FZ16" s="411"/>
      <c r="GA16" s="411"/>
      <c r="GB16" s="411"/>
      <c r="GC16" s="411"/>
      <c r="GD16" s="411"/>
      <c r="GE16" s="411"/>
      <c r="GF16" s="411"/>
      <c r="GG16" s="411"/>
      <c r="GH16" s="411"/>
      <c r="GI16" s="411"/>
      <c r="GJ16" s="411"/>
      <c r="GK16" s="411"/>
      <c r="GL16" s="411"/>
      <c r="GM16" s="411"/>
      <c r="GN16" s="411"/>
      <c r="GO16" s="411"/>
      <c r="GP16" s="411"/>
      <c r="GQ16" s="411"/>
      <c r="GR16" s="411"/>
      <c r="GS16" s="411"/>
      <c r="GT16" s="411"/>
      <c r="GU16" s="411"/>
      <c r="GV16" s="411"/>
      <c r="GW16" s="411"/>
      <c r="GX16" s="411"/>
      <c r="GY16" s="411"/>
      <c r="GZ16" s="411"/>
      <c r="HA16" s="411"/>
      <c r="HB16" s="411"/>
      <c r="HC16" s="411"/>
      <c r="HD16" s="411"/>
      <c r="HE16" s="411"/>
      <c r="HF16" s="411"/>
      <c r="HG16" s="411"/>
      <c r="HH16" s="411"/>
      <c r="HI16" s="411"/>
      <c r="HJ16" s="411"/>
      <c r="HK16" s="411"/>
      <c r="HL16" s="411"/>
      <c r="HM16" s="411"/>
      <c r="HN16" s="411"/>
      <c r="HO16" s="411"/>
      <c r="HP16" s="411"/>
      <c r="HQ16" s="411"/>
      <c r="HR16" s="411"/>
      <c r="HS16" s="411"/>
      <c r="HT16" s="411"/>
      <c r="HU16" s="411"/>
      <c r="HV16" s="411"/>
      <c r="HW16" s="411"/>
      <c r="HX16" s="411"/>
      <c r="HY16" s="411"/>
      <c r="HZ16" s="411"/>
      <c r="IA16" s="411"/>
      <c r="IB16" s="411"/>
      <c r="IC16" s="411"/>
      <c r="ID16" s="411"/>
      <c r="IE16" s="411"/>
      <c r="IF16" s="411"/>
      <c r="IG16" s="411"/>
      <c r="IH16" s="411"/>
      <c r="II16" s="411"/>
      <c r="IJ16" s="411"/>
      <c r="IK16" s="411"/>
      <c r="IL16" s="411"/>
      <c r="IM16" s="411"/>
      <c r="IN16" s="411"/>
      <c r="IO16" s="411"/>
      <c r="IP16" s="411"/>
      <c r="IQ16" s="411"/>
      <c r="IR16" s="411"/>
    </row>
    <row r="17" spans="1:49" ht="13">
      <c r="A17" s="407" t="s">
        <v>710</v>
      </c>
      <c r="B17" s="408">
        <v>4062</v>
      </c>
      <c r="C17" s="408">
        <v>5127</v>
      </c>
      <c r="D17" s="408">
        <v>5144</v>
      </c>
      <c r="E17" s="408">
        <v>4928</v>
      </c>
      <c r="F17" s="408">
        <v>4536</v>
      </c>
      <c r="G17" s="408">
        <v>3647</v>
      </c>
      <c r="H17" s="408">
        <v>2590</v>
      </c>
      <c r="I17" s="408">
        <v>2978</v>
      </c>
      <c r="J17" s="408">
        <v>2979</v>
      </c>
      <c r="K17" s="408">
        <v>2840</v>
      </c>
      <c r="L17" s="408">
        <v>3036</v>
      </c>
      <c r="M17" s="408">
        <v>2729</v>
      </c>
      <c r="N17" s="408">
        <v>2561</v>
      </c>
      <c r="O17" s="408">
        <v>3106.5834362800001</v>
      </c>
      <c r="P17" s="408">
        <v>5549.2856750999999</v>
      </c>
      <c r="Q17" s="408">
        <v>6147.7162141999997</v>
      </c>
      <c r="R17" s="408">
        <v>8982.6491210999993</v>
      </c>
      <c r="S17" s="408">
        <v>10052</v>
      </c>
      <c r="T17" s="408">
        <v>11991</v>
      </c>
      <c r="U17" s="408">
        <v>14877</v>
      </c>
      <c r="V17" s="408">
        <v>14093</v>
      </c>
      <c r="W17" s="408">
        <v>15908</v>
      </c>
      <c r="X17" s="408">
        <v>16848</v>
      </c>
      <c r="Y17" s="408">
        <v>25458</v>
      </c>
      <c r="Z17" s="408">
        <v>34362</v>
      </c>
      <c r="AA17" s="408">
        <v>41985</v>
      </c>
      <c r="AB17" s="408">
        <v>26627</v>
      </c>
      <c r="AC17" s="408">
        <v>10678.486389</v>
      </c>
      <c r="AD17" s="408">
        <v>7856</v>
      </c>
      <c r="AE17" s="408">
        <v>16644</v>
      </c>
      <c r="AF17" s="408">
        <v>40088</v>
      </c>
      <c r="AG17" s="408">
        <v>46236</v>
      </c>
      <c r="AH17" s="408">
        <v>39387</v>
      </c>
      <c r="AI17" s="408">
        <v>30464</v>
      </c>
      <c r="AJ17" s="408">
        <v>34796</v>
      </c>
      <c r="AK17" s="408">
        <v>46356</v>
      </c>
      <c r="AL17" s="408">
        <v>80370</v>
      </c>
      <c r="AM17" s="408">
        <v>212186</v>
      </c>
      <c r="AN17" s="408">
        <v>198047</v>
      </c>
      <c r="AO17" s="408">
        <v>416768</v>
      </c>
      <c r="AP17" s="408">
        <v>462252</v>
      </c>
      <c r="AQ17" s="408">
        <v>1143489</v>
      </c>
      <c r="AR17" s="408">
        <v>1550985</v>
      </c>
      <c r="AS17" s="408">
        <v>2360596</v>
      </c>
      <c r="AT17" s="408">
        <v>2444814</v>
      </c>
      <c r="AU17" s="408">
        <v>2331708</v>
      </c>
      <c r="AV17" s="408">
        <v>2027550</v>
      </c>
      <c r="AW17" s="409">
        <v>1955446</v>
      </c>
    </row>
    <row r="18" spans="1:49" ht="13">
      <c r="A18" s="407" t="s">
        <v>711</v>
      </c>
      <c r="B18" s="408">
        <v>0</v>
      </c>
      <c r="C18" s="408">
        <v>0</v>
      </c>
      <c r="D18" s="408">
        <v>0</v>
      </c>
      <c r="E18" s="408">
        <v>0</v>
      </c>
      <c r="F18" s="408">
        <v>0</v>
      </c>
      <c r="G18" s="408">
        <v>0</v>
      </c>
      <c r="H18" s="408">
        <v>0</v>
      </c>
      <c r="I18" s="408">
        <v>0</v>
      </c>
      <c r="J18" s="408">
        <v>0</v>
      </c>
      <c r="K18" s="408">
        <v>0</v>
      </c>
      <c r="L18" s="408">
        <v>0</v>
      </c>
      <c r="M18" s="408">
        <v>0</v>
      </c>
      <c r="N18" s="408">
        <v>0</v>
      </c>
      <c r="O18" s="408">
        <v>0</v>
      </c>
      <c r="P18" s="408">
        <v>0</v>
      </c>
      <c r="Q18" s="408">
        <v>0</v>
      </c>
      <c r="R18" s="408">
        <v>0</v>
      </c>
      <c r="S18" s="408">
        <v>0</v>
      </c>
      <c r="T18" s="408">
        <v>0</v>
      </c>
      <c r="U18" s="408">
        <v>0</v>
      </c>
      <c r="V18" s="408">
        <v>0</v>
      </c>
      <c r="W18" s="408">
        <v>0</v>
      </c>
      <c r="X18" s="408">
        <v>0</v>
      </c>
      <c r="Y18" s="408">
        <v>0</v>
      </c>
      <c r="Z18" s="408">
        <v>0</v>
      </c>
      <c r="AA18" s="408">
        <v>0</v>
      </c>
      <c r="AB18" s="408">
        <v>0</v>
      </c>
      <c r="AC18" s="408">
        <v>0</v>
      </c>
      <c r="AD18" s="408">
        <v>0</v>
      </c>
      <c r="AE18" s="408">
        <v>0</v>
      </c>
      <c r="AF18" s="408">
        <v>0</v>
      </c>
      <c r="AG18" s="408">
        <v>0</v>
      </c>
      <c r="AH18" s="408">
        <v>0</v>
      </c>
      <c r="AI18" s="408">
        <v>0</v>
      </c>
      <c r="AJ18" s="408">
        <v>0</v>
      </c>
      <c r="AK18" s="408">
        <v>0</v>
      </c>
      <c r="AL18" s="408">
        <v>0</v>
      </c>
      <c r="AM18" s="408">
        <v>0</v>
      </c>
      <c r="AN18" s="408">
        <v>0</v>
      </c>
      <c r="AO18" s="408">
        <v>0</v>
      </c>
      <c r="AP18" s="408">
        <v>281770</v>
      </c>
      <c r="AQ18" s="408">
        <v>330111</v>
      </c>
      <c r="AR18" s="408">
        <v>358485</v>
      </c>
      <c r="AS18" s="408">
        <v>353852</v>
      </c>
      <c r="AT18" s="408">
        <v>309502</v>
      </c>
      <c r="AU18" s="408">
        <v>398714</v>
      </c>
      <c r="AV18" s="408">
        <v>374830</v>
      </c>
      <c r="AW18" s="409">
        <v>321398</v>
      </c>
    </row>
    <row r="19" spans="1:49" ht="13">
      <c r="A19" s="407" t="s">
        <v>712</v>
      </c>
      <c r="B19" s="408">
        <v>3477</v>
      </c>
      <c r="C19" s="408">
        <v>2909</v>
      </c>
      <c r="D19" s="408">
        <v>3623</v>
      </c>
      <c r="E19" s="408">
        <v>4497</v>
      </c>
      <c r="F19" s="408">
        <v>4596</v>
      </c>
      <c r="G19" s="408">
        <v>5121</v>
      </c>
      <c r="H19" s="408">
        <v>5637</v>
      </c>
      <c r="I19" s="408">
        <v>5740</v>
      </c>
      <c r="J19" s="408">
        <v>5835</v>
      </c>
      <c r="K19" s="408">
        <v>5481</v>
      </c>
      <c r="L19" s="408">
        <v>5126</v>
      </c>
      <c r="M19" s="408">
        <v>4772</v>
      </c>
      <c r="N19" s="408">
        <v>4420</v>
      </c>
      <c r="O19" s="408">
        <v>4437.9277170999994</v>
      </c>
      <c r="P19" s="408">
        <v>4142.4173909000001</v>
      </c>
      <c r="Q19" s="408">
        <v>4236.9070646999999</v>
      </c>
      <c r="R19" s="408">
        <v>3808.5967384999999</v>
      </c>
      <c r="S19" s="408">
        <v>5325</v>
      </c>
      <c r="T19" s="408">
        <v>5405</v>
      </c>
      <c r="U19" s="408">
        <v>5073</v>
      </c>
      <c r="V19" s="408">
        <v>4810</v>
      </c>
      <c r="W19" s="408">
        <v>4479</v>
      </c>
      <c r="X19" s="408">
        <v>4177</v>
      </c>
      <c r="Y19" s="408">
        <v>5298</v>
      </c>
      <c r="Z19" s="408">
        <v>4823</v>
      </c>
      <c r="AA19" s="408">
        <v>4802</v>
      </c>
      <c r="AB19" s="408">
        <v>4748</v>
      </c>
      <c r="AC19" s="408">
        <v>620.51361099999997</v>
      </c>
      <c r="AD19" s="408">
        <v>717</v>
      </c>
      <c r="AE19" s="408">
        <v>316</v>
      </c>
      <c r="AF19" s="408">
        <v>2306</v>
      </c>
      <c r="AG19" s="408">
        <v>3181</v>
      </c>
      <c r="AH19" s="408">
        <v>6287</v>
      </c>
      <c r="AI19" s="408">
        <v>7085</v>
      </c>
      <c r="AJ19" s="408">
        <v>10228</v>
      </c>
      <c r="AK19" s="408">
        <v>7790</v>
      </c>
      <c r="AL19" s="408">
        <v>11125</v>
      </c>
      <c r="AM19" s="408">
        <v>11699</v>
      </c>
      <c r="AN19" s="408">
        <v>17180</v>
      </c>
      <c r="AO19" s="408">
        <v>19416</v>
      </c>
      <c r="AP19" s="408">
        <v>14404</v>
      </c>
      <c r="AQ19" s="408">
        <v>21218</v>
      </c>
      <c r="AR19" s="408">
        <v>33275</v>
      </c>
      <c r="AS19" s="408">
        <v>51391</v>
      </c>
      <c r="AT19" s="408">
        <v>55439</v>
      </c>
      <c r="AU19" s="408">
        <v>66163</v>
      </c>
      <c r="AV19" s="408">
        <v>67735</v>
      </c>
      <c r="AW19" s="409">
        <v>85110</v>
      </c>
    </row>
    <row r="20" spans="1:49" ht="13.9" customHeight="1" thickBot="1">
      <c r="A20" s="407" t="s">
        <v>644</v>
      </c>
      <c r="B20" s="408">
        <v>450</v>
      </c>
      <c r="C20" s="408">
        <v>104</v>
      </c>
      <c r="D20" s="408">
        <v>169</v>
      </c>
      <c r="E20" s="408">
        <v>338</v>
      </c>
      <c r="F20" s="408">
        <v>128</v>
      </c>
      <c r="G20" s="408">
        <v>153</v>
      </c>
      <c r="H20" s="408">
        <v>203</v>
      </c>
      <c r="I20" s="408">
        <v>249</v>
      </c>
      <c r="J20" s="408">
        <v>215</v>
      </c>
      <c r="K20" s="408">
        <v>33</v>
      </c>
      <c r="L20" s="408">
        <v>290</v>
      </c>
      <c r="M20" s="408">
        <v>414</v>
      </c>
      <c r="N20" s="408">
        <v>47</v>
      </c>
      <c r="O20" s="408">
        <v>242.41643859999999</v>
      </c>
      <c r="P20" s="408">
        <v>288.30525812000002</v>
      </c>
      <c r="Q20" s="408">
        <v>604.62449959000003</v>
      </c>
      <c r="R20" s="408">
        <v>703.60872724000001</v>
      </c>
      <c r="S20" s="408">
        <v>2318</v>
      </c>
      <c r="T20" s="408">
        <v>2540</v>
      </c>
      <c r="U20" s="408">
        <v>2616</v>
      </c>
      <c r="V20" s="408">
        <v>2878</v>
      </c>
      <c r="W20" s="408">
        <v>2731</v>
      </c>
      <c r="X20" s="408">
        <v>2447</v>
      </c>
      <c r="Y20" s="408">
        <v>3446</v>
      </c>
      <c r="Z20" s="408">
        <v>4916</v>
      </c>
      <c r="AA20" s="408">
        <v>3675</v>
      </c>
      <c r="AB20" s="408">
        <v>3080</v>
      </c>
      <c r="AC20" s="408">
        <v>9235</v>
      </c>
      <c r="AD20" s="408">
        <v>36964</v>
      </c>
      <c r="AE20" s="408">
        <v>66409</v>
      </c>
      <c r="AF20" s="408">
        <v>86364</v>
      </c>
      <c r="AG20" s="408">
        <v>78022</v>
      </c>
      <c r="AH20" s="408">
        <v>57644</v>
      </c>
      <c r="AI20" s="408">
        <v>61769</v>
      </c>
      <c r="AJ20" s="408">
        <v>73605</v>
      </c>
      <c r="AK20" s="408">
        <v>153579</v>
      </c>
      <c r="AL20" s="408">
        <v>178204</v>
      </c>
      <c r="AM20" s="408">
        <v>135588</v>
      </c>
      <c r="AN20" s="408">
        <v>127123</v>
      </c>
      <c r="AO20" s="408">
        <v>85142</v>
      </c>
      <c r="AP20" s="408">
        <v>7643</v>
      </c>
      <c r="AQ20" s="408">
        <v>21114</v>
      </c>
      <c r="AR20" s="408">
        <v>24718</v>
      </c>
      <c r="AS20" s="408">
        <v>12594</v>
      </c>
      <c r="AT20" s="408">
        <v>13548</v>
      </c>
      <c r="AU20" s="408">
        <v>8361</v>
      </c>
      <c r="AV20" s="408">
        <v>57603</v>
      </c>
      <c r="AW20" s="409">
        <v>41538</v>
      </c>
    </row>
    <row r="21" spans="1:49" ht="13.5" thickTop="1">
      <c r="A21" s="412"/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3"/>
      <c r="T21" s="413"/>
      <c r="U21" s="413"/>
      <c r="V21" s="413"/>
      <c r="W21" s="413"/>
      <c r="X21" s="413"/>
      <c r="Y21" s="413"/>
      <c r="Z21" s="413"/>
      <c r="AA21" s="413"/>
      <c r="AB21" s="413"/>
      <c r="AC21" s="413"/>
      <c r="AD21" s="413"/>
      <c r="AE21" s="413"/>
      <c r="AF21" s="413"/>
      <c r="AG21" s="413"/>
      <c r="AH21" s="413"/>
      <c r="AI21" s="413"/>
      <c r="AJ21" s="413"/>
      <c r="AK21" s="413"/>
      <c r="AL21" s="413"/>
      <c r="AM21" s="413"/>
      <c r="AN21" s="413"/>
      <c r="AO21" s="413"/>
      <c r="AP21" s="413"/>
      <c r="AQ21" s="413"/>
      <c r="AR21" s="413"/>
      <c r="AS21" s="413"/>
      <c r="AT21" s="413"/>
      <c r="AU21" s="413"/>
      <c r="AV21" s="413"/>
      <c r="AW21" s="413"/>
    </row>
  </sheetData>
  <pageMargins left="2.77" right="0.75" top="1" bottom="1" header="0.5" footer="0.5"/>
  <pageSetup paperSize="9" scale="120" orientation="landscape" horizontalDpi="4294967292" verticalDpi="429496729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DA87-51F4-40F6-ACC3-897D7C286D1D}">
  <dimension ref="A1:IV71"/>
  <sheetViews>
    <sheetView showGridLines="0" workbookViewId="0">
      <selection activeCell="A57" sqref="A57"/>
    </sheetView>
  </sheetViews>
  <sheetFormatPr defaultColWidth="10.26953125" defaultRowHeight="12.5"/>
  <cols>
    <col min="1" max="1" width="70.54296875" style="396" customWidth="1"/>
    <col min="2" max="34" width="13.54296875" style="396" customWidth="1"/>
    <col min="35" max="256" width="10.26953125" style="396"/>
    <col min="257" max="257" width="70.54296875" style="396" customWidth="1"/>
    <col min="258" max="290" width="13.54296875" style="396" customWidth="1"/>
    <col min="291" max="512" width="10.26953125" style="396"/>
    <col min="513" max="513" width="70.54296875" style="396" customWidth="1"/>
    <col min="514" max="546" width="13.54296875" style="396" customWidth="1"/>
    <col min="547" max="768" width="10.26953125" style="396"/>
    <col min="769" max="769" width="70.54296875" style="396" customWidth="1"/>
    <col min="770" max="802" width="13.54296875" style="396" customWidth="1"/>
    <col min="803" max="1024" width="10.26953125" style="396"/>
    <col min="1025" max="1025" width="70.54296875" style="396" customWidth="1"/>
    <col min="1026" max="1058" width="13.54296875" style="396" customWidth="1"/>
    <col min="1059" max="1280" width="10.26953125" style="396"/>
    <col min="1281" max="1281" width="70.54296875" style="396" customWidth="1"/>
    <col min="1282" max="1314" width="13.54296875" style="396" customWidth="1"/>
    <col min="1315" max="1536" width="10.26953125" style="396"/>
    <col min="1537" max="1537" width="70.54296875" style="396" customWidth="1"/>
    <col min="1538" max="1570" width="13.54296875" style="396" customWidth="1"/>
    <col min="1571" max="1792" width="10.26953125" style="396"/>
    <col min="1793" max="1793" width="70.54296875" style="396" customWidth="1"/>
    <col min="1794" max="1826" width="13.54296875" style="396" customWidth="1"/>
    <col min="1827" max="2048" width="10.26953125" style="396"/>
    <col min="2049" max="2049" width="70.54296875" style="396" customWidth="1"/>
    <col min="2050" max="2082" width="13.54296875" style="396" customWidth="1"/>
    <col min="2083" max="2304" width="10.26953125" style="396"/>
    <col min="2305" max="2305" width="70.54296875" style="396" customWidth="1"/>
    <col min="2306" max="2338" width="13.54296875" style="396" customWidth="1"/>
    <col min="2339" max="2560" width="10.26953125" style="396"/>
    <col min="2561" max="2561" width="70.54296875" style="396" customWidth="1"/>
    <col min="2562" max="2594" width="13.54296875" style="396" customWidth="1"/>
    <col min="2595" max="2816" width="10.26953125" style="396"/>
    <col min="2817" max="2817" width="70.54296875" style="396" customWidth="1"/>
    <col min="2818" max="2850" width="13.54296875" style="396" customWidth="1"/>
    <col min="2851" max="3072" width="10.26953125" style="396"/>
    <col min="3073" max="3073" width="70.54296875" style="396" customWidth="1"/>
    <col min="3074" max="3106" width="13.54296875" style="396" customWidth="1"/>
    <col min="3107" max="3328" width="10.26953125" style="396"/>
    <col min="3329" max="3329" width="70.54296875" style="396" customWidth="1"/>
    <col min="3330" max="3362" width="13.54296875" style="396" customWidth="1"/>
    <col min="3363" max="3584" width="10.26953125" style="396"/>
    <col min="3585" max="3585" width="70.54296875" style="396" customWidth="1"/>
    <col min="3586" max="3618" width="13.54296875" style="396" customWidth="1"/>
    <col min="3619" max="3840" width="10.26953125" style="396"/>
    <col min="3841" max="3841" width="70.54296875" style="396" customWidth="1"/>
    <col min="3842" max="3874" width="13.54296875" style="396" customWidth="1"/>
    <col min="3875" max="4096" width="10.26953125" style="396"/>
    <col min="4097" max="4097" width="70.54296875" style="396" customWidth="1"/>
    <col min="4098" max="4130" width="13.54296875" style="396" customWidth="1"/>
    <col min="4131" max="4352" width="10.26953125" style="396"/>
    <col min="4353" max="4353" width="70.54296875" style="396" customWidth="1"/>
    <col min="4354" max="4386" width="13.54296875" style="396" customWidth="1"/>
    <col min="4387" max="4608" width="10.26953125" style="396"/>
    <col min="4609" max="4609" width="70.54296875" style="396" customWidth="1"/>
    <col min="4610" max="4642" width="13.54296875" style="396" customWidth="1"/>
    <col min="4643" max="4864" width="10.26953125" style="396"/>
    <col min="4865" max="4865" width="70.54296875" style="396" customWidth="1"/>
    <col min="4866" max="4898" width="13.54296875" style="396" customWidth="1"/>
    <col min="4899" max="5120" width="10.26953125" style="396"/>
    <col min="5121" max="5121" width="70.54296875" style="396" customWidth="1"/>
    <col min="5122" max="5154" width="13.54296875" style="396" customWidth="1"/>
    <col min="5155" max="5376" width="10.26953125" style="396"/>
    <col min="5377" max="5377" width="70.54296875" style="396" customWidth="1"/>
    <col min="5378" max="5410" width="13.54296875" style="396" customWidth="1"/>
    <col min="5411" max="5632" width="10.26953125" style="396"/>
    <col min="5633" max="5633" width="70.54296875" style="396" customWidth="1"/>
    <col min="5634" max="5666" width="13.54296875" style="396" customWidth="1"/>
    <col min="5667" max="5888" width="10.26953125" style="396"/>
    <col min="5889" max="5889" width="70.54296875" style="396" customWidth="1"/>
    <col min="5890" max="5922" width="13.54296875" style="396" customWidth="1"/>
    <col min="5923" max="6144" width="10.26953125" style="396"/>
    <col min="6145" max="6145" width="70.54296875" style="396" customWidth="1"/>
    <col min="6146" max="6178" width="13.54296875" style="396" customWidth="1"/>
    <col min="6179" max="6400" width="10.26953125" style="396"/>
    <col min="6401" max="6401" width="70.54296875" style="396" customWidth="1"/>
    <col min="6402" max="6434" width="13.54296875" style="396" customWidth="1"/>
    <col min="6435" max="6656" width="10.26953125" style="396"/>
    <col min="6657" max="6657" width="70.54296875" style="396" customWidth="1"/>
    <col min="6658" max="6690" width="13.54296875" style="396" customWidth="1"/>
    <col min="6691" max="6912" width="10.26953125" style="396"/>
    <col min="6913" max="6913" width="70.54296875" style="396" customWidth="1"/>
    <col min="6914" max="6946" width="13.54296875" style="396" customWidth="1"/>
    <col min="6947" max="7168" width="10.26953125" style="396"/>
    <col min="7169" max="7169" width="70.54296875" style="396" customWidth="1"/>
    <col min="7170" max="7202" width="13.54296875" style="396" customWidth="1"/>
    <col min="7203" max="7424" width="10.26953125" style="396"/>
    <col min="7425" max="7425" width="70.54296875" style="396" customWidth="1"/>
    <col min="7426" max="7458" width="13.54296875" style="396" customWidth="1"/>
    <col min="7459" max="7680" width="10.26953125" style="396"/>
    <col min="7681" max="7681" width="70.54296875" style="396" customWidth="1"/>
    <col min="7682" max="7714" width="13.54296875" style="396" customWidth="1"/>
    <col min="7715" max="7936" width="10.26953125" style="396"/>
    <col min="7937" max="7937" width="70.54296875" style="396" customWidth="1"/>
    <col min="7938" max="7970" width="13.54296875" style="396" customWidth="1"/>
    <col min="7971" max="8192" width="10.26953125" style="396"/>
    <col min="8193" max="8193" width="70.54296875" style="396" customWidth="1"/>
    <col min="8194" max="8226" width="13.54296875" style="396" customWidth="1"/>
    <col min="8227" max="8448" width="10.26953125" style="396"/>
    <col min="8449" max="8449" width="70.54296875" style="396" customWidth="1"/>
    <col min="8450" max="8482" width="13.54296875" style="396" customWidth="1"/>
    <col min="8483" max="8704" width="10.26953125" style="396"/>
    <col min="8705" max="8705" width="70.54296875" style="396" customWidth="1"/>
    <col min="8706" max="8738" width="13.54296875" style="396" customWidth="1"/>
    <col min="8739" max="8960" width="10.26953125" style="396"/>
    <col min="8961" max="8961" width="70.54296875" style="396" customWidth="1"/>
    <col min="8962" max="8994" width="13.54296875" style="396" customWidth="1"/>
    <col min="8995" max="9216" width="10.26953125" style="396"/>
    <col min="9217" max="9217" width="70.54296875" style="396" customWidth="1"/>
    <col min="9218" max="9250" width="13.54296875" style="396" customWidth="1"/>
    <col min="9251" max="9472" width="10.26953125" style="396"/>
    <col min="9473" max="9473" width="70.54296875" style="396" customWidth="1"/>
    <col min="9474" max="9506" width="13.54296875" style="396" customWidth="1"/>
    <col min="9507" max="9728" width="10.26953125" style="396"/>
    <col min="9729" max="9729" width="70.54296875" style="396" customWidth="1"/>
    <col min="9730" max="9762" width="13.54296875" style="396" customWidth="1"/>
    <col min="9763" max="9984" width="10.26953125" style="396"/>
    <col min="9985" max="9985" width="70.54296875" style="396" customWidth="1"/>
    <col min="9986" max="10018" width="13.54296875" style="396" customWidth="1"/>
    <col min="10019" max="10240" width="10.26953125" style="396"/>
    <col min="10241" max="10241" width="70.54296875" style="396" customWidth="1"/>
    <col min="10242" max="10274" width="13.54296875" style="396" customWidth="1"/>
    <col min="10275" max="10496" width="10.26953125" style="396"/>
    <col min="10497" max="10497" width="70.54296875" style="396" customWidth="1"/>
    <col min="10498" max="10530" width="13.54296875" style="396" customWidth="1"/>
    <col min="10531" max="10752" width="10.26953125" style="396"/>
    <col min="10753" max="10753" width="70.54296875" style="396" customWidth="1"/>
    <col min="10754" max="10786" width="13.54296875" style="396" customWidth="1"/>
    <col min="10787" max="11008" width="10.26953125" style="396"/>
    <col min="11009" max="11009" width="70.54296875" style="396" customWidth="1"/>
    <col min="11010" max="11042" width="13.54296875" style="396" customWidth="1"/>
    <col min="11043" max="11264" width="10.26953125" style="396"/>
    <col min="11265" max="11265" width="70.54296875" style="396" customWidth="1"/>
    <col min="11266" max="11298" width="13.54296875" style="396" customWidth="1"/>
    <col min="11299" max="11520" width="10.26953125" style="396"/>
    <col min="11521" max="11521" width="70.54296875" style="396" customWidth="1"/>
    <col min="11522" max="11554" width="13.54296875" style="396" customWidth="1"/>
    <col min="11555" max="11776" width="10.26953125" style="396"/>
    <col min="11777" max="11777" width="70.54296875" style="396" customWidth="1"/>
    <col min="11778" max="11810" width="13.54296875" style="396" customWidth="1"/>
    <col min="11811" max="12032" width="10.26953125" style="396"/>
    <col min="12033" max="12033" width="70.54296875" style="396" customWidth="1"/>
    <col min="12034" max="12066" width="13.54296875" style="396" customWidth="1"/>
    <col min="12067" max="12288" width="10.26953125" style="396"/>
    <col min="12289" max="12289" width="70.54296875" style="396" customWidth="1"/>
    <col min="12290" max="12322" width="13.54296875" style="396" customWidth="1"/>
    <col min="12323" max="12544" width="10.26953125" style="396"/>
    <col min="12545" max="12545" width="70.54296875" style="396" customWidth="1"/>
    <col min="12546" max="12578" width="13.54296875" style="396" customWidth="1"/>
    <col min="12579" max="12800" width="10.26953125" style="396"/>
    <col min="12801" max="12801" width="70.54296875" style="396" customWidth="1"/>
    <col min="12802" max="12834" width="13.54296875" style="396" customWidth="1"/>
    <col min="12835" max="13056" width="10.26953125" style="396"/>
    <col min="13057" max="13057" width="70.54296875" style="396" customWidth="1"/>
    <col min="13058" max="13090" width="13.54296875" style="396" customWidth="1"/>
    <col min="13091" max="13312" width="10.26953125" style="396"/>
    <col min="13313" max="13313" width="70.54296875" style="396" customWidth="1"/>
    <col min="13314" max="13346" width="13.54296875" style="396" customWidth="1"/>
    <col min="13347" max="13568" width="10.26953125" style="396"/>
    <col min="13569" max="13569" width="70.54296875" style="396" customWidth="1"/>
    <col min="13570" max="13602" width="13.54296875" style="396" customWidth="1"/>
    <col min="13603" max="13824" width="10.26953125" style="396"/>
    <col min="13825" max="13825" width="70.54296875" style="396" customWidth="1"/>
    <col min="13826" max="13858" width="13.54296875" style="396" customWidth="1"/>
    <col min="13859" max="14080" width="10.26953125" style="396"/>
    <col min="14081" max="14081" width="70.54296875" style="396" customWidth="1"/>
    <col min="14082" max="14114" width="13.54296875" style="396" customWidth="1"/>
    <col min="14115" max="14336" width="10.26953125" style="396"/>
    <col min="14337" max="14337" width="70.54296875" style="396" customWidth="1"/>
    <col min="14338" max="14370" width="13.54296875" style="396" customWidth="1"/>
    <col min="14371" max="14592" width="10.26953125" style="396"/>
    <col min="14593" max="14593" width="70.54296875" style="396" customWidth="1"/>
    <col min="14594" max="14626" width="13.54296875" style="396" customWidth="1"/>
    <col min="14627" max="14848" width="10.26953125" style="396"/>
    <col min="14849" max="14849" width="70.54296875" style="396" customWidth="1"/>
    <col min="14850" max="14882" width="13.54296875" style="396" customWidth="1"/>
    <col min="14883" max="15104" width="10.26953125" style="396"/>
    <col min="15105" max="15105" width="70.54296875" style="396" customWidth="1"/>
    <col min="15106" max="15138" width="13.54296875" style="396" customWidth="1"/>
    <col min="15139" max="15360" width="10.26953125" style="396"/>
    <col min="15361" max="15361" width="70.54296875" style="396" customWidth="1"/>
    <col min="15362" max="15394" width="13.54296875" style="396" customWidth="1"/>
    <col min="15395" max="15616" width="10.26953125" style="396"/>
    <col min="15617" max="15617" width="70.54296875" style="396" customWidth="1"/>
    <col min="15618" max="15650" width="13.54296875" style="396" customWidth="1"/>
    <col min="15651" max="15872" width="10.26953125" style="396"/>
    <col min="15873" max="15873" width="70.54296875" style="396" customWidth="1"/>
    <col min="15874" max="15906" width="13.54296875" style="396" customWidth="1"/>
    <col min="15907" max="16128" width="10.26953125" style="396"/>
    <col min="16129" max="16129" width="70.54296875" style="396" customWidth="1"/>
    <col min="16130" max="16162" width="13.54296875" style="396" customWidth="1"/>
    <col min="16163" max="16384" width="10.26953125" style="396"/>
  </cols>
  <sheetData>
    <row r="1" spans="1:35" ht="13">
      <c r="A1" s="414"/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</row>
    <row r="2" spans="1:35" ht="13">
      <c r="A2" s="414" t="s">
        <v>713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</row>
    <row r="3" spans="1:35" ht="13">
      <c r="A3" s="414" t="s">
        <v>714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</row>
    <row r="4" spans="1:35" ht="13">
      <c r="A4" s="395" t="s">
        <v>192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  <c r="AA4" s="395"/>
      <c r="AB4" s="395"/>
      <c r="AC4" s="395"/>
      <c r="AD4" s="395"/>
      <c r="AE4" s="395"/>
      <c r="AF4" s="395"/>
      <c r="AG4" s="395"/>
      <c r="AH4" s="395"/>
      <c r="AI4" s="395"/>
    </row>
    <row r="5" spans="1:35" ht="13">
      <c r="A5" s="395"/>
      <c r="B5" s="395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  <c r="AA5" s="395"/>
      <c r="AB5" s="395"/>
      <c r="AC5" s="395"/>
      <c r="AD5" s="395"/>
      <c r="AE5" s="395"/>
      <c r="AF5" s="395"/>
      <c r="AG5" s="395"/>
      <c r="AH5" s="395"/>
      <c r="AI5" s="395"/>
    </row>
    <row r="6" spans="1:35" ht="13.5" thickBot="1">
      <c r="A6" s="395"/>
      <c r="B6" s="395" t="s">
        <v>637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395"/>
      <c r="AG6" s="395"/>
      <c r="AH6" s="395"/>
      <c r="AI6" s="395"/>
    </row>
    <row r="7" spans="1:35" ht="13.5" thickTop="1">
      <c r="A7" s="415"/>
      <c r="B7" s="416"/>
      <c r="C7" s="417">
        <v>1965</v>
      </c>
      <c r="D7" s="418"/>
      <c r="E7" s="416"/>
      <c r="F7" s="417">
        <v>1966</v>
      </c>
      <c r="G7" s="418"/>
      <c r="H7" s="416"/>
      <c r="I7" s="417">
        <v>1967</v>
      </c>
      <c r="J7" s="418"/>
      <c r="K7" s="416"/>
      <c r="L7" s="417">
        <v>1968</v>
      </c>
      <c r="M7" s="418"/>
      <c r="N7" s="416"/>
      <c r="O7" s="417">
        <v>1969</v>
      </c>
      <c r="P7" s="418"/>
      <c r="Q7" s="416"/>
      <c r="R7" s="417">
        <v>1970</v>
      </c>
      <c r="S7" s="418"/>
      <c r="T7" s="416"/>
      <c r="U7" s="417">
        <v>1971</v>
      </c>
      <c r="V7" s="418"/>
      <c r="W7" s="416"/>
      <c r="X7" s="417">
        <v>1972</v>
      </c>
      <c r="Y7" s="418"/>
      <c r="Z7" s="416"/>
      <c r="AA7" s="417">
        <v>1973</v>
      </c>
      <c r="AB7" s="418"/>
      <c r="AC7" s="416"/>
      <c r="AD7" s="417">
        <v>1974</v>
      </c>
      <c r="AE7" s="418"/>
      <c r="AF7" s="416"/>
      <c r="AG7" s="417">
        <v>1975</v>
      </c>
      <c r="AH7" s="418"/>
      <c r="AI7" s="395"/>
    </row>
    <row r="8" spans="1:35" ht="13.5" thickBot="1">
      <c r="A8" s="419"/>
      <c r="B8" s="420" t="s">
        <v>650</v>
      </c>
      <c r="C8" s="421" t="s">
        <v>651</v>
      </c>
      <c r="D8" s="422" t="s">
        <v>652</v>
      </c>
      <c r="E8" s="420" t="s">
        <v>650</v>
      </c>
      <c r="F8" s="421" t="s">
        <v>651</v>
      </c>
      <c r="G8" s="422" t="s">
        <v>652</v>
      </c>
      <c r="H8" s="420" t="s">
        <v>650</v>
      </c>
      <c r="I8" s="421" t="s">
        <v>651</v>
      </c>
      <c r="J8" s="422" t="s">
        <v>652</v>
      </c>
      <c r="K8" s="420" t="s">
        <v>650</v>
      </c>
      <c r="L8" s="421" t="s">
        <v>651</v>
      </c>
      <c r="M8" s="422" t="s">
        <v>652</v>
      </c>
      <c r="N8" s="420" t="s">
        <v>650</v>
      </c>
      <c r="O8" s="421" t="s">
        <v>651</v>
      </c>
      <c r="P8" s="422" t="s">
        <v>652</v>
      </c>
      <c r="Q8" s="420" t="s">
        <v>650</v>
      </c>
      <c r="R8" s="421" t="s">
        <v>651</v>
      </c>
      <c r="S8" s="422" t="s">
        <v>652</v>
      </c>
      <c r="T8" s="420" t="s">
        <v>650</v>
      </c>
      <c r="U8" s="421" t="s">
        <v>651</v>
      </c>
      <c r="V8" s="422" t="s">
        <v>652</v>
      </c>
      <c r="W8" s="420" t="s">
        <v>650</v>
      </c>
      <c r="X8" s="421" t="s">
        <v>651</v>
      </c>
      <c r="Y8" s="422" t="s">
        <v>652</v>
      </c>
      <c r="Z8" s="420" t="s">
        <v>650</v>
      </c>
      <c r="AA8" s="421" t="s">
        <v>651</v>
      </c>
      <c r="AB8" s="422" t="s">
        <v>652</v>
      </c>
      <c r="AC8" s="420" t="s">
        <v>650</v>
      </c>
      <c r="AD8" s="421" t="s">
        <v>651</v>
      </c>
      <c r="AE8" s="422" t="s">
        <v>652</v>
      </c>
      <c r="AF8" s="420" t="s">
        <v>650</v>
      </c>
      <c r="AG8" s="421" t="s">
        <v>651</v>
      </c>
      <c r="AH8" s="422" t="s">
        <v>652</v>
      </c>
      <c r="AI8" s="395"/>
    </row>
    <row r="9" spans="1:35" ht="14.25" customHeight="1" thickTop="1">
      <c r="A9" s="423" t="s">
        <v>636</v>
      </c>
      <c r="B9" s="424">
        <v>6358.973</v>
      </c>
      <c r="C9" s="408">
        <v>9580.6729999999989</v>
      </c>
      <c r="D9" s="409">
        <v>3221.7</v>
      </c>
      <c r="E9" s="424">
        <v>6082.9759999999997</v>
      </c>
      <c r="F9" s="408">
        <v>8178.2849999999999</v>
      </c>
      <c r="G9" s="409">
        <v>2095.3090000000002</v>
      </c>
      <c r="H9" s="424">
        <v>6855.192</v>
      </c>
      <c r="I9" s="408">
        <v>10791.531000000001</v>
      </c>
      <c r="J9" s="409">
        <v>3936.3390000000009</v>
      </c>
      <c r="K9" s="424">
        <v>8372.5069999999996</v>
      </c>
      <c r="L9" s="408">
        <v>11701.119000000001</v>
      </c>
      <c r="M9" s="409">
        <v>3328.612000000001</v>
      </c>
      <c r="N9" s="424">
        <v>7782.2289999999994</v>
      </c>
      <c r="O9" s="408">
        <v>12255.553999999998</v>
      </c>
      <c r="P9" s="409">
        <v>4473.3249999999989</v>
      </c>
      <c r="Q9" s="424">
        <v>9392.1200000000008</v>
      </c>
      <c r="R9" s="408">
        <v>12124.45</v>
      </c>
      <c r="S9" s="409">
        <v>2732.33</v>
      </c>
      <c r="T9" s="424">
        <v>10843.025</v>
      </c>
      <c r="U9" s="408">
        <v>11373.825000000001</v>
      </c>
      <c r="V9" s="409">
        <v>530.80000000000109</v>
      </c>
      <c r="W9" s="424">
        <v>13405.528</v>
      </c>
      <c r="X9" s="408">
        <v>14003.036</v>
      </c>
      <c r="Y9" s="409">
        <v>597.50799999999981</v>
      </c>
      <c r="Z9" s="424">
        <v>15996.549000000001</v>
      </c>
      <c r="AA9" s="408">
        <v>16082.402000000002</v>
      </c>
      <c r="AB9" s="409">
        <v>85.853000000000975</v>
      </c>
      <c r="AC9" s="424">
        <v>21436.083000000002</v>
      </c>
      <c r="AD9" s="408">
        <v>18190.414000000001</v>
      </c>
      <c r="AE9" s="409">
        <v>-3245.6690000000017</v>
      </c>
      <c r="AF9" s="424">
        <v>13441.026</v>
      </c>
      <c r="AG9" s="408">
        <v>15864.566000000001</v>
      </c>
      <c r="AH9" s="409">
        <v>2423.54</v>
      </c>
      <c r="AI9" s="395"/>
    </row>
    <row r="10" spans="1:35" ht="13">
      <c r="A10" s="423" t="s">
        <v>653</v>
      </c>
      <c r="B10" s="424">
        <v>6170.1229999999996</v>
      </c>
      <c r="C10" s="408">
        <v>7327.4889999999996</v>
      </c>
      <c r="D10" s="409">
        <v>1157.366</v>
      </c>
      <c r="E10" s="424">
        <v>5867.6959999999999</v>
      </c>
      <c r="F10" s="408">
        <v>6283.2929999999997</v>
      </c>
      <c r="G10" s="409">
        <v>415.59699999999975</v>
      </c>
      <c r="H10" s="424">
        <v>6690.049</v>
      </c>
      <c r="I10" s="408">
        <v>8169.51</v>
      </c>
      <c r="J10" s="409">
        <v>1479.4610000000002</v>
      </c>
      <c r="K10" s="424">
        <v>8211.601999999999</v>
      </c>
      <c r="L10" s="408">
        <v>9217.0360000000001</v>
      </c>
      <c r="M10" s="409">
        <v>1005.4340000000011</v>
      </c>
      <c r="N10" s="424">
        <v>7539.77</v>
      </c>
      <c r="O10" s="408">
        <v>10175.154999999999</v>
      </c>
      <c r="P10" s="409">
        <v>2635.3849999999993</v>
      </c>
      <c r="Q10" s="424">
        <v>9240.85</v>
      </c>
      <c r="R10" s="408">
        <v>10295.955</v>
      </c>
      <c r="S10" s="409">
        <v>1055.105</v>
      </c>
      <c r="T10" s="424">
        <v>10693.894</v>
      </c>
      <c r="U10" s="408">
        <v>9594.652</v>
      </c>
      <c r="V10" s="409">
        <v>-1099.2420000000002</v>
      </c>
      <c r="W10" s="424">
        <v>13146.099</v>
      </c>
      <c r="X10" s="408">
        <v>10818.108</v>
      </c>
      <c r="Y10" s="409">
        <v>-2327.991</v>
      </c>
      <c r="Z10" s="424">
        <v>15725.056</v>
      </c>
      <c r="AA10" s="408">
        <v>12951.203000000001</v>
      </c>
      <c r="AB10" s="409">
        <v>-2773.8529999999992</v>
      </c>
      <c r="AC10" s="424">
        <v>21024.154000000002</v>
      </c>
      <c r="AD10" s="408">
        <v>14149.884</v>
      </c>
      <c r="AE10" s="409">
        <v>-6874.27</v>
      </c>
      <c r="AF10" s="424">
        <v>12263.477999999999</v>
      </c>
      <c r="AG10" s="408">
        <v>11405.4</v>
      </c>
      <c r="AH10" s="409">
        <v>-858.0779999999977</v>
      </c>
      <c r="AI10" s="395"/>
    </row>
    <row r="11" spans="1:35" ht="13">
      <c r="A11" s="423" t="s">
        <v>654</v>
      </c>
      <c r="B11" s="424">
        <v>2672</v>
      </c>
      <c r="C11" s="408">
        <v>4837</v>
      </c>
      <c r="D11" s="409">
        <v>2165</v>
      </c>
      <c r="E11" s="424">
        <v>2657</v>
      </c>
      <c r="F11" s="408">
        <v>4176</v>
      </c>
      <c r="G11" s="409">
        <v>1519</v>
      </c>
      <c r="H11" s="424">
        <v>2663</v>
      </c>
      <c r="I11" s="408">
        <v>5175</v>
      </c>
      <c r="J11" s="409">
        <v>2512</v>
      </c>
      <c r="K11" s="424">
        <v>3207</v>
      </c>
      <c r="L11" s="408">
        <v>5906</v>
      </c>
      <c r="M11" s="409">
        <v>2699</v>
      </c>
      <c r="N11" s="424">
        <v>3392</v>
      </c>
      <c r="O11" s="408">
        <v>5816</v>
      </c>
      <c r="P11" s="409">
        <v>2424</v>
      </c>
      <c r="Q11" s="424">
        <v>3962</v>
      </c>
      <c r="R11" s="408">
        <v>5821</v>
      </c>
      <c r="S11" s="409">
        <v>1859</v>
      </c>
      <c r="T11" s="424">
        <v>4004</v>
      </c>
      <c r="U11" s="408">
        <v>4452</v>
      </c>
      <c r="V11" s="409">
        <v>448</v>
      </c>
      <c r="W11" s="424">
        <v>6138</v>
      </c>
      <c r="X11" s="408">
        <v>5165</v>
      </c>
      <c r="Y11" s="409">
        <v>-973</v>
      </c>
      <c r="Z11" s="424">
        <v>6568</v>
      </c>
      <c r="AA11" s="408">
        <v>6740</v>
      </c>
      <c r="AB11" s="409">
        <v>172</v>
      </c>
      <c r="AC11" s="424">
        <v>10816</v>
      </c>
      <c r="AD11" s="408">
        <v>6372</v>
      </c>
      <c r="AE11" s="409">
        <v>-4444</v>
      </c>
      <c r="AF11" s="424">
        <v>4420</v>
      </c>
      <c r="AG11" s="408">
        <v>4118</v>
      </c>
      <c r="AH11" s="409">
        <v>-302</v>
      </c>
      <c r="AI11" s="395"/>
    </row>
    <row r="12" spans="1:35" ht="13">
      <c r="A12" s="423" t="s">
        <v>655</v>
      </c>
      <c r="B12" s="424">
        <v>3498.123</v>
      </c>
      <c r="C12" s="408">
        <v>2490.489</v>
      </c>
      <c r="D12" s="409">
        <v>-1007.634</v>
      </c>
      <c r="E12" s="424">
        <v>3210.6959999999999</v>
      </c>
      <c r="F12" s="408">
        <v>2107.2930000000001</v>
      </c>
      <c r="G12" s="409">
        <v>-1103.4029999999998</v>
      </c>
      <c r="H12" s="424">
        <v>4027.049</v>
      </c>
      <c r="I12" s="408">
        <v>2994.51</v>
      </c>
      <c r="J12" s="409">
        <v>-1032.5390000000002</v>
      </c>
      <c r="K12" s="424">
        <v>5004.6019999999999</v>
      </c>
      <c r="L12" s="408">
        <v>3311.0360000000001</v>
      </c>
      <c r="M12" s="409">
        <v>-1693.5659999999998</v>
      </c>
      <c r="N12" s="424">
        <v>4147.7700000000004</v>
      </c>
      <c r="O12" s="408">
        <v>4359.1549999999997</v>
      </c>
      <c r="P12" s="409">
        <v>211.38499999999999</v>
      </c>
      <c r="Q12" s="424">
        <v>5278.85</v>
      </c>
      <c r="R12" s="408">
        <v>4474.9549999999999</v>
      </c>
      <c r="S12" s="409">
        <v>-803.89499999999998</v>
      </c>
      <c r="T12" s="424">
        <v>6689.8940000000011</v>
      </c>
      <c r="U12" s="408">
        <v>5142.652</v>
      </c>
      <c r="V12" s="409">
        <v>-1547.2420000000011</v>
      </c>
      <c r="W12" s="424">
        <v>7008.0990000000002</v>
      </c>
      <c r="X12" s="408">
        <v>5653.1080000000002</v>
      </c>
      <c r="Y12" s="409">
        <v>-1354.991</v>
      </c>
      <c r="Z12" s="424">
        <v>9157.0560000000005</v>
      </c>
      <c r="AA12" s="408">
        <v>6211.2030000000004</v>
      </c>
      <c r="AB12" s="409">
        <v>-2945.8530000000001</v>
      </c>
      <c r="AC12" s="424">
        <v>10208.154</v>
      </c>
      <c r="AD12" s="408">
        <v>7777.884</v>
      </c>
      <c r="AE12" s="409">
        <v>-2430.27</v>
      </c>
      <c r="AF12" s="424">
        <v>7843.4780000000001</v>
      </c>
      <c r="AG12" s="408">
        <v>7287.4</v>
      </c>
      <c r="AH12" s="409">
        <v>-556.07799999999952</v>
      </c>
      <c r="AI12" s="395"/>
    </row>
    <row r="13" spans="1:35" ht="13">
      <c r="A13" s="423" t="s">
        <v>656</v>
      </c>
      <c r="B13" s="424">
        <v>3.605</v>
      </c>
      <c r="C13" s="408">
        <v>189.91400000000002</v>
      </c>
      <c r="D13" s="409">
        <v>186.30900000000003</v>
      </c>
      <c r="E13" s="424">
        <v>7.5609999999999999</v>
      </c>
      <c r="F13" s="408">
        <v>139.71699999999998</v>
      </c>
      <c r="G13" s="409">
        <v>132.15599999999998</v>
      </c>
      <c r="H13" s="424">
        <v>39.503</v>
      </c>
      <c r="I13" s="408">
        <v>215.24600000000001</v>
      </c>
      <c r="J13" s="409">
        <v>175.74299999999999</v>
      </c>
      <c r="K13" s="424">
        <v>70.162000000000006</v>
      </c>
      <c r="L13" s="408">
        <v>198.07799999999997</v>
      </c>
      <c r="M13" s="409">
        <v>127.91599999999997</v>
      </c>
      <c r="N13" s="424">
        <v>48.604999999999997</v>
      </c>
      <c r="O13" s="408">
        <v>287.51900000000001</v>
      </c>
      <c r="P13" s="409">
        <v>238.91399999999999</v>
      </c>
      <c r="Q13" s="424">
        <v>40.317</v>
      </c>
      <c r="R13" s="408">
        <v>254.83</v>
      </c>
      <c r="S13" s="409">
        <v>214.51300000000001</v>
      </c>
      <c r="T13" s="424">
        <v>63.795999999999999</v>
      </c>
      <c r="U13" s="408">
        <v>250.22799999999998</v>
      </c>
      <c r="V13" s="409">
        <v>186.43199999999999</v>
      </c>
      <c r="W13" s="424">
        <v>60.034999999999997</v>
      </c>
      <c r="X13" s="408">
        <v>202.21099999999998</v>
      </c>
      <c r="Y13" s="409">
        <v>142.17599999999999</v>
      </c>
      <c r="Z13" s="424">
        <v>115.43</v>
      </c>
      <c r="AA13" s="408">
        <v>300.56</v>
      </c>
      <c r="AB13" s="409">
        <v>185.13</v>
      </c>
      <c r="AC13" s="424">
        <v>152.24100000000001</v>
      </c>
      <c r="AD13" s="408">
        <v>530.39599999999996</v>
      </c>
      <c r="AE13" s="409">
        <v>378.15499999999997</v>
      </c>
      <c r="AF13" s="424">
        <v>142.07499999999999</v>
      </c>
      <c r="AG13" s="408">
        <v>240.54300000000001</v>
      </c>
      <c r="AH13" s="409">
        <v>98.468000000000018</v>
      </c>
      <c r="AI13" s="395"/>
    </row>
    <row r="14" spans="1:35" ht="13">
      <c r="A14" s="423" t="s">
        <v>657</v>
      </c>
      <c r="B14" s="424">
        <v>2</v>
      </c>
      <c r="C14" s="408">
        <v>25</v>
      </c>
      <c r="D14" s="409">
        <v>23</v>
      </c>
      <c r="E14" s="424">
        <v>2</v>
      </c>
      <c r="F14" s="408">
        <v>18</v>
      </c>
      <c r="G14" s="409">
        <v>16</v>
      </c>
      <c r="H14" s="424">
        <v>19</v>
      </c>
      <c r="I14" s="408">
        <v>40</v>
      </c>
      <c r="J14" s="409">
        <v>21</v>
      </c>
      <c r="K14" s="424">
        <v>43</v>
      </c>
      <c r="L14" s="408">
        <v>19</v>
      </c>
      <c r="M14" s="409">
        <v>-24</v>
      </c>
      <c r="N14" s="424">
        <v>31</v>
      </c>
      <c r="O14" s="408">
        <v>20</v>
      </c>
      <c r="P14" s="409">
        <v>-11</v>
      </c>
      <c r="Q14" s="424">
        <v>26</v>
      </c>
      <c r="R14" s="408">
        <v>28</v>
      </c>
      <c r="S14" s="409">
        <v>2</v>
      </c>
      <c r="T14" s="424">
        <v>11</v>
      </c>
      <c r="U14" s="408">
        <v>27</v>
      </c>
      <c r="V14" s="409">
        <v>16</v>
      </c>
      <c r="W14" s="424">
        <v>15</v>
      </c>
      <c r="X14" s="408">
        <v>42</v>
      </c>
      <c r="Y14" s="409">
        <v>27</v>
      </c>
      <c r="Z14" s="424">
        <v>0</v>
      </c>
      <c r="AA14" s="408">
        <v>58</v>
      </c>
      <c r="AB14" s="409">
        <v>58</v>
      </c>
      <c r="AC14" s="424">
        <v>3</v>
      </c>
      <c r="AD14" s="408">
        <v>107</v>
      </c>
      <c r="AE14" s="409">
        <v>104</v>
      </c>
      <c r="AF14" s="424">
        <v>3.3460000000000001</v>
      </c>
      <c r="AG14" s="408">
        <v>77.097999999999999</v>
      </c>
      <c r="AH14" s="409">
        <v>73.751999999999995</v>
      </c>
      <c r="AI14" s="395"/>
    </row>
    <row r="15" spans="1:35" ht="13">
      <c r="A15" s="423" t="s">
        <v>658</v>
      </c>
      <c r="B15" s="424">
        <v>1.605</v>
      </c>
      <c r="C15" s="408">
        <v>164.91400000000002</v>
      </c>
      <c r="D15" s="409">
        <v>163.30900000000003</v>
      </c>
      <c r="E15" s="424">
        <v>5.5609999999999999</v>
      </c>
      <c r="F15" s="408">
        <v>121.717</v>
      </c>
      <c r="G15" s="409">
        <v>116.15600000000001</v>
      </c>
      <c r="H15" s="424">
        <v>20.503</v>
      </c>
      <c r="I15" s="408">
        <v>175.24600000000001</v>
      </c>
      <c r="J15" s="409">
        <v>154.74299999999999</v>
      </c>
      <c r="K15" s="424">
        <v>27.161999999999999</v>
      </c>
      <c r="L15" s="408">
        <v>179.07799999999997</v>
      </c>
      <c r="M15" s="409">
        <v>151.91599999999997</v>
      </c>
      <c r="N15" s="424">
        <v>17.605</v>
      </c>
      <c r="O15" s="408">
        <v>267.51900000000001</v>
      </c>
      <c r="P15" s="409">
        <v>249.91400000000002</v>
      </c>
      <c r="Q15" s="424">
        <v>14.317</v>
      </c>
      <c r="R15" s="408">
        <v>226.83</v>
      </c>
      <c r="S15" s="409">
        <v>212.51300000000001</v>
      </c>
      <c r="T15" s="424">
        <v>52.795999999999999</v>
      </c>
      <c r="U15" s="408">
        <v>223.22799999999998</v>
      </c>
      <c r="V15" s="409">
        <v>170.43199999999999</v>
      </c>
      <c r="W15" s="424">
        <v>45.034999999999997</v>
      </c>
      <c r="X15" s="408">
        <v>160.21099999999998</v>
      </c>
      <c r="Y15" s="409">
        <v>115.17599999999999</v>
      </c>
      <c r="Z15" s="424">
        <v>115.43</v>
      </c>
      <c r="AA15" s="408">
        <v>242.56</v>
      </c>
      <c r="AB15" s="409">
        <v>127.13</v>
      </c>
      <c r="AC15" s="424">
        <v>149.24100000000001</v>
      </c>
      <c r="AD15" s="408">
        <v>423.39599999999996</v>
      </c>
      <c r="AE15" s="409">
        <v>274.15499999999997</v>
      </c>
      <c r="AF15" s="424">
        <v>138.72899999999998</v>
      </c>
      <c r="AG15" s="408">
        <v>163.44499999999999</v>
      </c>
      <c r="AH15" s="409">
        <v>24.716000000000008</v>
      </c>
      <c r="AI15" s="395"/>
    </row>
    <row r="16" spans="1:35" ht="13">
      <c r="A16" s="423" t="s">
        <v>659</v>
      </c>
      <c r="B16" s="424">
        <v>12</v>
      </c>
      <c r="C16" s="408">
        <v>461</v>
      </c>
      <c r="D16" s="409">
        <v>449</v>
      </c>
      <c r="E16" s="424">
        <v>18</v>
      </c>
      <c r="F16" s="408">
        <v>350</v>
      </c>
      <c r="G16" s="409">
        <v>332</v>
      </c>
      <c r="H16" s="424">
        <v>18</v>
      </c>
      <c r="I16" s="408">
        <v>501</v>
      </c>
      <c r="J16" s="409">
        <v>483</v>
      </c>
      <c r="K16" s="424">
        <v>16</v>
      </c>
      <c r="L16" s="408">
        <v>508</v>
      </c>
      <c r="M16" s="409">
        <v>492</v>
      </c>
      <c r="N16" s="424">
        <v>12</v>
      </c>
      <c r="O16" s="408">
        <v>494</v>
      </c>
      <c r="P16" s="409">
        <v>482</v>
      </c>
      <c r="Q16" s="424">
        <v>24</v>
      </c>
      <c r="R16" s="408">
        <v>552</v>
      </c>
      <c r="S16" s="409">
        <v>528</v>
      </c>
      <c r="T16" s="424">
        <v>33</v>
      </c>
      <c r="U16" s="408">
        <v>822</v>
      </c>
      <c r="V16" s="409">
        <v>789</v>
      </c>
      <c r="W16" s="424">
        <v>17</v>
      </c>
      <c r="X16" s="408">
        <v>670</v>
      </c>
      <c r="Y16" s="409">
        <v>653</v>
      </c>
      <c r="Z16" s="424">
        <v>13</v>
      </c>
      <c r="AA16" s="408">
        <v>1044</v>
      </c>
      <c r="AB16" s="409">
        <v>1031</v>
      </c>
      <c r="AC16" s="424">
        <v>26</v>
      </c>
      <c r="AD16" s="408">
        <v>1807</v>
      </c>
      <c r="AE16" s="409">
        <v>1781</v>
      </c>
      <c r="AF16" s="424">
        <v>792</v>
      </c>
      <c r="AG16" s="408">
        <v>2685</v>
      </c>
      <c r="AH16" s="409">
        <v>1893</v>
      </c>
      <c r="AI16" s="395"/>
    </row>
    <row r="17" spans="1:35" ht="13">
      <c r="A17" s="423" t="s">
        <v>660</v>
      </c>
      <c r="B17" s="424">
        <v>3.3010000000000002</v>
      </c>
      <c r="C17" s="425">
        <v>32.521999999999998</v>
      </c>
      <c r="D17" s="409">
        <v>29.220999999999997</v>
      </c>
      <c r="E17" s="424">
        <v>2.101</v>
      </c>
      <c r="F17" s="425">
        <v>20.716999999999999</v>
      </c>
      <c r="G17" s="409">
        <v>18.616</v>
      </c>
      <c r="H17" s="424">
        <v>1.4</v>
      </c>
      <c r="I17" s="425">
        <v>42.382999999999996</v>
      </c>
      <c r="J17" s="409">
        <v>40.982999999999997</v>
      </c>
      <c r="K17" s="424">
        <v>2.6229999999999998</v>
      </c>
      <c r="L17" s="425">
        <v>34.326000000000001</v>
      </c>
      <c r="M17" s="409">
        <v>31.702999999999999</v>
      </c>
      <c r="N17" s="424">
        <v>9.8929999999999989</v>
      </c>
      <c r="O17" s="425">
        <v>61.948000000000008</v>
      </c>
      <c r="P17" s="409">
        <v>52.055</v>
      </c>
      <c r="Q17" s="424">
        <v>4.5250000000000004</v>
      </c>
      <c r="R17" s="425">
        <v>29.938000000000002</v>
      </c>
      <c r="S17" s="409">
        <v>25.413000000000004</v>
      </c>
      <c r="T17" s="424">
        <v>2.4900000000000002</v>
      </c>
      <c r="U17" s="425">
        <v>24.2</v>
      </c>
      <c r="V17" s="409">
        <v>21.71</v>
      </c>
      <c r="W17" s="424">
        <v>10.722</v>
      </c>
      <c r="X17" s="425">
        <v>70.619</v>
      </c>
      <c r="Y17" s="409">
        <v>59.896999999999998</v>
      </c>
      <c r="Z17" s="424">
        <v>15.366</v>
      </c>
      <c r="AA17" s="425">
        <v>71.150000000000006</v>
      </c>
      <c r="AB17" s="409">
        <v>55.784000000000006</v>
      </c>
      <c r="AC17" s="424">
        <v>8.8659999999999997</v>
      </c>
      <c r="AD17" s="425">
        <v>87.183999999999997</v>
      </c>
      <c r="AE17" s="409">
        <v>78.317999999999998</v>
      </c>
      <c r="AF17" s="424">
        <v>12.620999999999999</v>
      </c>
      <c r="AG17" s="425">
        <v>39.640999999999998</v>
      </c>
      <c r="AH17" s="409">
        <v>27.02</v>
      </c>
      <c r="AI17" s="395"/>
    </row>
    <row r="18" spans="1:35" ht="13">
      <c r="A18" s="423" t="s">
        <v>661</v>
      </c>
      <c r="B18" s="424">
        <v>13.617000000000001</v>
      </c>
      <c r="C18" s="408">
        <v>413.19900000000001</v>
      </c>
      <c r="D18" s="409">
        <v>399.58199999999999</v>
      </c>
      <c r="E18" s="424">
        <v>238.03400000000002</v>
      </c>
      <c r="F18" s="408">
        <v>306.85899999999998</v>
      </c>
      <c r="G18" s="409">
        <v>68.825000000000003</v>
      </c>
      <c r="H18" s="424">
        <v>304.14600000000002</v>
      </c>
      <c r="I18" s="408">
        <v>334.88099999999997</v>
      </c>
      <c r="J18" s="409">
        <v>30.734999999999999</v>
      </c>
      <c r="K18" s="424">
        <v>334.13300000000004</v>
      </c>
      <c r="L18" s="408">
        <v>374.93700000000001</v>
      </c>
      <c r="M18" s="409">
        <v>40.803999999999974</v>
      </c>
      <c r="N18" s="424">
        <v>349.85500000000002</v>
      </c>
      <c r="O18" s="408">
        <v>523.00599999999997</v>
      </c>
      <c r="P18" s="409">
        <v>173.15100000000001</v>
      </c>
      <c r="Q18" s="424">
        <v>111.34099999999999</v>
      </c>
      <c r="R18" s="408">
        <v>437.065</v>
      </c>
      <c r="S18" s="409">
        <v>325.72399999999999</v>
      </c>
      <c r="T18" s="424">
        <v>350.58700000000005</v>
      </c>
      <c r="U18" s="408">
        <v>425.76300000000003</v>
      </c>
      <c r="V18" s="409">
        <v>75.175999999999988</v>
      </c>
      <c r="W18" s="424">
        <v>396.76900000000001</v>
      </c>
      <c r="X18" s="408">
        <v>621.72500000000002</v>
      </c>
      <c r="Y18" s="409">
        <v>224.95600000000002</v>
      </c>
      <c r="Z18" s="424">
        <v>699.096</v>
      </c>
      <c r="AA18" s="408">
        <v>944.16200000000003</v>
      </c>
      <c r="AB18" s="409">
        <v>245.06600000000003</v>
      </c>
      <c r="AC18" s="424">
        <v>469.59</v>
      </c>
      <c r="AD18" s="408">
        <v>781.53700000000003</v>
      </c>
      <c r="AE18" s="409">
        <v>311.947</v>
      </c>
      <c r="AF18" s="424">
        <v>217.35400000000001</v>
      </c>
      <c r="AG18" s="408">
        <v>660.83199999999999</v>
      </c>
      <c r="AH18" s="409">
        <v>443.47799999999995</v>
      </c>
      <c r="AI18" s="395"/>
    </row>
    <row r="19" spans="1:35" ht="13">
      <c r="A19" s="423" t="s">
        <v>662</v>
      </c>
      <c r="B19" s="424">
        <v>3465.6</v>
      </c>
      <c r="C19" s="408">
        <v>1393.854</v>
      </c>
      <c r="D19" s="409">
        <v>-2071.7460000000001</v>
      </c>
      <c r="E19" s="424">
        <v>2945</v>
      </c>
      <c r="F19" s="408">
        <v>1290</v>
      </c>
      <c r="G19" s="409">
        <v>-1655</v>
      </c>
      <c r="H19" s="424">
        <v>3664</v>
      </c>
      <c r="I19" s="408">
        <v>1901</v>
      </c>
      <c r="J19" s="409">
        <v>-1763</v>
      </c>
      <c r="K19" s="424">
        <v>4581.6840000000002</v>
      </c>
      <c r="L19" s="408">
        <v>2195.6950000000002</v>
      </c>
      <c r="M19" s="409">
        <v>-2385.989</v>
      </c>
      <c r="N19" s="424">
        <v>3727.4169999999999</v>
      </c>
      <c r="O19" s="408">
        <v>2992.6819999999998</v>
      </c>
      <c r="P19" s="409">
        <v>-734.73500000000001</v>
      </c>
      <c r="Q19" s="424">
        <v>5098.6669999999995</v>
      </c>
      <c r="R19" s="408">
        <v>3201.1220000000003</v>
      </c>
      <c r="S19" s="409">
        <v>-1897.5450000000001</v>
      </c>
      <c r="T19" s="424">
        <v>6240.0210000000006</v>
      </c>
      <c r="U19" s="408">
        <v>3620.4609999999998</v>
      </c>
      <c r="V19" s="409">
        <v>-2619.56</v>
      </c>
      <c r="W19" s="424">
        <v>6523.5730000000003</v>
      </c>
      <c r="X19" s="408">
        <v>4088.5529999999999</v>
      </c>
      <c r="Y19" s="409">
        <v>-2435.02</v>
      </c>
      <c r="Z19" s="424">
        <v>8314.1640000000007</v>
      </c>
      <c r="AA19" s="408">
        <v>3851.3310000000001</v>
      </c>
      <c r="AB19" s="409">
        <v>-4462.8330000000005</v>
      </c>
      <c r="AC19" s="424">
        <v>9551.4570000000003</v>
      </c>
      <c r="AD19" s="408">
        <v>4571.7669999999998</v>
      </c>
      <c r="AE19" s="409">
        <v>-4979.6899999999996</v>
      </c>
      <c r="AF19" s="424">
        <v>6679.4279999999999</v>
      </c>
      <c r="AG19" s="408">
        <v>3661.384</v>
      </c>
      <c r="AH19" s="409">
        <v>-3018.0439999999999</v>
      </c>
      <c r="AI19" s="395"/>
    </row>
    <row r="20" spans="1:35" ht="13">
      <c r="A20" s="423" t="s">
        <v>663</v>
      </c>
      <c r="B20" s="424">
        <v>104.85</v>
      </c>
      <c r="C20" s="408">
        <v>932.18399999999997</v>
      </c>
      <c r="D20" s="409">
        <v>827.33399999999995</v>
      </c>
      <c r="E20" s="424">
        <v>132.28</v>
      </c>
      <c r="F20" s="408">
        <v>626.99199999999996</v>
      </c>
      <c r="G20" s="409">
        <v>494.71199999999999</v>
      </c>
      <c r="H20" s="424">
        <v>78.143000000000001</v>
      </c>
      <c r="I20" s="408">
        <v>775.02099999999996</v>
      </c>
      <c r="J20" s="409">
        <v>696.87799999999993</v>
      </c>
      <c r="K20" s="424">
        <v>53.905000000000001</v>
      </c>
      <c r="L20" s="408">
        <v>889.08299999999997</v>
      </c>
      <c r="M20" s="409">
        <v>835.178</v>
      </c>
      <c r="N20" s="424">
        <v>127.459</v>
      </c>
      <c r="O20" s="408">
        <v>1265.3990000000001</v>
      </c>
      <c r="P20" s="409">
        <v>1137.94</v>
      </c>
      <c r="Q20" s="424">
        <v>72.27</v>
      </c>
      <c r="R20" s="408">
        <v>1057.4949999999999</v>
      </c>
      <c r="S20" s="409">
        <v>985.22500000000002</v>
      </c>
      <c r="T20" s="424">
        <v>48.131</v>
      </c>
      <c r="U20" s="408">
        <v>841.173</v>
      </c>
      <c r="V20" s="409">
        <v>793.04200000000003</v>
      </c>
      <c r="W20" s="424">
        <v>89.429000000000002</v>
      </c>
      <c r="X20" s="408">
        <v>1067.9279999999999</v>
      </c>
      <c r="Y20" s="409">
        <v>978.49899999999991</v>
      </c>
      <c r="Z20" s="424">
        <v>95.492999999999995</v>
      </c>
      <c r="AA20" s="408">
        <v>1468.1990000000001</v>
      </c>
      <c r="AB20" s="409">
        <v>1372.7060000000001</v>
      </c>
      <c r="AC20" s="424">
        <v>270.92900000000003</v>
      </c>
      <c r="AD20" s="408">
        <v>1709.53</v>
      </c>
      <c r="AE20" s="409">
        <v>1438.6009999999999</v>
      </c>
      <c r="AF20" s="424">
        <v>275.548</v>
      </c>
      <c r="AG20" s="408">
        <v>492.166</v>
      </c>
      <c r="AH20" s="409">
        <v>216.61799999999999</v>
      </c>
      <c r="AI20" s="395"/>
    </row>
    <row r="21" spans="1:35" ht="13">
      <c r="A21" s="423" t="s">
        <v>664</v>
      </c>
      <c r="B21" s="424">
        <v>64.849000000000004</v>
      </c>
      <c r="C21" s="408">
        <v>65.073000000000008</v>
      </c>
      <c r="D21" s="409">
        <v>0.22400000000000375</v>
      </c>
      <c r="E21" s="424">
        <v>62.266000000000005</v>
      </c>
      <c r="F21" s="408">
        <v>78.906000000000006</v>
      </c>
      <c r="G21" s="409">
        <v>16.64</v>
      </c>
      <c r="H21" s="424">
        <v>54.974000000000004</v>
      </c>
      <c r="I21" s="408">
        <v>89.510999999999996</v>
      </c>
      <c r="J21" s="409">
        <v>34.536999999999992</v>
      </c>
      <c r="K21" s="424">
        <v>26.838999999999999</v>
      </c>
      <c r="L21" s="408">
        <v>87.016999999999996</v>
      </c>
      <c r="M21" s="409">
        <v>60.177999999999997</v>
      </c>
      <c r="N21" s="424">
        <v>20.422000000000001</v>
      </c>
      <c r="O21" s="408">
        <v>84.358000000000004</v>
      </c>
      <c r="P21" s="409">
        <v>63.936000000000007</v>
      </c>
      <c r="Q21" s="424">
        <v>26.228000000000002</v>
      </c>
      <c r="R21" s="408">
        <v>110.032</v>
      </c>
      <c r="S21" s="409">
        <v>83.804000000000002</v>
      </c>
      <c r="T21" s="424">
        <v>25.6</v>
      </c>
      <c r="U21" s="408">
        <v>97.682000000000002</v>
      </c>
      <c r="V21" s="409">
        <v>72.081999999999994</v>
      </c>
      <c r="W21" s="424">
        <v>17.297000000000001</v>
      </c>
      <c r="X21" s="408">
        <v>89.736999999999995</v>
      </c>
      <c r="Y21" s="409">
        <v>72.44</v>
      </c>
      <c r="Z21" s="424">
        <v>14.757</v>
      </c>
      <c r="AA21" s="408">
        <v>129.27000000000001</v>
      </c>
      <c r="AB21" s="409">
        <v>114.51300000000001</v>
      </c>
      <c r="AC21" s="424">
        <v>35.599000000000004</v>
      </c>
      <c r="AD21" s="408">
        <v>193.74</v>
      </c>
      <c r="AE21" s="409">
        <v>158.14100000000002</v>
      </c>
      <c r="AF21" s="424">
        <v>12.288</v>
      </c>
      <c r="AG21" s="408">
        <v>143.46600000000001</v>
      </c>
      <c r="AH21" s="409">
        <v>131.178</v>
      </c>
      <c r="AI21" s="395"/>
    </row>
    <row r="22" spans="1:35" ht="13">
      <c r="A22" s="423" t="s">
        <v>665</v>
      </c>
      <c r="B22" s="424">
        <v>40</v>
      </c>
      <c r="C22" s="408">
        <v>866</v>
      </c>
      <c r="D22" s="409">
        <v>826</v>
      </c>
      <c r="E22" s="424">
        <v>70</v>
      </c>
      <c r="F22" s="408">
        <v>546</v>
      </c>
      <c r="G22" s="409">
        <v>476</v>
      </c>
      <c r="H22" s="424">
        <v>23</v>
      </c>
      <c r="I22" s="408">
        <v>683</v>
      </c>
      <c r="J22" s="409">
        <v>660</v>
      </c>
      <c r="K22" s="424">
        <v>27</v>
      </c>
      <c r="L22" s="408">
        <v>798</v>
      </c>
      <c r="M22" s="409">
        <v>771</v>
      </c>
      <c r="N22" s="424">
        <v>107</v>
      </c>
      <c r="O22" s="408">
        <v>1170</v>
      </c>
      <c r="P22" s="409">
        <v>1063</v>
      </c>
      <c r="Q22" s="424">
        <v>46</v>
      </c>
      <c r="R22" s="408">
        <v>945</v>
      </c>
      <c r="S22" s="409">
        <v>899</v>
      </c>
      <c r="T22" s="424">
        <v>16</v>
      </c>
      <c r="U22" s="408">
        <v>739</v>
      </c>
      <c r="V22" s="409">
        <v>723</v>
      </c>
      <c r="W22" s="424">
        <v>72</v>
      </c>
      <c r="X22" s="408">
        <v>973</v>
      </c>
      <c r="Y22" s="409">
        <v>901</v>
      </c>
      <c r="Z22" s="424">
        <v>80</v>
      </c>
      <c r="AA22" s="408">
        <v>1322</v>
      </c>
      <c r="AB22" s="409">
        <v>1242</v>
      </c>
      <c r="AC22" s="424">
        <v>235</v>
      </c>
      <c r="AD22" s="408">
        <v>1497</v>
      </c>
      <c r="AE22" s="409">
        <v>1262</v>
      </c>
      <c r="AF22" s="424">
        <v>263</v>
      </c>
      <c r="AG22" s="408">
        <v>277</v>
      </c>
      <c r="AH22" s="409">
        <v>14</v>
      </c>
      <c r="AI22" s="395"/>
    </row>
    <row r="23" spans="1:35" ht="13">
      <c r="A23" s="423" t="s">
        <v>666</v>
      </c>
      <c r="B23" s="424">
        <v>1E-3</v>
      </c>
      <c r="C23" s="408">
        <v>1.111</v>
      </c>
      <c r="D23" s="409">
        <v>1.1100000000000001</v>
      </c>
      <c r="E23" s="424">
        <v>1.3999999999999999E-2</v>
      </c>
      <c r="F23" s="408">
        <v>2.0859999999999999</v>
      </c>
      <c r="G23" s="409">
        <v>2.0720000000000001</v>
      </c>
      <c r="H23" s="424">
        <v>0.16900000000000001</v>
      </c>
      <c r="I23" s="408">
        <v>2.5099999999999998</v>
      </c>
      <c r="J23" s="409">
        <v>2.3410000000000002</v>
      </c>
      <c r="K23" s="424">
        <v>6.6000000000000003E-2</v>
      </c>
      <c r="L23" s="408">
        <v>4.0659999999999998</v>
      </c>
      <c r="M23" s="409">
        <v>4</v>
      </c>
      <c r="N23" s="424">
        <v>3.7000000000000005E-2</v>
      </c>
      <c r="O23" s="408">
        <v>11.041</v>
      </c>
      <c r="P23" s="409">
        <v>11.004</v>
      </c>
      <c r="Q23" s="424">
        <v>4.2000000000000003E-2</v>
      </c>
      <c r="R23" s="408">
        <v>2.4630000000000001</v>
      </c>
      <c r="S23" s="409">
        <v>2.4210000000000003</v>
      </c>
      <c r="T23" s="424">
        <v>6.5310000000000006</v>
      </c>
      <c r="U23" s="408">
        <v>4.4909999999999997</v>
      </c>
      <c r="V23" s="409">
        <v>-2.04</v>
      </c>
      <c r="W23" s="424">
        <v>0.13200000000000001</v>
      </c>
      <c r="X23" s="408">
        <v>5.1909999999999998</v>
      </c>
      <c r="Y23" s="409">
        <v>5.0590000000000002</v>
      </c>
      <c r="Z23" s="424">
        <v>0.73599999999999999</v>
      </c>
      <c r="AA23" s="408">
        <v>16.928999999999998</v>
      </c>
      <c r="AB23" s="409">
        <v>16.192999999999998</v>
      </c>
      <c r="AC23" s="424">
        <v>0.33</v>
      </c>
      <c r="AD23" s="408">
        <v>18.79</v>
      </c>
      <c r="AE23" s="409">
        <v>18.46</v>
      </c>
      <c r="AF23" s="424">
        <v>0.26</v>
      </c>
      <c r="AG23" s="408">
        <v>71.7</v>
      </c>
      <c r="AH23" s="409">
        <v>71.44</v>
      </c>
      <c r="AI23" s="395"/>
    </row>
    <row r="24" spans="1:35" ht="13">
      <c r="A24" s="423" t="s">
        <v>667</v>
      </c>
      <c r="B24" s="424">
        <v>84</v>
      </c>
      <c r="C24" s="408">
        <v>1321</v>
      </c>
      <c r="D24" s="409">
        <v>1237</v>
      </c>
      <c r="E24" s="424">
        <v>83</v>
      </c>
      <c r="F24" s="408">
        <v>1268</v>
      </c>
      <c r="G24" s="409">
        <v>1185</v>
      </c>
      <c r="H24" s="424">
        <v>87</v>
      </c>
      <c r="I24" s="408">
        <v>1847</v>
      </c>
      <c r="J24" s="409">
        <v>1760</v>
      </c>
      <c r="K24" s="424">
        <v>107</v>
      </c>
      <c r="L24" s="408">
        <v>1595</v>
      </c>
      <c r="M24" s="409">
        <v>1488</v>
      </c>
      <c r="N24" s="424">
        <v>115</v>
      </c>
      <c r="O24" s="408">
        <v>815</v>
      </c>
      <c r="P24" s="409">
        <v>700</v>
      </c>
      <c r="Q24" s="424">
        <v>79</v>
      </c>
      <c r="R24" s="408">
        <v>771</v>
      </c>
      <c r="S24" s="409">
        <v>692</v>
      </c>
      <c r="T24" s="424">
        <v>101</v>
      </c>
      <c r="U24" s="408">
        <v>938</v>
      </c>
      <c r="V24" s="409">
        <v>837</v>
      </c>
      <c r="W24" s="424">
        <v>170</v>
      </c>
      <c r="X24" s="408">
        <v>2117</v>
      </c>
      <c r="Y24" s="409">
        <v>1947</v>
      </c>
      <c r="Z24" s="424">
        <v>176</v>
      </c>
      <c r="AA24" s="408">
        <v>1663</v>
      </c>
      <c r="AB24" s="409">
        <v>1487</v>
      </c>
      <c r="AC24" s="424">
        <v>141</v>
      </c>
      <c r="AD24" s="408">
        <v>2331</v>
      </c>
      <c r="AE24" s="409">
        <v>2190</v>
      </c>
      <c r="AF24" s="424">
        <v>902</v>
      </c>
      <c r="AG24" s="408">
        <v>3967</v>
      </c>
      <c r="AH24" s="409">
        <v>3065</v>
      </c>
      <c r="AI24" s="395"/>
    </row>
    <row r="25" spans="1:35" ht="13">
      <c r="A25" s="423" t="s">
        <v>668</v>
      </c>
      <c r="B25" s="426" t="s">
        <v>640</v>
      </c>
      <c r="C25" s="410" t="s">
        <v>640</v>
      </c>
      <c r="D25" s="427" t="s">
        <v>640</v>
      </c>
      <c r="E25" s="426" t="s">
        <v>640</v>
      </c>
      <c r="F25" s="410" t="s">
        <v>640</v>
      </c>
      <c r="G25" s="427" t="s">
        <v>640</v>
      </c>
      <c r="H25" s="426" t="s">
        <v>640</v>
      </c>
      <c r="I25" s="410" t="s">
        <v>640</v>
      </c>
      <c r="J25" s="427" t="s">
        <v>640</v>
      </c>
      <c r="K25" s="426" t="s">
        <v>640</v>
      </c>
      <c r="L25" s="410" t="s">
        <v>640</v>
      </c>
      <c r="M25" s="427" t="s">
        <v>640</v>
      </c>
      <c r="N25" s="426" t="s">
        <v>640</v>
      </c>
      <c r="O25" s="410" t="s">
        <v>640</v>
      </c>
      <c r="P25" s="427" t="s">
        <v>640</v>
      </c>
      <c r="Q25" s="426" t="s">
        <v>640</v>
      </c>
      <c r="R25" s="410" t="s">
        <v>640</v>
      </c>
      <c r="S25" s="427" t="s">
        <v>640</v>
      </c>
      <c r="T25" s="426" t="s">
        <v>640</v>
      </c>
      <c r="U25" s="410" t="s">
        <v>640</v>
      </c>
      <c r="V25" s="427" t="s">
        <v>640</v>
      </c>
      <c r="W25" s="426" t="s">
        <v>640</v>
      </c>
      <c r="X25" s="410" t="s">
        <v>640</v>
      </c>
      <c r="Y25" s="427" t="s">
        <v>640</v>
      </c>
      <c r="Z25" s="426" t="s">
        <v>640</v>
      </c>
      <c r="AA25" s="410" t="s">
        <v>640</v>
      </c>
      <c r="AB25" s="427" t="s">
        <v>640</v>
      </c>
      <c r="AC25" s="426" t="s">
        <v>640</v>
      </c>
      <c r="AD25" s="410" t="s">
        <v>640</v>
      </c>
      <c r="AE25" s="427" t="s">
        <v>640</v>
      </c>
      <c r="AF25" s="424">
        <v>713</v>
      </c>
      <c r="AG25" s="408">
        <v>0</v>
      </c>
      <c r="AH25" s="409">
        <v>-713</v>
      </c>
      <c r="AI25" s="395"/>
    </row>
    <row r="26" spans="1:35" ht="13">
      <c r="A26" s="423" t="s">
        <v>671</v>
      </c>
      <c r="B26" s="424">
        <v>84</v>
      </c>
      <c r="C26" s="408">
        <v>1321</v>
      </c>
      <c r="D26" s="409">
        <v>1237</v>
      </c>
      <c r="E26" s="424">
        <v>83</v>
      </c>
      <c r="F26" s="408">
        <v>1268</v>
      </c>
      <c r="G26" s="409">
        <v>1185</v>
      </c>
      <c r="H26" s="424">
        <v>87</v>
      </c>
      <c r="I26" s="408">
        <v>1847</v>
      </c>
      <c r="J26" s="409">
        <v>1760</v>
      </c>
      <c r="K26" s="424">
        <v>107</v>
      </c>
      <c r="L26" s="408">
        <v>1595</v>
      </c>
      <c r="M26" s="409">
        <v>1488</v>
      </c>
      <c r="N26" s="424">
        <v>115</v>
      </c>
      <c r="O26" s="408">
        <v>815</v>
      </c>
      <c r="P26" s="409">
        <v>700</v>
      </c>
      <c r="Q26" s="424">
        <v>79</v>
      </c>
      <c r="R26" s="408">
        <v>771</v>
      </c>
      <c r="S26" s="409">
        <v>692</v>
      </c>
      <c r="T26" s="424">
        <v>101</v>
      </c>
      <c r="U26" s="408">
        <v>938</v>
      </c>
      <c r="V26" s="409">
        <v>837</v>
      </c>
      <c r="W26" s="424">
        <v>170</v>
      </c>
      <c r="X26" s="408">
        <v>2117</v>
      </c>
      <c r="Y26" s="409">
        <v>1947</v>
      </c>
      <c r="Z26" s="424">
        <v>176</v>
      </c>
      <c r="AA26" s="408">
        <v>1663</v>
      </c>
      <c r="AB26" s="409">
        <v>1487</v>
      </c>
      <c r="AC26" s="424">
        <v>141</v>
      </c>
      <c r="AD26" s="408">
        <v>2331</v>
      </c>
      <c r="AE26" s="409">
        <v>2190</v>
      </c>
      <c r="AF26" s="424">
        <v>189</v>
      </c>
      <c r="AG26" s="408">
        <v>3967</v>
      </c>
      <c r="AH26" s="409">
        <v>3778</v>
      </c>
      <c r="AI26" s="395"/>
    </row>
    <row r="27" spans="1:35" ht="13">
      <c r="A27" s="407"/>
      <c r="B27" s="424"/>
      <c r="C27" s="408"/>
      <c r="D27" s="409"/>
      <c r="E27" s="424"/>
      <c r="F27" s="408"/>
      <c r="G27" s="409"/>
      <c r="H27" s="424"/>
      <c r="I27" s="408"/>
      <c r="J27" s="409"/>
      <c r="K27" s="424"/>
      <c r="L27" s="408"/>
      <c r="M27" s="409"/>
      <c r="N27" s="424"/>
      <c r="O27" s="408"/>
      <c r="P27" s="409"/>
      <c r="Q27" s="424"/>
      <c r="R27" s="408"/>
      <c r="S27" s="409"/>
      <c r="T27" s="424"/>
      <c r="U27" s="408"/>
      <c r="V27" s="409"/>
      <c r="W27" s="424"/>
      <c r="X27" s="408"/>
      <c r="Y27" s="409"/>
      <c r="Z27" s="424"/>
      <c r="AA27" s="408"/>
      <c r="AB27" s="409"/>
      <c r="AC27" s="424"/>
      <c r="AD27" s="408"/>
      <c r="AE27" s="409"/>
      <c r="AF27" s="424"/>
      <c r="AG27" s="408"/>
      <c r="AH27" s="409"/>
      <c r="AI27" s="395"/>
    </row>
    <row r="28" spans="1:35" ht="13">
      <c r="A28" s="407" t="s">
        <v>675</v>
      </c>
      <c r="B28" s="424">
        <v>1244.501</v>
      </c>
      <c r="C28" s="408">
        <v>882.75799999999992</v>
      </c>
      <c r="D28" s="409">
        <v>-361.74300000000005</v>
      </c>
      <c r="E28" s="424">
        <v>507.7</v>
      </c>
      <c r="F28" s="408">
        <v>485.18899999999996</v>
      </c>
      <c r="G28" s="409">
        <v>-22.511000000000024</v>
      </c>
      <c r="H28" s="424">
        <v>1705.4490000000001</v>
      </c>
      <c r="I28" s="408">
        <v>726.14100000000008</v>
      </c>
      <c r="J28" s="409">
        <v>-979.30799999999999</v>
      </c>
      <c r="K28" s="424">
        <v>1305.7829999999999</v>
      </c>
      <c r="L28" s="408">
        <v>805.07400000000007</v>
      </c>
      <c r="M28" s="409">
        <v>-500.70899999999983</v>
      </c>
      <c r="N28" s="424">
        <v>1588.442</v>
      </c>
      <c r="O28" s="408">
        <v>628.61599999999999</v>
      </c>
      <c r="P28" s="409">
        <v>-959.82600000000002</v>
      </c>
      <c r="Q28" s="424">
        <v>1339.5050000000001</v>
      </c>
      <c r="R28" s="408">
        <v>841.55200000000002</v>
      </c>
      <c r="S28" s="409">
        <v>-497.95299999999986</v>
      </c>
      <c r="T28" s="424">
        <v>1098.3389999999999</v>
      </c>
      <c r="U28" s="408">
        <v>460.43399999999997</v>
      </c>
      <c r="V28" s="409">
        <v>-637.90499999999997</v>
      </c>
      <c r="W28" s="424">
        <v>5576.4859999999999</v>
      </c>
      <c r="X28" s="408">
        <v>1153.037</v>
      </c>
      <c r="Y28" s="409">
        <v>-4423.4489999999996</v>
      </c>
      <c r="Z28" s="424">
        <v>3756.739</v>
      </c>
      <c r="AA28" s="408">
        <v>1491.5070000000001</v>
      </c>
      <c r="AB28" s="409">
        <v>-2265.232</v>
      </c>
      <c r="AC28" s="424">
        <v>4082.527</v>
      </c>
      <c r="AD28" s="408">
        <v>2735.2330000000002</v>
      </c>
      <c r="AE28" s="409">
        <v>-1347.2939999999999</v>
      </c>
      <c r="AF28" s="424">
        <v>645.96900000000005</v>
      </c>
      <c r="AG28" s="408">
        <v>828.63400000000001</v>
      </c>
      <c r="AH28" s="409">
        <v>182.66499999999999</v>
      </c>
      <c r="AI28" s="395"/>
    </row>
    <row r="29" spans="1:35" ht="13">
      <c r="A29" s="407" t="s">
        <v>676</v>
      </c>
      <c r="B29" s="424">
        <v>87.731999999999985</v>
      </c>
      <c r="C29" s="408">
        <v>33.734999999999999</v>
      </c>
      <c r="D29" s="409">
        <v>-53.996999999999986</v>
      </c>
      <c r="E29" s="424">
        <v>200.66</v>
      </c>
      <c r="F29" s="408">
        <v>29.38</v>
      </c>
      <c r="G29" s="409">
        <v>-171.28</v>
      </c>
      <c r="H29" s="424">
        <v>189.81700000000001</v>
      </c>
      <c r="I29" s="408">
        <v>41.02</v>
      </c>
      <c r="J29" s="409">
        <v>-148.79700000000003</v>
      </c>
      <c r="K29" s="424">
        <v>327.90899999999999</v>
      </c>
      <c r="L29" s="408">
        <v>66.269000000000005</v>
      </c>
      <c r="M29" s="409">
        <v>-261.64</v>
      </c>
      <c r="N29" s="424">
        <v>88.468999999999994</v>
      </c>
      <c r="O29" s="408">
        <v>109.474</v>
      </c>
      <c r="P29" s="409">
        <v>21.004999999999999</v>
      </c>
      <c r="Q29" s="424">
        <v>169.64600000000002</v>
      </c>
      <c r="R29" s="408">
        <v>65.350999999999999</v>
      </c>
      <c r="S29" s="409">
        <v>-104.295</v>
      </c>
      <c r="T29" s="424">
        <v>96.295000000000002</v>
      </c>
      <c r="U29" s="408">
        <v>58.417000000000002</v>
      </c>
      <c r="V29" s="409">
        <v>-37.878</v>
      </c>
      <c r="W29" s="424">
        <v>216.38899999999998</v>
      </c>
      <c r="X29" s="408">
        <v>105.404</v>
      </c>
      <c r="Y29" s="409">
        <v>-110.985</v>
      </c>
      <c r="Z29" s="424">
        <v>310.59800000000001</v>
      </c>
      <c r="AA29" s="408">
        <v>90.584000000000003</v>
      </c>
      <c r="AB29" s="409">
        <v>-220.01400000000001</v>
      </c>
      <c r="AC29" s="424">
        <v>274.56200000000001</v>
      </c>
      <c r="AD29" s="408">
        <v>164.99299999999999</v>
      </c>
      <c r="AE29" s="409">
        <v>-109.56900000000002</v>
      </c>
      <c r="AF29" s="424">
        <v>25.279</v>
      </c>
      <c r="AG29" s="408">
        <v>77.216000000000008</v>
      </c>
      <c r="AH29" s="409">
        <v>51.937000000000012</v>
      </c>
      <c r="AI29" s="395"/>
    </row>
    <row r="30" spans="1:35" ht="13">
      <c r="A30" s="407" t="s">
        <v>677</v>
      </c>
      <c r="B30" s="424">
        <v>87.59899999999999</v>
      </c>
      <c r="C30" s="408">
        <v>23.457000000000001</v>
      </c>
      <c r="D30" s="409">
        <v>-64.141999999999996</v>
      </c>
      <c r="E30" s="424">
        <v>200.66</v>
      </c>
      <c r="F30" s="408">
        <v>23.266999999999999</v>
      </c>
      <c r="G30" s="409">
        <v>-177.393</v>
      </c>
      <c r="H30" s="424">
        <v>189.666</v>
      </c>
      <c r="I30" s="408">
        <v>24.693999999999999</v>
      </c>
      <c r="J30" s="409">
        <v>-164.97200000000001</v>
      </c>
      <c r="K30" s="424">
        <v>327.67</v>
      </c>
      <c r="L30" s="408">
        <v>60.835999999999999</v>
      </c>
      <c r="M30" s="409">
        <v>-266.834</v>
      </c>
      <c r="N30" s="424">
        <v>88.468999999999994</v>
      </c>
      <c r="O30" s="408">
        <v>50.576999999999998</v>
      </c>
      <c r="P30" s="409">
        <v>-37.891999999999996</v>
      </c>
      <c r="Q30" s="424">
        <v>169.50300000000001</v>
      </c>
      <c r="R30" s="408">
        <v>61.737000000000002</v>
      </c>
      <c r="S30" s="409">
        <v>-107.76600000000002</v>
      </c>
      <c r="T30" s="424">
        <v>96.295000000000002</v>
      </c>
      <c r="U30" s="408">
        <v>44.302999999999997</v>
      </c>
      <c r="V30" s="409">
        <v>-51.992000000000004</v>
      </c>
      <c r="W30" s="424">
        <v>215.55799999999999</v>
      </c>
      <c r="X30" s="408">
        <v>28.952000000000002</v>
      </c>
      <c r="Y30" s="409">
        <v>-186.60599999999999</v>
      </c>
      <c r="Z30" s="424">
        <v>310.16500000000002</v>
      </c>
      <c r="AA30" s="408">
        <v>49.232999999999997</v>
      </c>
      <c r="AB30" s="409">
        <v>-260.93200000000002</v>
      </c>
      <c r="AC30" s="424">
        <v>274.56200000000001</v>
      </c>
      <c r="AD30" s="408">
        <v>26.38</v>
      </c>
      <c r="AE30" s="409">
        <v>-248.18200000000002</v>
      </c>
      <c r="AF30" s="424">
        <v>25.279</v>
      </c>
      <c r="AG30" s="408">
        <v>2.95</v>
      </c>
      <c r="AH30" s="409">
        <v>-22.329000000000001</v>
      </c>
      <c r="AI30" s="395"/>
    </row>
    <row r="31" spans="1:35" ht="13">
      <c r="A31" s="407" t="s">
        <v>678</v>
      </c>
      <c r="B31" s="424">
        <v>84.623999999999995</v>
      </c>
      <c r="C31" s="408">
        <v>21.277000000000001</v>
      </c>
      <c r="D31" s="409">
        <v>-63.346999999999994</v>
      </c>
      <c r="E31" s="424">
        <v>153.44999999999999</v>
      </c>
      <c r="F31" s="408">
        <v>3.0529999999999999</v>
      </c>
      <c r="G31" s="409">
        <v>-150.39699999999999</v>
      </c>
      <c r="H31" s="424">
        <v>87.207999999999998</v>
      </c>
      <c r="I31" s="408">
        <v>3.4769999999999999</v>
      </c>
      <c r="J31" s="409">
        <v>-83.730999999999995</v>
      </c>
      <c r="K31" s="424">
        <v>223.261</v>
      </c>
      <c r="L31" s="408">
        <v>6.1459999999999999</v>
      </c>
      <c r="M31" s="409">
        <v>-217.11500000000001</v>
      </c>
      <c r="N31" s="424">
        <v>32.137999999999998</v>
      </c>
      <c r="O31" s="408">
        <v>22.106000000000002</v>
      </c>
      <c r="P31" s="409">
        <v>-10.031999999999996</v>
      </c>
      <c r="Q31" s="424">
        <v>29.46</v>
      </c>
      <c r="R31" s="408">
        <v>19.603000000000002</v>
      </c>
      <c r="S31" s="409">
        <v>-9.8569999999999993</v>
      </c>
      <c r="T31" s="424">
        <v>54</v>
      </c>
      <c r="U31" s="408">
        <v>12.626999999999999</v>
      </c>
      <c r="V31" s="409">
        <v>-41.373000000000005</v>
      </c>
      <c r="W31" s="424">
        <v>98.081000000000003</v>
      </c>
      <c r="X31" s="408">
        <v>5</v>
      </c>
      <c r="Y31" s="409">
        <v>-93.081000000000003</v>
      </c>
      <c r="Z31" s="424">
        <v>211.53100000000001</v>
      </c>
      <c r="AA31" s="408">
        <v>7.359</v>
      </c>
      <c r="AB31" s="409">
        <v>-204.172</v>
      </c>
      <c r="AC31" s="424">
        <v>153.38999999999999</v>
      </c>
      <c r="AD31" s="408">
        <v>12.738</v>
      </c>
      <c r="AE31" s="409">
        <v>-140.65200000000002</v>
      </c>
      <c r="AF31" s="424">
        <v>0.82</v>
      </c>
      <c r="AG31" s="408">
        <v>1.7829999999999999</v>
      </c>
      <c r="AH31" s="409">
        <v>0.96299999999999986</v>
      </c>
      <c r="AI31" s="395"/>
    </row>
    <row r="32" spans="1:35" ht="13">
      <c r="A32" s="407" t="s">
        <v>679</v>
      </c>
      <c r="B32" s="426" t="s">
        <v>640</v>
      </c>
      <c r="C32" s="410" t="s">
        <v>640</v>
      </c>
      <c r="D32" s="427" t="s">
        <v>640</v>
      </c>
      <c r="E32" s="426" t="s">
        <v>640</v>
      </c>
      <c r="F32" s="410" t="s">
        <v>640</v>
      </c>
      <c r="G32" s="427" t="s">
        <v>640</v>
      </c>
      <c r="H32" s="426" t="s">
        <v>640</v>
      </c>
      <c r="I32" s="410" t="s">
        <v>640</v>
      </c>
      <c r="J32" s="427" t="s">
        <v>640</v>
      </c>
      <c r="K32" s="426" t="s">
        <v>640</v>
      </c>
      <c r="L32" s="410" t="s">
        <v>640</v>
      </c>
      <c r="M32" s="427" t="s">
        <v>640</v>
      </c>
      <c r="N32" s="426" t="s">
        <v>640</v>
      </c>
      <c r="O32" s="410" t="s">
        <v>640</v>
      </c>
      <c r="P32" s="427" t="s">
        <v>640</v>
      </c>
      <c r="Q32" s="426" t="s">
        <v>640</v>
      </c>
      <c r="R32" s="410" t="s">
        <v>640</v>
      </c>
      <c r="S32" s="427" t="s">
        <v>640</v>
      </c>
      <c r="T32" s="426" t="s">
        <v>640</v>
      </c>
      <c r="U32" s="410" t="s">
        <v>640</v>
      </c>
      <c r="V32" s="427" t="s">
        <v>640</v>
      </c>
      <c r="W32" s="426" t="s">
        <v>640</v>
      </c>
      <c r="X32" s="410" t="s">
        <v>640</v>
      </c>
      <c r="Y32" s="427" t="s">
        <v>640</v>
      </c>
      <c r="Z32" s="426" t="s">
        <v>640</v>
      </c>
      <c r="AA32" s="410" t="s">
        <v>640</v>
      </c>
      <c r="AB32" s="427" t="s">
        <v>640</v>
      </c>
      <c r="AC32" s="426" t="s">
        <v>640</v>
      </c>
      <c r="AD32" s="410" t="s">
        <v>640</v>
      </c>
      <c r="AE32" s="427" t="s">
        <v>640</v>
      </c>
      <c r="AF32" s="426" t="s">
        <v>640</v>
      </c>
      <c r="AG32" s="410" t="s">
        <v>640</v>
      </c>
      <c r="AH32" s="427" t="s">
        <v>640</v>
      </c>
      <c r="AI32" s="395"/>
    </row>
    <row r="33" spans="1:35" ht="13">
      <c r="A33" s="407" t="s">
        <v>680</v>
      </c>
      <c r="B33" s="424">
        <v>2.9750000000000001</v>
      </c>
      <c r="C33" s="408">
        <v>2.1800000000000002</v>
      </c>
      <c r="D33" s="409">
        <v>-0.79500000000000004</v>
      </c>
      <c r="E33" s="424">
        <v>46.527000000000001</v>
      </c>
      <c r="F33" s="408">
        <v>4.6210000000000004</v>
      </c>
      <c r="G33" s="409">
        <v>-41.905999999999999</v>
      </c>
      <c r="H33" s="424">
        <v>102.45800000000001</v>
      </c>
      <c r="I33" s="408">
        <v>2.8559999999999999</v>
      </c>
      <c r="J33" s="409">
        <v>-99.602000000000018</v>
      </c>
      <c r="K33" s="424">
        <v>104.18700000000001</v>
      </c>
      <c r="L33" s="408">
        <v>3.2050000000000001</v>
      </c>
      <c r="M33" s="409">
        <v>-100.98200000000001</v>
      </c>
      <c r="N33" s="424">
        <v>56.331000000000003</v>
      </c>
      <c r="O33" s="408">
        <v>14.596</v>
      </c>
      <c r="P33" s="409">
        <v>-41.734999999999999</v>
      </c>
      <c r="Q33" s="424">
        <v>140.04300000000001</v>
      </c>
      <c r="R33" s="408">
        <v>24.940999999999999</v>
      </c>
      <c r="S33" s="409">
        <v>-115.102</v>
      </c>
      <c r="T33" s="424">
        <v>42.295000000000002</v>
      </c>
      <c r="U33" s="408">
        <v>13.122</v>
      </c>
      <c r="V33" s="409">
        <v>-29.173000000000002</v>
      </c>
      <c r="W33" s="424">
        <v>117.437</v>
      </c>
      <c r="X33" s="408">
        <v>10.96</v>
      </c>
      <c r="Y33" s="409">
        <v>-106.477</v>
      </c>
      <c r="Z33" s="424">
        <v>98.634</v>
      </c>
      <c r="AA33" s="408">
        <v>33.201999999999998</v>
      </c>
      <c r="AB33" s="409">
        <v>-65.432000000000002</v>
      </c>
      <c r="AC33" s="424">
        <v>100.99299999999999</v>
      </c>
      <c r="AD33" s="408">
        <v>4.4249999999999998</v>
      </c>
      <c r="AE33" s="409">
        <v>-96.567999999999998</v>
      </c>
      <c r="AF33" s="424">
        <v>23.954000000000001</v>
      </c>
      <c r="AG33" s="408">
        <v>0</v>
      </c>
      <c r="AH33" s="409">
        <v>-23.954000000000001</v>
      </c>
      <c r="AI33" s="395"/>
    </row>
    <row r="34" spans="1:35" ht="13">
      <c r="A34" s="407" t="s">
        <v>681</v>
      </c>
      <c r="B34" s="426" t="s">
        <v>640</v>
      </c>
      <c r="C34" s="410" t="s">
        <v>640</v>
      </c>
      <c r="D34" s="427" t="s">
        <v>640</v>
      </c>
      <c r="E34" s="424">
        <v>0.68300000000000005</v>
      </c>
      <c r="F34" s="408">
        <v>15.593</v>
      </c>
      <c r="G34" s="409">
        <v>14.91</v>
      </c>
      <c r="H34" s="424">
        <v>0</v>
      </c>
      <c r="I34" s="408">
        <v>18.361000000000001</v>
      </c>
      <c r="J34" s="409">
        <v>18.361000000000001</v>
      </c>
      <c r="K34" s="424">
        <v>0.222</v>
      </c>
      <c r="L34" s="408">
        <v>51.484999999999999</v>
      </c>
      <c r="M34" s="409">
        <v>51.262999999999998</v>
      </c>
      <c r="N34" s="424">
        <v>0</v>
      </c>
      <c r="O34" s="408">
        <v>13.875</v>
      </c>
      <c r="P34" s="409">
        <v>13.875</v>
      </c>
      <c r="Q34" s="424">
        <v>0</v>
      </c>
      <c r="R34" s="408">
        <v>17.193000000000001</v>
      </c>
      <c r="S34" s="409">
        <v>17.193000000000001</v>
      </c>
      <c r="T34" s="424">
        <v>0</v>
      </c>
      <c r="U34" s="408">
        <v>18.553999999999998</v>
      </c>
      <c r="V34" s="409">
        <v>18.553999999999998</v>
      </c>
      <c r="W34" s="424">
        <v>0.04</v>
      </c>
      <c r="X34" s="408">
        <v>12.992000000000001</v>
      </c>
      <c r="Y34" s="409">
        <v>12.952000000000002</v>
      </c>
      <c r="Z34" s="424">
        <v>0</v>
      </c>
      <c r="AA34" s="408">
        <v>8.6720000000000006</v>
      </c>
      <c r="AB34" s="409">
        <v>8.6720000000000006</v>
      </c>
      <c r="AC34" s="424">
        <v>20.178999999999998</v>
      </c>
      <c r="AD34" s="408">
        <v>9.2170000000000005</v>
      </c>
      <c r="AE34" s="409">
        <v>-10.961999999999998</v>
      </c>
      <c r="AF34" s="424">
        <v>0.505</v>
      </c>
      <c r="AG34" s="408">
        <v>1.167</v>
      </c>
      <c r="AH34" s="409">
        <v>0.66200000000000003</v>
      </c>
      <c r="AI34" s="395"/>
    </row>
    <row r="35" spans="1:35" ht="13">
      <c r="A35" s="407" t="s">
        <v>682</v>
      </c>
      <c r="B35" s="426" t="s">
        <v>640</v>
      </c>
      <c r="C35" s="410" t="s">
        <v>640</v>
      </c>
      <c r="D35" s="427" t="s">
        <v>640</v>
      </c>
      <c r="E35" s="426" t="s">
        <v>640</v>
      </c>
      <c r="F35" s="410" t="s">
        <v>640</v>
      </c>
      <c r="G35" s="427" t="s">
        <v>640</v>
      </c>
      <c r="H35" s="426" t="s">
        <v>640</v>
      </c>
      <c r="I35" s="410" t="s">
        <v>640</v>
      </c>
      <c r="J35" s="427" t="s">
        <v>640</v>
      </c>
      <c r="K35" s="426" t="s">
        <v>640</v>
      </c>
      <c r="L35" s="410" t="s">
        <v>640</v>
      </c>
      <c r="M35" s="427" t="s">
        <v>640</v>
      </c>
      <c r="N35" s="426" t="s">
        <v>640</v>
      </c>
      <c r="O35" s="410" t="s">
        <v>640</v>
      </c>
      <c r="P35" s="427" t="s">
        <v>640</v>
      </c>
      <c r="Q35" s="426" t="s">
        <v>640</v>
      </c>
      <c r="R35" s="410" t="s">
        <v>640</v>
      </c>
      <c r="S35" s="427" t="s">
        <v>640</v>
      </c>
      <c r="T35" s="426" t="s">
        <v>640</v>
      </c>
      <c r="U35" s="410" t="s">
        <v>640</v>
      </c>
      <c r="V35" s="427" t="s">
        <v>640</v>
      </c>
      <c r="W35" s="426" t="s">
        <v>640</v>
      </c>
      <c r="X35" s="410" t="s">
        <v>640</v>
      </c>
      <c r="Y35" s="427" t="s">
        <v>640</v>
      </c>
      <c r="Z35" s="426" t="s">
        <v>640</v>
      </c>
      <c r="AA35" s="410" t="s">
        <v>640</v>
      </c>
      <c r="AB35" s="427" t="s">
        <v>640</v>
      </c>
      <c r="AC35" s="426" t="s">
        <v>640</v>
      </c>
      <c r="AD35" s="410" t="s">
        <v>640</v>
      </c>
      <c r="AE35" s="427" t="s">
        <v>640</v>
      </c>
      <c r="AF35" s="426" t="s">
        <v>640</v>
      </c>
      <c r="AG35" s="410" t="s">
        <v>640</v>
      </c>
      <c r="AH35" s="427" t="s">
        <v>640</v>
      </c>
      <c r="AI35" s="395"/>
    </row>
    <row r="36" spans="1:35" ht="13">
      <c r="A36" s="407" t="s">
        <v>683</v>
      </c>
      <c r="B36" s="424">
        <v>0.13300000000000001</v>
      </c>
      <c r="C36" s="408">
        <v>10.278</v>
      </c>
      <c r="D36" s="409">
        <v>10.145</v>
      </c>
      <c r="E36" s="424">
        <v>0</v>
      </c>
      <c r="F36" s="408">
        <v>6.1130000000000004</v>
      </c>
      <c r="G36" s="409">
        <v>6.1130000000000004</v>
      </c>
      <c r="H36" s="424">
        <v>0.151</v>
      </c>
      <c r="I36" s="408">
        <v>16.326000000000001</v>
      </c>
      <c r="J36" s="409">
        <v>16.175000000000001</v>
      </c>
      <c r="K36" s="424">
        <v>0.23899999999999999</v>
      </c>
      <c r="L36" s="408">
        <v>5.4329999999999998</v>
      </c>
      <c r="M36" s="409">
        <v>5.194</v>
      </c>
      <c r="N36" s="424">
        <v>0</v>
      </c>
      <c r="O36" s="408">
        <v>58.897000000000006</v>
      </c>
      <c r="P36" s="409">
        <v>58.897000000000006</v>
      </c>
      <c r="Q36" s="424">
        <v>0.14300000000000002</v>
      </c>
      <c r="R36" s="408">
        <v>3.6139999999999999</v>
      </c>
      <c r="S36" s="409">
        <v>3.4710000000000001</v>
      </c>
      <c r="T36" s="424">
        <v>0</v>
      </c>
      <c r="U36" s="408">
        <v>14.114000000000001</v>
      </c>
      <c r="V36" s="409">
        <v>14.114000000000001</v>
      </c>
      <c r="W36" s="424">
        <v>0.83099999999999996</v>
      </c>
      <c r="X36" s="408">
        <v>76.451999999999998</v>
      </c>
      <c r="Y36" s="409">
        <v>75.620999999999995</v>
      </c>
      <c r="Z36" s="424">
        <v>0.433</v>
      </c>
      <c r="AA36" s="408">
        <v>41.350999999999999</v>
      </c>
      <c r="AB36" s="409">
        <v>40.917999999999999</v>
      </c>
      <c r="AC36" s="424">
        <v>0</v>
      </c>
      <c r="AD36" s="408">
        <v>138.613</v>
      </c>
      <c r="AE36" s="409">
        <v>138.613</v>
      </c>
      <c r="AF36" s="424">
        <v>0</v>
      </c>
      <c r="AG36" s="408">
        <v>74.266000000000005</v>
      </c>
      <c r="AH36" s="409">
        <v>74.266000000000005</v>
      </c>
      <c r="AI36" s="395"/>
    </row>
    <row r="37" spans="1:35" ht="13">
      <c r="A37" s="407" t="s">
        <v>678</v>
      </c>
      <c r="B37" s="424">
        <v>0.13300000000000001</v>
      </c>
      <c r="C37" s="408">
        <v>10.278</v>
      </c>
      <c r="D37" s="409">
        <v>10.145</v>
      </c>
      <c r="E37" s="424">
        <v>0</v>
      </c>
      <c r="F37" s="408">
        <v>0.432</v>
      </c>
      <c r="G37" s="409">
        <v>0.432</v>
      </c>
      <c r="H37" s="424">
        <v>1.9E-2</v>
      </c>
      <c r="I37" s="408">
        <v>0.497</v>
      </c>
      <c r="J37" s="409">
        <v>0.47799999999999998</v>
      </c>
      <c r="K37" s="424">
        <v>7.4999999999999997E-2</v>
      </c>
      <c r="L37" s="408">
        <v>3.2589999999999999</v>
      </c>
      <c r="M37" s="409">
        <v>3.1839999999999997</v>
      </c>
      <c r="N37" s="424">
        <v>0</v>
      </c>
      <c r="O37" s="408">
        <v>52.709000000000003</v>
      </c>
      <c r="P37" s="409">
        <v>52.709000000000003</v>
      </c>
      <c r="Q37" s="424">
        <v>0.01</v>
      </c>
      <c r="R37" s="408">
        <v>0.54900000000000004</v>
      </c>
      <c r="S37" s="409">
        <v>0.53900000000000003</v>
      </c>
      <c r="T37" s="424">
        <v>0</v>
      </c>
      <c r="U37" s="408">
        <v>1.48</v>
      </c>
      <c r="V37" s="409">
        <v>1.48</v>
      </c>
      <c r="W37" s="424">
        <v>0</v>
      </c>
      <c r="X37" s="408">
        <v>54.697000000000003</v>
      </c>
      <c r="Y37" s="409">
        <v>54.697000000000003</v>
      </c>
      <c r="Z37" s="424">
        <v>0</v>
      </c>
      <c r="AA37" s="408">
        <v>15.015000000000001</v>
      </c>
      <c r="AB37" s="409">
        <v>15.015000000000001</v>
      </c>
      <c r="AC37" s="424">
        <v>0</v>
      </c>
      <c r="AD37" s="408">
        <v>90.154000000000011</v>
      </c>
      <c r="AE37" s="409">
        <v>90.154000000000011</v>
      </c>
      <c r="AF37" s="424">
        <v>0</v>
      </c>
      <c r="AG37" s="408">
        <v>1.4999999999999999E-2</v>
      </c>
      <c r="AH37" s="409">
        <v>1.4999999999999999E-2</v>
      </c>
      <c r="AI37" s="395"/>
    </row>
    <row r="38" spans="1:35" ht="13">
      <c r="A38" s="407" t="s">
        <v>679</v>
      </c>
      <c r="B38" s="426" t="s">
        <v>640</v>
      </c>
      <c r="C38" s="410" t="s">
        <v>640</v>
      </c>
      <c r="D38" s="427" t="s">
        <v>640</v>
      </c>
      <c r="E38" s="426" t="s">
        <v>640</v>
      </c>
      <c r="F38" s="410" t="s">
        <v>640</v>
      </c>
      <c r="G38" s="427" t="s">
        <v>640</v>
      </c>
      <c r="H38" s="426" t="s">
        <v>640</v>
      </c>
      <c r="I38" s="410" t="s">
        <v>640</v>
      </c>
      <c r="J38" s="427" t="s">
        <v>640</v>
      </c>
      <c r="K38" s="426" t="s">
        <v>640</v>
      </c>
      <c r="L38" s="410" t="s">
        <v>640</v>
      </c>
      <c r="M38" s="427" t="s">
        <v>640</v>
      </c>
      <c r="N38" s="426" t="s">
        <v>640</v>
      </c>
      <c r="O38" s="410" t="s">
        <v>640</v>
      </c>
      <c r="P38" s="427" t="s">
        <v>640</v>
      </c>
      <c r="Q38" s="426" t="s">
        <v>640</v>
      </c>
      <c r="R38" s="410" t="s">
        <v>640</v>
      </c>
      <c r="S38" s="427" t="s">
        <v>640</v>
      </c>
      <c r="T38" s="426" t="s">
        <v>640</v>
      </c>
      <c r="U38" s="410" t="s">
        <v>640</v>
      </c>
      <c r="V38" s="427" t="s">
        <v>640</v>
      </c>
      <c r="W38" s="426" t="s">
        <v>640</v>
      </c>
      <c r="X38" s="410" t="s">
        <v>640</v>
      </c>
      <c r="Y38" s="427" t="s">
        <v>640</v>
      </c>
      <c r="Z38" s="426" t="s">
        <v>640</v>
      </c>
      <c r="AA38" s="410" t="s">
        <v>640</v>
      </c>
      <c r="AB38" s="427" t="s">
        <v>640</v>
      </c>
      <c r="AC38" s="426" t="s">
        <v>640</v>
      </c>
      <c r="AD38" s="410" t="s">
        <v>640</v>
      </c>
      <c r="AE38" s="427" t="s">
        <v>640</v>
      </c>
      <c r="AF38" s="426" t="s">
        <v>640</v>
      </c>
      <c r="AG38" s="410" t="s">
        <v>640</v>
      </c>
      <c r="AH38" s="427" t="s">
        <v>640</v>
      </c>
      <c r="AI38" s="395"/>
    </row>
    <row r="39" spans="1:35" ht="13">
      <c r="A39" s="407" t="s">
        <v>680</v>
      </c>
      <c r="B39" s="426" t="s">
        <v>640</v>
      </c>
      <c r="C39" s="410" t="s">
        <v>640</v>
      </c>
      <c r="D39" s="427" t="s">
        <v>640</v>
      </c>
      <c r="E39" s="424">
        <v>0</v>
      </c>
      <c r="F39" s="408">
        <v>0.5</v>
      </c>
      <c r="G39" s="409">
        <v>0.5</v>
      </c>
      <c r="H39" s="424">
        <v>0</v>
      </c>
      <c r="I39" s="408">
        <v>0</v>
      </c>
      <c r="J39" s="409">
        <v>0</v>
      </c>
      <c r="K39" s="424">
        <v>0</v>
      </c>
      <c r="L39" s="408">
        <v>0</v>
      </c>
      <c r="M39" s="409">
        <v>0</v>
      </c>
      <c r="N39" s="424">
        <v>0</v>
      </c>
      <c r="O39" s="408">
        <v>0</v>
      </c>
      <c r="P39" s="409">
        <v>0</v>
      </c>
      <c r="Q39" s="424">
        <v>0</v>
      </c>
      <c r="R39" s="408">
        <v>0</v>
      </c>
      <c r="S39" s="409">
        <v>0</v>
      </c>
      <c r="T39" s="424">
        <v>0</v>
      </c>
      <c r="U39" s="408">
        <v>0</v>
      </c>
      <c r="V39" s="409">
        <v>0</v>
      </c>
      <c r="W39" s="424">
        <v>0</v>
      </c>
      <c r="X39" s="408">
        <v>7.2039999999999997</v>
      </c>
      <c r="Y39" s="409">
        <v>7.2039999999999997</v>
      </c>
      <c r="Z39" s="424">
        <v>0</v>
      </c>
      <c r="AA39" s="408">
        <v>5.069</v>
      </c>
      <c r="AB39" s="409">
        <v>5.069</v>
      </c>
      <c r="AC39" s="424">
        <v>0</v>
      </c>
      <c r="AD39" s="408">
        <v>18.942</v>
      </c>
      <c r="AE39" s="409">
        <v>18.942</v>
      </c>
      <c r="AF39" s="424">
        <v>0</v>
      </c>
      <c r="AG39" s="408">
        <v>2.363</v>
      </c>
      <c r="AH39" s="409">
        <v>2.363</v>
      </c>
      <c r="AI39" s="395"/>
    </row>
    <row r="40" spans="1:35" ht="13">
      <c r="A40" s="407" t="s">
        <v>681</v>
      </c>
      <c r="B40" s="426" t="s">
        <v>640</v>
      </c>
      <c r="C40" s="410" t="s">
        <v>640</v>
      </c>
      <c r="D40" s="427" t="s">
        <v>640</v>
      </c>
      <c r="E40" s="424">
        <v>0</v>
      </c>
      <c r="F40" s="408">
        <v>5.181</v>
      </c>
      <c r="G40" s="409">
        <v>5.181</v>
      </c>
      <c r="H40" s="424">
        <v>0.13200000000000001</v>
      </c>
      <c r="I40" s="408">
        <v>15.829000000000001</v>
      </c>
      <c r="J40" s="409">
        <v>15.697000000000001</v>
      </c>
      <c r="K40" s="424">
        <v>0.16400000000000001</v>
      </c>
      <c r="L40" s="408">
        <v>2.1739999999999999</v>
      </c>
      <c r="M40" s="409">
        <v>2.0099999999999998</v>
      </c>
      <c r="N40" s="424">
        <v>0</v>
      </c>
      <c r="O40" s="408">
        <v>6.1879999999999997</v>
      </c>
      <c r="P40" s="409">
        <v>6.1879999999999997</v>
      </c>
      <c r="Q40" s="424">
        <v>0.13300000000000001</v>
      </c>
      <c r="R40" s="408">
        <v>3.0649999999999999</v>
      </c>
      <c r="S40" s="409">
        <v>2.9319999999999999</v>
      </c>
      <c r="T40" s="424">
        <v>0</v>
      </c>
      <c r="U40" s="408">
        <v>12.634</v>
      </c>
      <c r="V40" s="409">
        <v>12.634</v>
      </c>
      <c r="W40" s="424">
        <v>0.83099999999999996</v>
      </c>
      <c r="X40" s="408">
        <v>14.551</v>
      </c>
      <c r="Y40" s="409">
        <v>13.72</v>
      </c>
      <c r="Z40" s="424">
        <v>0.433</v>
      </c>
      <c r="AA40" s="408">
        <v>21.266999999999999</v>
      </c>
      <c r="AB40" s="409">
        <v>20.834</v>
      </c>
      <c r="AC40" s="424">
        <v>0</v>
      </c>
      <c r="AD40" s="408">
        <v>29.516999999999999</v>
      </c>
      <c r="AE40" s="409">
        <v>29.516999999999999</v>
      </c>
      <c r="AF40" s="424">
        <v>0</v>
      </c>
      <c r="AG40" s="408">
        <v>71.888000000000005</v>
      </c>
      <c r="AH40" s="409">
        <v>71.888000000000005</v>
      </c>
      <c r="AI40" s="395"/>
    </row>
    <row r="41" spans="1:35" ht="13">
      <c r="A41" s="407" t="s">
        <v>682</v>
      </c>
      <c r="B41" s="426" t="s">
        <v>640</v>
      </c>
      <c r="C41" s="410" t="s">
        <v>640</v>
      </c>
      <c r="D41" s="427" t="s">
        <v>640</v>
      </c>
      <c r="E41" s="426" t="s">
        <v>640</v>
      </c>
      <c r="F41" s="410" t="s">
        <v>640</v>
      </c>
      <c r="G41" s="427" t="s">
        <v>640</v>
      </c>
      <c r="H41" s="426" t="s">
        <v>640</v>
      </c>
      <c r="I41" s="410" t="s">
        <v>640</v>
      </c>
      <c r="J41" s="427" t="s">
        <v>640</v>
      </c>
      <c r="K41" s="426" t="s">
        <v>640</v>
      </c>
      <c r="L41" s="410" t="s">
        <v>640</v>
      </c>
      <c r="M41" s="427" t="s">
        <v>640</v>
      </c>
      <c r="N41" s="426" t="s">
        <v>640</v>
      </c>
      <c r="O41" s="410" t="s">
        <v>640</v>
      </c>
      <c r="P41" s="427" t="s">
        <v>640</v>
      </c>
      <c r="Q41" s="426" t="s">
        <v>640</v>
      </c>
      <c r="R41" s="410" t="s">
        <v>640</v>
      </c>
      <c r="S41" s="427" t="s">
        <v>640</v>
      </c>
      <c r="T41" s="426" t="s">
        <v>640</v>
      </c>
      <c r="U41" s="410" t="s">
        <v>640</v>
      </c>
      <c r="V41" s="427" t="s">
        <v>640</v>
      </c>
      <c r="W41" s="426" t="s">
        <v>640</v>
      </c>
      <c r="X41" s="410" t="s">
        <v>640</v>
      </c>
      <c r="Y41" s="427" t="s">
        <v>640</v>
      </c>
      <c r="Z41" s="426" t="s">
        <v>640</v>
      </c>
      <c r="AA41" s="410" t="s">
        <v>640</v>
      </c>
      <c r="AB41" s="427" t="s">
        <v>640</v>
      </c>
      <c r="AC41" s="426" t="s">
        <v>640</v>
      </c>
      <c r="AD41" s="410" t="s">
        <v>640</v>
      </c>
      <c r="AE41" s="427" t="s">
        <v>640</v>
      </c>
      <c r="AF41" s="426" t="s">
        <v>640</v>
      </c>
      <c r="AG41" s="410" t="s">
        <v>640</v>
      </c>
      <c r="AH41" s="427" t="s">
        <v>640</v>
      </c>
      <c r="AI41" s="395"/>
    </row>
    <row r="42" spans="1:35" ht="13">
      <c r="A42" s="407" t="s">
        <v>684</v>
      </c>
      <c r="B42" s="424">
        <v>18.038</v>
      </c>
      <c r="C42" s="408">
        <v>10.155999999999999</v>
      </c>
      <c r="D42" s="409">
        <v>-7.8820000000000014</v>
      </c>
      <c r="E42" s="424">
        <v>50.031999999999996</v>
      </c>
      <c r="F42" s="408">
        <v>73.820999999999998</v>
      </c>
      <c r="G42" s="409">
        <v>23.789000000000001</v>
      </c>
      <c r="H42" s="424">
        <v>81.650000000000006</v>
      </c>
      <c r="I42" s="408">
        <v>30.658999999999999</v>
      </c>
      <c r="J42" s="409">
        <v>-50.990999999999993</v>
      </c>
      <c r="K42" s="424">
        <v>3.1229999999999998</v>
      </c>
      <c r="L42" s="408">
        <v>18.967000000000002</v>
      </c>
      <c r="M42" s="409">
        <v>15.844000000000003</v>
      </c>
      <c r="N42" s="424">
        <v>310.28199999999998</v>
      </c>
      <c r="O42" s="408">
        <v>15.904</v>
      </c>
      <c r="P42" s="409">
        <v>-294.37799999999999</v>
      </c>
      <c r="Q42" s="424">
        <v>44.897000000000006</v>
      </c>
      <c r="R42" s="408">
        <v>30.68</v>
      </c>
      <c r="S42" s="409">
        <v>-14.217000000000006</v>
      </c>
      <c r="T42" s="424">
        <v>98.399000000000001</v>
      </c>
      <c r="U42" s="408">
        <v>37.557999999999993</v>
      </c>
      <c r="V42" s="409">
        <v>-60.841000000000008</v>
      </c>
      <c r="W42" s="424">
        <v>0.17699999999999999</v>
      </c>
      <c r="X42" s="408">
        <v>53.582000000000001</v>
      </c>
      <c r="Y42" s="409">
        <v>53.405000000000001</v>
      </c>
      <c r="Z42" s="424">
        <v>9.7530000000000001</v>
      </c>
      <c r="AA42" s="408">
        <v>28.868000000000002</v>
      </c>
      <c r="AB42" s="409">
        <v>19.114999999999998</v>
      </c>
      <c r="AC42" s="424">
        <v>0.73399999999999999</v>
      </c>
      <c r="AD42" s="408">
        <v>87.39</v>
      </c>
      <c r="AE42" s="409">
        <v>86.655999999999992</v>
      </c>
      <c r="AF42" s="424">
        <v>0.02</v>
      </c>
      <c r="AG42" s="408">
        <v>0.15</v>
      </c>
      <c r="AH42" s="409">
        <v>0.13</v>
      </c>
      <c r="AI42" s="395"/>
    </row>
    <row r="43" spans="1:35" ht="13">
      <c r="A43" s="407" t="s">
        <v>677</v>
      </c>
      <c r="B43" s="424">
        <v>2E-3</v>
      </c>
      <c r="C43" s="408">
        <v>6.5229999999999997</v>
      </c>
      <c r="D43" s="409">
        <v>6.5209999999999999</v>
      </c>
      <c r="E43" s="424">
        <v>4.0000000000000001E-3</v>
      </c>
      <c r="F43" s="408">
        <v>55.932000000000002</v>
      </c>
      <c r="G43" s="409">
        <v>55.928000000000004</v>
      </c>
      <c r="H43" s="424">
        <v>81.620999999999995</v>
      </c>
      <c r="I43" s="408">
        <v>1.5980000000000001</v>
      </c>
      <c r="J43" s="409">
        <v>-80.022999999999996</v>
      </c>
      <c r="K43" s="424">
        <v>3.113</v>
      </c>
      <c r="L43" s="408">
        <v>1.8090000000000002</v>
      </c>
      <c r="M43" s="409">
        <v>-1.3039999999999998</v>
      </c>
      <c r="N43" s="424">
        <v>309.46600000000001</v>
      </c>
      <c r="O43" s="408">
        <v>4.9630000000000001</v>
      </c>
      <c r="P43" s="409">
        <v>-304.50299999999999</v>
      </c>
      <c r="Q43" s="424">
        <v>44.822000000000003</v>
      </c>
      <c r="R43" s="408">
        <v>29.103000000000002</v>
      </c>
      <c r="S43" s="409">
        <v>-15.719000000000001</v>
      </c>
      <c r="T43" s="424">
        <v>98.198999999999998</v>
      </c>
      <c r="U43" s="408">
        <v>34.943999999999996</v>
      </c>
      <c r="V43" s="409">
        <v>-63.255000000000003</v>
      </c>
      <c r="W43" s="424">
        <v>0</v>
      </c>
      <c r="X43" s="408">
        <v>40.042999999999999</v>
      </c>
      <c r="Y43" s="409">
        <v>40.042999999999999</v>
      </c>
      <c r="Z43" s="424">
        <v>7.4160000000000004</v>
      </c>
      <c r="AA43" s="408">
        <v>18.891999999999999</v>
      </c>
      <c r="AB43" s="409">
        <v>11.475999999999999</v>
      </c>
      <c r="AC43" s="424">
        <v>0.65600000000000003</v>
      </c>
      <c r="AD43" s="408">
        <v>6.46</v>
      </c>
      <c r="AE43" s="409">
        <v>5.8040000000000003</v>
      </c>
      <c r="AF43" s="424">
        <v>7.0000000000000001E-3</v>
      </c>
      <c r="AG43" s="408">
        <v>0.113</v>
      </c>
      <c r="AH43" s="409">
        <v>0.106</v>
      </c>
      <c r="AI43" s="395"/>
    </row>
    <row r="44" spans="1:35" ht="13">
      <c r="A44" s="407" t="s">
        <v>685</v>
      </c>
      <c r="B44" s="424">
        <v>0</v>
      </c>
      <c r="C44" s="408">
        <v>2.9889999999999999</v>
      </c>
      <c r="D44" s="409">
        <v>2.9889999999999999</v>
      </c>
      <c r="E44" s="424">
        <v>4.0000000000000001E-3</v>
      </c>
      <c r="F44" s="408">
        <v>55.027999999999999</v>
      </c>
      <c r="G44" s="409">
        <v>55.024000000000001</v>
      </c>
      <c r="H44" s="424">
        <v>6.6210000000000004</v>
      </c>
      <c r="I44" s="408">
        <v>0.27799999999999997</v>
      </c>
      <c r="J44" s="409">
        <v>-6.3430000000000009</v>
      </c>
      <c r="K44" s="424">
        <v>3.0760000000000001</v>
      </c>
      <c r="L44" s="408">
        <v>0.05</v>
      </c>
      <c r="M44" s="409">
        <v>-3.0260000000000002</v>
      </c>
      <c r="N44" s="424">
        <v>59.466000000000001</v>
      </c>
      <c r="O44" s="408">
        <v>3.7999999999999999E-2</v>
      </c>
      <c r="P44" s="409">
        <v>-59.428000000000004</v>
      </c>
      <c r="Q44" s="424">
        <v>44.787000000000006</v>
      </c>
      <c r="R44" s="408">
        <v>0.25</v>
      </c>
      <c r="S44" s="409">
        <v>-44.537000000000006</v>
      </c>
      <c r="T44" s="424">
        <v>98.198999999999998</v>
      </c>
      <c r="U44" s="408">
        <v>0.85099999999999998</v>
      </c>
      <c r="V44" s="409">
        <v>-97.347999999999999</v>
      </c>
      <c r="W44" s="424">
        <v>0</v>
      </c>
      <c r="X44" s="408">
        <v>1.137</v>
      </c>
      <c r="Y44" s="409">
        <v>1.137</v>
      </c>
      <c r="Z44" s="424">
        <v>2.6819999999999999</v>
      </c>
      <c r="AA44" s="408">
        <v>9.9909999999999997</v>
      </c>
      <c r="AB44" s="409">
        <v>7.3089999999999993</v>
      </c>
      <c r="AC44" s="424">
        <v>0.65</v>
      </c>
      <c r="AD44" s="408">
        <v>0.106</v>
      </c>
      <c r="AE44" s="409">
        <v>-0.54400000000000004</v>
      </c>
      <c r="AF44" s="424">
        <v>7.0000000000000001E-3</v>
      </c>
      <c r="AG44" s="408">
        <v>0.113</v>
      </c>
      <c r="AH44" s="409">
        <v>0.106</v>
      </c>
      <c r="AI44" s="395"/>
    </row>
    <row r="45" spans="1:35" ht="13">
      <c r="A45" s="407" t="s">
        <v>686</v>
      </c>
      <c r="B45" s="424">
        <v>2E-3</v>
      </c>
      <c r="C45" s="408">
        <v>3.5339999999999998</v>
      </c>
      <c r="D45" s="409">
        <v>3.532</v>
      </c>
      <c r="E45" s="424">
        <v>0</v>
      </c>
      <c r="F45" s="408">
        <v>0.90400000000000003</v>
      </c>
      <c r="G45" s="409">
        <v>0.90400000000000003</v>
      </c>
      <c r="H45" s="424">
        <v>75</v>
      </c>
      <c r="I45" s="408">
        <v>1.32</v>
      </c>
      <c r="J45" s="409">
        <v>-73.680000000000007</v>
      </c>
      <c r="K45" s="424">
        <v>3.6999999999999998E-2</v>
      </c>
      <c r="L45" s="408">
        <v>1.7590000000000001</v>
      </c>
      <c r="M45" s="409">
        <v>1.7220000000000002</v>
      </c>
      <c r="N45" s="424">
        <v>250</v>
      </c>
      <c r="O45" s="408">
        <v>4.9249999999999998</v>
      </c>
      <c r="P45" s="409">
        <v>-245.07499999999999</v>
      </c>
      <c r="Q45" s="424">
        <v>3.5000000000000003E-2</v>
      </c>
      <c r="R45" s="408">
        <v>28.853000000000002</v>
      </c>
      <c r="S45" s="409">
        <v>28.818000000000001</v>
      </c>
      <c r="T45" s="424">
        <v>0</v>
      </c>
      <c r="U45" s="408">
        <v>34.092999999999996</v>
      </c>
      <c r="V45" s="409">
        <v>34.092999999999996</v>
      </c>
      <c r="W45" s="424">
        <v>0</v>
      </c>
      <c r="X45" s="408">
        <v>38.905999999999999</v>
      </c>
      <c r="Y45" s="409">
        <v>38.905999999999999</v>
      </c>
      <c r="Z45" s="424">
        <v>4.734</v>
      </c>
      <c r="AA45" s="408">
        <v>8.9009999999999998</v>
      </c>
      <c r="AB45" s="409">
        <v>4.1669999999999998</v>
      </c>
      <c r="AC45" s="424">
        <v>6.0000000000000001E-3</v>
      </c>
      <c r="AD45" s="408">
        <v>6.3540000000000001</v>
      </c>
      <c r="AE45" s="409">
        <v>6.3479999999999999</v>
      </c>
      <c r="AF45" s="424">
        <v>0</v>
      </c>
      <c r="AG45" s="408">
        <v>0</v>
      </c>
      <c r="AH45" s="409">
        <v>0</v>
      </c>
      <c r="AI45" s="395"/>
    </row>
    <row r="46" spans="1:35" ht="13">
      <c r="A46" s="407" t="s">
        <v>687</v>
      </c>
      <c r="B46" s="426" t="s">
        <v>640</v>
      </c>
      <c r="C46" s="410" t="s">
        <v>640</v>
      </c>
      <c r="D46" s="427" t="s">
        <v>640</v>
      </c>
      <c r="E46" s="424">
        <v>0</v>
      </c>
      <c r="F46" s="408">
        <v>0</v>
      </c>
      <c r="G46" s="409">
        <v>0</v>
      </c>
      <c r="H46" s="424">
        <v>75</v>
      </c>
      <c r="I46" s="408">
        <v>0</v>
      </c>
      <c r="J46" s="409">
        <v>-75</v>
      </c>
      <c r="K46" s="424">
        <v>0.01</v>
      </c>
      <c r="L46" s="408">
        <v>0</v>
      </c>
      <c r="M46" s="409">
        <v>-0.01</v>
      </c>
      <c r="N46" s="424">
        <v>250</v>
      </c>
      <c r="O46" s="408">
        <v>0</v>
      </c>
      <c r="P46" s="409">
        <v>-250</v>
      </c>
      <c r="Q46" s="424">
        <v>0</v>
      </c>
      <c r="R46" s="408">
        <v>0</v>
      </c>
      <c r="S46" s="409">
        <v>0</v>
      </c>
      <c r="T46" s="424">
        <v>0</v>
      </c>
      <c r="U46" s="408">
        <v>0</v>
      </c>
      <c r="V46" s="409">
        <v>0</v>
      </c>
      <c r="W46" s="424">
        <v>0</v>
      </c>
      <c r="X46" s="408">
        <v>0</v>
      </c>
      <c r="Y46" s="409">
        <v>0</v>
      </c>
      <c r="Z46" s="424">
        <v>4.734</v>
      </c>
      <c r="AA46" s="408">
        <v>0</v>
      </c>
      <c r="AB46" s="409">
        <v>-4.734</v>
      </c>
      <c r="AC46" s="424">
        <v>6.0000000000000001E-3</v>
      </c>
      <c r="AD46" s="408">
        <v>0</v>
      </c>
      <c r="AE46" s="409">
        <v>-6.0000000000000001E-3</v>
      </c>
      <c r="AF46" s="424">
        <v>0</v>
      </c>
      <c r="AG46" s="408">
        <v>0</v>
      </c>
      <c r="AH46" s="409">
        <v>0</v>
      </c>
      <c r="AI46" s="395"/>
    </row>
    <row r="47" spans="1:35" ht="13">
      <c r="A47" s="407" t="s">
        <v>688</v>
      </c>
      <c r="B47" s="426" t="s">
        <v>640</v>
      </c>
      <c r="C47" s="410" t="s">
        <v>640</v>
      </c>
      <c r="D47" s="427" t="s">
        <v>640</v>
      </c>
      <c r="E47" s="424">
        <v>0</v>
      </c>
      <c r="F47" s="408">
        <v>0.90400000000000003</v>
      </c>
      <c r="G47" s="409">
        <v>0.90400000000000003</v>
      </c>
      <c r="H47" s="424">
        <v>0</v>
      </c>
      <c r="I47" s="408">
        <v>1.32</v>
      </c>
      <c r="J47" s="409">
        <v>1.32</v>
      </c>
      <c r="K47" s="424">
        <v>2.7E-2</v>
      </c>
      <c r="L47" s="408">
        <v>1.7590000000000001</v>
      </c>
      <c r="M47" s="409">
        <v>1.7320000000000002</v>
      </c>
      <c r="N47" s="424">
        <v>0</v>
      </c>
      <c r="O47" s="408">
        <v>4.9249999999999998</v>
      </c>
      <c r="P47" s="409">
        <v>4.9249999999999998</v>
      </c>
      <c r="Q47" s="424">
        <v>3.5000000000000003E-2</v>
      </c>
      <c r="R47" s="408">
        <v>28.853000000000002</v>
      </c>
      <c r="S47" s="409">
        <v>28.818000000000001</v>
      </c>
      <c r="T47" s="424">
        <v>0</v>
      </c>
      <c r="U47" s="408">
        <v>34.092999999999996</v>
      </c>
      <c r="V47" s="409">
        <v>34.092999999999996</v>
      </c>
      <c r="W47" s="424">
        <v>0</v>
      </c>
      <c r="X47" s="408">
        <v>38.905999999999999</v>
      </c>
      <c r="Y47" s="409">
        <v>38.905999999999999</v>
      </c>
      <c r="Z47" s="424">
        <v>0</v>
      </c>
      <c r="AA47" s="408">
        <v>8.9009999999999998</v>
      </c>
      <c r="AB47" s="409">
        <v>8.9009999999999998</v>
      </c>
      <c r="AC47" s="424">
        <v>0</v>
      </c>
      <c r="AD47" s="408">
        <v>6.3540000000000001</v>
      </c>
      <c r="AE47" s="409">
        <v>6.3540000000000001</v>
      </c>
      <c r="AF47" s="424">
        <v>0</v>
      </c>
      <c r="AG47" s="408">
        <v>0</v>
      </c>
      <c r="AH47" s="409">
        <v>0</v>
      </c>
      <c r="AI47" s="395"/>
    </row>
    <row r="48" spans="1:35" ht="13">
      <c r="A48" s="407" t="s">
        <v>689</v>
      </c>
      <c r="B48" s="424">
        <v>0</v>
      </c>
      <c r="C48" s="408">
        <v>0</v>
      </c>
      <c r="D48" s="409">
        <v>0</v>
      </c>
      <c r="E48" s="424">
        <v>0</v>
      </c>
      <c r="F48" s="408">
        <v>0</v>
      </c>
      <c r="G48" s="409">
        <v>0</v>
      </c>
      <c r="H48" s="424">
        <v>0</v>
      </c>
      <c r="I48" s="408">
        <v>0</v>
      </c>
      <c r="J48" s="409">
        <v>0</v>
      </c>
      <c r="K48" s="424">
        <v>0</v>
      </c>
      <c r="L48" s="408">
        <v>0</v>
      </c>
      <c r="M48" s="409">
        <v>0</v>
      </c>
      <c r="N48" s="424">
        <v>0</v>
      </c>
      <c r="O48" s="408">
        <v>0</v>
      </c>
      <c r="P48" s="409">
        <v>0</v>
      </c>
      <c r="Q48" s="424">
        <v>0</v>
      </c>
      <c r="R48" s="408">
        <v>0</v>
      </c>
      <c r="S48" s="409">
        <v>0</v>
      </c>
      <c r="T48" s="424">
        <v>0</v>
      </c>
      <c r="U48" s="408">
        <v>0</v>
      </c>
      <c r="V48" s="409">
        <v>0</v>
      </c>
      <c r="W48" s="424">
        <v>0</v>
      </c>
      <c r="X48" s="408">
        <v>0</v>
      </c>
      <c r="Y48" s="409">
        <v>0</v>
      </c>
      <c r="Z48" s="424">
        <v>0</v>
      </c>
      <c r="AA48" s="408">
        <v>0</v>
      </c>
      <c r="AB48" s="409">
        <v>0</v>
      </c>
      <c r="AC48" s="424">
        <v>0</v>
      </c>
      <c r="AD48" s="408">
        <v>0</v>
      </c>
      <c r="AE48" s="409">
        <v>0</v>
      </c>
      <c r="AF48" s="424">
        <v>0</v>
      </c>
      <c r="AG48" s="408">
        <v>0</v>
      </c>
      <c r="AH48" s="409">
        <v>0</v>
      </c>
      <c r="AI48" s="395"/>
    </row>
    <row r="49" spans="1:256" ht="13">
      <c r="A49" s="407" t="s">
        <v>683</v>
      </c>
      <c r="B49" s="424">
        <v>18.036000000000001</v>
      </c>
      <c r="C49" s="408">
        <v>3.633</v>
      </c>
      <c r="D49" s="409">
        <v>-14.403000000000002</v>
      </c>
      <c r="E49" s="424">
        <v>50.027999999999999</v>
      </c>
      <c r="F49" s="408">
        <v>17.888999999999999</v>
      </c>
      <c r="G49" s="409">
        <v>-32.138999999999996</v>
      </c>
      <c r="H49" s="424">
        <v>2.9000000000000001E-2</v>
      </c>
      <c r="I49" s="408">
        <v>29.061</v>
      </c>
      <c r="J49" s="409">
        <v>29.032</v>
      </c>
      <c r="K49" s="424">
        <v>0.01</v>
      </c>
      <c r="L49" s="408">
        <v>17.158000000000001</v>
      </c>
      <c r="M49" s="409">
        <v>17.148</v>
      </c>
      <c r="N49" s="424">
        <v>0.81599999999999995</v>
      </c>
      <c r="O49" s="408">
        <v>10.940999999999999</v>
      </c>
      <c r="P49" s="409">
        <v>10.125</v>
      </c>
      <c r="Q49" s="424">
        <v>7.4999999999999997E-2</v>
      </c>
      <c r="R49" s="408">
        <v>1.577</v>
      </c>
      <c r="S49" s="409">
        <v>1.502</v>
      </c>
      <c r="T49" s="424">
        <v>0.2</v>
      </c>
      <c r="U49" s="408">
        <v>2.6139999999999999</v>
      </c>
      <c r="V49" s="409">
        <v>2.4139999999999997</v>
      </c>
      <c r="W49" s="424">
        <v>0.17699999999999999</v>
      </c>
      <c r="X49" s="408">
        <v>13.539000000000001</v>
      </c>
      <c r="Y49" s="409">
        <v>13.362000000000002</v>
      </c>
      <c r="Z49" s="424">
        <v>2.3370000000000002</v>
      </c>
      <c r="AA49" s="408">
        <v>9.9760000000000009</v>
      </c>
      <c r="AB49" s="409">
        <v>7.6390000000000011</v>
      </c>
      <c r="AC49" s="424">
        <v>7.8E-2</v>
      </c>
      <c r="AD49" s="408">
        <v>80.930000000000007</v>
      </c>
      <c r="AE49" s="409">
        <v>80.85199999999999</v>
      </c>
      <c r="AF49" s="424">
        <v>1.2999999999999999E-2</v>
      </c>
      <c r="AG49" s="408">
        <v>3.6999999999999998E-2</v>
      </c>
      <c r="AH49" s="409">
        <v>2.4E-2</v>
      </c>
      <c r="AI49" s="395"/>
    </row>
    <row r="50" spans="1:256" ht="13">
      <c r="A50" s="407" t="s">
        <v>685</v>
      </c>
      <c r="B50" s="424">
        <v>18.036000000000001</v>
      </c>
      <c r="C50" s="408">
        <v>3.5840000000000001</v>
      </c>
      <c r="D50" s="409">
        <v>-14.452000000000002</v>
      </c>
      <c r="E50" s="424">
        <v>2.8000000000000001E-2</v>
      </c>
      <c r="F50" s="408">
        <v>10.928999999999998</v>
      </c>
      <c r="G50" s="409">
        <v>10.900999999999998</v>
      </c>
      <c r="H50" s="424">
        <v>9.0000000000000011E-3</v>
      </c>
      <c r="I50" s="408">
        <v>7.6379999999999999</v>
      </c>
      <c r="J50" s="409">
        <v>7.6289999999999996</v>
      </c>
      <c r="K50" s="424">
        <v>0.01</v>
      </c>
      <c r="L50" s="408">
        <v>9.8529999999999998</v>
      </c>
      <c r="M50" s="409">
        <v>9.843</v>
      </c>
      <c r="N50" s="424">
        <v>0.81599999999999995</v>
      </c>
      <c r="O50" s="408">
        <v>4.7880000000000003</v>
      </c>
      <c r="P50" s="409">
        <v>3.9720000000000004</v>
      </c>
      <c r="Q50" s="424">
        <v>7.1999999999999995E-2</v>
      </c>
      <c r="R50" s="408">
        <v>1.169</v>
      </c>
      <c r="S50" s="409">
        <v>1.097</v>
      </c>
      <c r="T50" s="424">
        <v>0.13700000000000001</v>
      </c>
      <c r="U50" s="408">
        <v>2.6139999999999999</v>
      </c>
      <c r="V50" s="409">
        <v>2.4769999999999999</v>
      </c>
      <c r="W50" s="424">
        <v>0.17699999999999999</v>
      </c>
      <c r="X50" s="408">
        <v>13.524000000000001</v>
      </c>
      <c r="Y50" s="409">
        <v>13.347000000000001</v>
      </c>
      <c r="Z50" s="424">
        <v>2.0020000000000002</v>
      </c>
      <c r="AA50" s="408">
        <v>9.9760000000000009</v>
      </c>
      <c r="AB50" s="409">
        <v>7.9740000000000002</v>
      </c>
      <c r="AC50" s="424">
        <v>0.01</v>
      </c>
      <c r="AD50" s="408">
        <v>80.930000000000007</v>
      </c>
      <c r="AE50" s="409">
        <v>80.92</v>
      </c>
      <c r="AF50" s="424">
        <v>0</v>
      </c>
      <c r="AG50" s="408">
        <v>2.7E-2</v>
      </c>
      <c r="AH50" s="409">
        <v>2.7E-2</v>
      </c>
      <c r="AI50" s="395"/>
    </row>
    <row r="51" spans="1:256" ht="13">
      <c r="A51" s="407" t="s">
        <v>686</v>
      </c>
      <c r="B51" s="424">
        <v>0</v>
      </c>
      <c r="C51" s="408">
        <v>4.9000000000000002E-2</v>
      </c>
      <c r="D51" s="409">
        <v>4.9000000000000002E-2</v>
      </c>
      <c r="E51" s="424">
        <v>50</v>
      </c>
      <c r="F51" s="408">
        <v>6.96</v>
      </c>
      <c r="G51" s="409">
        <v>-43.04</v>
      </c>
      <c r="H51" s="424">
        <v>0.02</v>
      </c>
      <c r="I51" s="408">
        <v>21.422999999999998</v>
      </c>
      <c r="J51" s="409">
        <v>21.402999999999999</v>
      </c>
      <c r="K51" s="424">
        <v>0</v>
      </c>
      <c r="L51" s="408">
        <v>7.3049999999999997</v>
      </c>
      <c r="M51" s="409">
        <v>7.3049999999999997</v>
      </c>
      <c r="N51" s="424">
        <v>0</v>
      </c>
      <c r="O51" s="408">
        <v>6.1529999999999996</v>
      </c>
      <c r="P51" s="409">
        <v>6.1529999999999996</v>
      </c>
      <c r="Q51" s="424">
        <v>3.0000000000000001E-3</v>
      </c>
      <c r="R51" s="408">
        <v>0.40799999999999997</v>
      </c>
      <c r="S51" s="409">
        <v>0.40500000000000003</v>
      </c>
      <c r="T51" s="424">
        <v>6.3E-2</v>
      </c>
      <c r="U51" s="408">
        <v>0</v>
      </c>
      <c r="V51" s="409">
        <v>-6.3E-2</v>
      </c>
      <c r="W51" s="424">
        <v>0</v>
      </c>
      <c r="X51" s="408">
        <v>1.4999999999999999E-2</v>
      </c>
      <c r="Y51" s="409">
        <v>1.4999999999999999E-2</v>
      </c>
      <c r="Z51" s="424">
        <v>0.33500000000000002</v>
      </c>
      <c r="AA51" s="408">
        <v>0</v>
      </c>
      <c r="AB51" s="409">
        <v>-0.33500000000000002</v>
      </c>
      <c r="AC51" s="424">
        <v>6.8000000000000005E-2</v>
      </c>
      <c r="AD51" s="408">
        <v>0</v>
      </c>
      <c r="AE51" s="409">
        <v>-6.8000000000000005E-2</v>
      </c>
      <c r="AF51" s="424">
        <v>1.2999999999999999E-2</v>
      </c>
      <c r="AG51" s="408">
        <v>0.01</v>
      </c>
      <c r="AH51" s="409">
        <v>-2.9999999999999992E-3</v>
      </c>
      <c r="AI51" s="395"/>
    </row>
    <row r="52" spans="1:256" ht="13">
      <c r="A52" s="407" t="s">
        <v>687</v>
      </c>
      <c r="B52" s="424">
        <v>0</v>
      </c>
      <c r="C52" s="408">
        <v>0</v>
      </c>
      <c r="D52" s="409">
        <v>0</v>
      </c>
      <c r="E52" s="424">
        <v>50</v>
      </c>
      <c r="F52" s="408">
        <v>0</v>
      </c>
      <c r="G52" s="409">
        <v>-50</v>
      </c>
      <c r="H52" s="424">
        <v>0</v>
      </c>
      <c r="I52" s="408">
        <v>0</v>
      </c>
      <c r="J52" s="409">
        <v>0</v>
      </c>
      <c r="K52" s="424">
        <v>0</v>
      </c>
      <c r="L52" s="408">
        <v>9.4E-2</v>
      </c>
      <c r="M52" s="409">
        <v>9.4E-2</v>
      </c>
      <c r="N52" s="424">
        <v>0</v>
      </c>
      <c r="O52" s="408">
        <v>0</v>
      </c>
      <c r="P52" s="409">
        <v>0</v>
      </c>
      <c r="Q52" s="424">
        <v>0</v>
      </c>
      <c r="R52" s="408">
        <v>0</v>
      </c>
      <c r="S52" s="409">
        <v>0</v>
      </c>
      <c r="T52" s="424">
        <v>8.0000000000000002E-3</v>
      </c>
      <c r="U52" s="408">
        <v>0</v>
      </c>
      <c r="V52" s="409">
        <v>-8.0000000000000002E-3</v>
      </c>
      <c r="W52" s="424">
        <v>0</v>
      </c>
      <c r="X52" s="408">
        <v>0</v>
      </c>
      <c r="Y52" s="409">
        <v>0</v>
      </c>
      <c r="Z52" s="424">
        <v>0.32500000000000001</v>
      </c>
      <c r="AA52" s="408">
        <v>0</v>
      </c>
      <c r="AB52" s="409">
        <v>-0.32500000000000001</v>
      </c>
      <c r="AC52" s="424">
        <v>1.9E-2</v>
      </c>
      <c r="AD52" s="408">
        <v>0</v>
      </c>
      <c r="AE52" s="409">
        <v>-1.9E-2</v>
      </c>
      <c r="AF52" s="424">
        <v>1.0999999999999999E-2</v>
      </c>
      <c r="AG52" s="408">
        <v>0</v>
      </c>
      <c r="AH52" s="409">
        <v>-1.0999999999999999E-2</v>
      </c>
      <c r="AI52" s="395"/>
    </row>
    <row r="53" spans="1:256" ht="13">
      <c r="A53" s="407" t="s">
        <v>688</v>
      </c>
      <c r="B53" s="424">
        <v>0</v>
      </c>
      <c r="C53" s="408">
        <v>0</v>
      </c>
      <c r="D53" s="409">
        <v>0</v>
      </c>
      <c r="E53" s="424">
        <v>0</v>
      </c>
      <c r="F53" s="408">
        <v>6.96</v>
      </c>
      <c r="G53" s="409">
        <v>6.96</v>
      </c>
      <c r="H53" s="424">
        <v>0.02</v>
      </c>
      <c r="I53" s="408">
        <v>21.422999999999998</v>
      </c>
      <c r="J53" s="409">
        <v>21.402999999999999</v>
      </c>
      <c r="K53" s="424">
        <v>0</v>
      </c>
      <c r="L53" s="408">
        <v>7.2110000000000003</v>
      </c>
      <c r="M53" s="409">
        <v>7.2110000000000003</v>
      </c>
      <c r="N53" s="424">
        <v>0</v>
      </c>
      <c r="O53" s="408">
        <v>6.1529999999999996</v>
      </c>
      <c r="P53" s="409">
        <v>6.1529999999999996</v>
      </c>
      <c r="Q53" s="424">
        <v>3.0000000000000001E-3</v>
      </c>
      <c r="R53" s="408">
        <v>0.40799999999999997</v>
      </c>
      <c r="S53" s="409">
        <v>0.40500000000000003</v>
      </c>
      <c r="T53" s="424">
        <v>5.5E-2</v>
      </c>
      <c r="U53" s="408">
        <v>0</v>
      </c>
      <c r="V53" s="409">
        <v>-5.5E-2</v>
      </c>
      <c r="W53" s="424">
        <v>0</v>
      </c>
      <c r="X53" s="408">
        <v>1.4999999999999999E-2</v>
      </c>
      <c r="Y53" s="409">
        <v>1.4999999999999999E-2</v>
      </c>
      <c r="Z53" s="424">
        <v>0.01</v>
      </c>
      <c r="AA53" s="408">
        <v>0</v>
      </c>
      <c r="AB53" s="409">
        <v>-0.01</v>
      </c>
      <c r="AC53" s="424">
        <v>4.9000000000000002E-2</v>
      </c>
      <c r="AD53" s="408">
        <v>0</v>
      </c>
      <c r="AE53" s="409">
        <v>-4.9000000000000002E-2</v>
      </c>
      <c r="AF53" s="424">
        <v>2E-3</v>
      </c>
      <c r="AG53" s="408">
        <v>0.01</v>
      </c>
      <c r="AH53" s="409">
        <v>8.0000000000000002E-3</v>
      </c>
      <c r="AI53" s="395"/>
    </row>
    <row r="54" spans="1:256" ht="13">
      <c r="A54" s="407" t="s">
        <v>689</v>
      </c>
      <c r="B54" s="424">
        <v>0</v>
      </c>
      <c r="C54" s="408">
        <v>0</v>
      </c>
      <c r="D54" s="409">
        <v>0</v>
      </c>
      <c r="E54" s="424">
        <v>0</v>
      </c>
      <c r="F54" s="408">
        <v>0</v>
      </c>
      <c r="G54" s="409">
        <v>0</v>
      </c>
      <c r="H54" s="424">
        <v>0</v>
      </c>
      <c r="I54" s="408">
        <v>0</v>
      </c>
      <c r="J54" s="409">
        <v>0</v>
      </c>
      <c r="K54" s="424">
        <v>0</v>
      </c>
      <c r="L54" s="408">
        <v>0</v>
      </c>
      <c r="M54" s="409">
        <v>0</v>
      </c>
      <c r="N54" s="424">
        <v>0</v>
      </c>
      <c r="O54" s="408">
        <v>0</v>
      </c>
      <c r="P54" s="409">
        <v>0</v>
      </c>
      <c r="Q54" s="424">
        <v>0</v>
      </c>
      <c r="R54" s="408">
        <v>0</v>
      </c>
      <c r="S54" s="409">
        <v>0</v>
      </c>
      <c r="T54" s="424">
        <v>0</v>
      </c>
      <c r="U54" s="408">
        <v>0</v>
      </c>
      <c r="V54" s="409">
        <v>0</v>
      </c>
      <c r="W54" s="424">
        <v>0</v>
      </c>
      <c r="X54" s="408">
        <v>0</v>
      </c>
      <c r="Y54" s="409">
        <v>0</v>
      </c>
      <c r="Z54" s="424">
        <v>0</v>
      </c>
      <c r="AA54" s="408">
        <v>0</v>
      </c>
      <c r="AB54" s="409">
        <v>0</v>
      </c>
      <c r="AC54" s="424">
        <v>0</v>
      </c>
      <c r="AD54" s="408">
        <v>0</v>
      </c>
      <c r="AE54" s="409">
        <v>0</v>
      </c>
      <c r="AF54" s="424">
        <v>0</v>
      </c>
      <c r="AG54" s="408">
        <v>0</v>
      </c>
      <c r="AH54" s="409">
        <v>0</v>
      </c>
      <c r="AI54" s="395"/>
    </row>
    <row r="55" spans="1:256" ht="13">
      <c r="A55" s="407" t="s">
        <v>690</v>
      </c>
      <c r="B55" s="424">
        <v>1052.4010000000001</v>
      </c>
      <c r="C55" s="408">
        <v>815.87699999999995</v>
      </c>
      <c r="D55" s="409">
        <v>-236.52400000000011</v>
      </c>
      <c r="E55" s="424">
        <v>246.34800000000001</v>
      </c>
      <c r="F55" s="408">
        <v>348.74799999999999</v>
      </c>
      <c r="G55" s="409">
        <v>102.4</v>
      </c>
      <c r="H55" s="424">
        <v>1412.662</v>
      </c>
      <c r="I55" s="408">
        <v>611.25800000000004</v>
      </c>
      <c r="J55" s="409">
        <v>-801.404</v>
      </c>
      <c r="K55" s="424">
        <v>942.16800000000001</v>
      </c>
      <c r="L55" s="408">
        <v>665.12300000000005</v>
      </c>
      <c r="M55" s="409">
        <v>-277.04500000000002</v>
      </c>
      <c r="N55" s="424">
        <v>1159.8520000000001</v>
      </c>
      <c r="O55" s="408">
        <v>457.32299999999998</v>
      </c>
      <c r="P55" s="409">
        <v>-702.52900000000011</v>
      </c>
      <c r="Q55" s="424">
        <v>1102.2539999999999</v>
      </c>
      <c r="R55" s="408">
        <v>718.63499999999999</v>
      </c>
      <c r="S55" s="409">
        <v>-383.61899999999991</v>
      </c>
      <c r="T55" s="424">
        <v>889.649</v>
      </c>
      <c r="U55" s="408">
        <v>348.64099999999996</v>
      </c>
      <c r="V55" s="409">
        <v>-541.00800000000004</v>
      </c>
      <c r="W55" s="424">
        <v>5269.9849999999997</v>
      </c>
      <c r="X55" s="408">
        <v>942.48700000000008</v>
      </c>
      <c r="Y55" s="409">
        <v>-4327.4979999999996</v>
      </c>
      <c r="Z55" s="424">
        <v>3415.1120000000001</v>
      </c>
      <c r="AA55" s="408">
        <v>1309.1099999999999</v>
      </c>
      <c r="AB55" s="409">
        <v>-2106.002</v>
      </c>
      <c r="AC55" s="424">
        <v>3788.645</v>
      </c>
      <c r="AD55" s="408">
        <v>2435.7730000000001</v>
      </c>
      <c r="AE55" s="409">
        <v>-1352.8719999999998</v>
      </c>
      <c r="AF55" s="424">
        <v>596.24700000000007</v>
      </c>
      <c r="AG55" s="408">
        <v>641.005</v>
      </c>
      <c r="AH55" s="409">
        <v>44.757999999999925</v>
      </c>
      <c r="AI55" s="395"/>
    </row>
    <row r="56" spans="1:256" ht="13">
      <c r="A56" s="407" t="s">
        <v>691</v>
      </c>
      <c r="B56" s="424">
        <v>1052.4010000000001</v>
      </c>
      <c r="C56" s="408">
        <v>815.87699999999995</v>
      </c>
      <c r="D56" s="409">
        <v>-236.52400000000011</v>
      </c>
      <c r="E56" s="424">
        <v>246.34800000000001</v>
      </c>
      <c r="F56" s="408">
        <v>348.74799999999999</v>
      </c>
      <c r="G56" s="409">
        <v>102.4</v>
      </c>
      <c r="H56" s="424">
        <v>1412.662</v>
      </c>
      <c r="I56" s="408">
        <v>611.25800000000004</v>
      </c>
      <c r="J56" s="409">
        <v>-801.404</v>
      </c>
      <c r="K56" s="424">
        <v>942.16800000000001</v>
      </c>
      <c r="L56" s="408">
        <v>665.12300000000005</v>
      </c>
      <c r="M56" s="409">
        <v>-277.04500000000002</v>
      </c>
      <c r="N56" s="424">
        <v>1159.8520000000001</v>
      </c>
      <c r="O56" s="408">
        <v>457.32299999999998</v>
      </c>
      <c r="P56" s="409">
        <v>-702.52900000000011</v>
      </c>
      <c r="Q56" s="424">
        <v>1102.2539999999999</v>
      </c>
      <c r="R56" s="408">
        <v>718.63499999999999</v>
      </c>
      <c r="S56" s="409">
        <v>-383.61899999999991</v>
      </c>
      <c r="T56" s="424">
        <v>889.649</v>
      </c>
      <c r="U56" s="408">
        <v>348.64099999999996</v>
      </c>
      <c r="V56" s="409">
        <v>-541.00800000000004</v>
      </c>
      <c r="W56" s="424">
        <v>5269.9849999999997</v>
      </c>
      <c r="X56" s="428">
        <v>942.48700000000008</v>
      </c>
      <c r="Y56" s="409">
        <v>-4327.4979999999996</v>
      </c>
      <c r="Z56" s="424">
        <v>3415.1120000000001</v>
      </c>
      <c r="AA56" s="428">
        <v>1309.1099999999999</v>
      </c>
      <c r="AB56" s="409">
        <v>-2106.002</v>
      </c>
      <c r="AC56" s="424">
        <v>3788.645</v>
      </c>
      <c r="AD56" s="408">
        <v>2435.7730000000001</v>
      </c>
      <c r="AE56" s="409">
        <v>-1352.8719999999998</v>
      </c>
      <c r="AF56" s="424">
        <v>596.24700000000007</v>
      </c>
      <c r="AG56" s="408">
        <v>641.005</v>
      </c>
      <c r="AH56" s="409">
        <v>44.757999999999925</v>
      </c>
      <c r="AI56" s="395"/>
    </row>
    <row r="57" spans="1:256" ht="13">
      <c r="A57" s="407" t="s">
        <v>692</v>
      </c>
      <c r="B57" s="424"/>
      <c r="C57" s="408"/>
      <c r="D57" s="409"/>
      <c r="E57" s="424"/>
      <c r="F57" s="408"/>
      <c r="G57" s="409"/>
      <c r="H57" s="424"/>
      <c r="I57" s="408"/>
      <c r="J57" s="409"/>
      <c r="K57" s="424"/>
      <c r="L57" s="408"/>
      <c r="M57" s="409"/>
      <c r="N57" s="424"/>
      <c r="O57" s="408"/>
      <c r="P57" s="409"/>
      <c r="Q57" s="424"/>
      <c r="R57" s="408"/>
      <c r="S57" s="409"/>
      <c r="T57" s="424"/>
      <c r="U57" s="408"/>
      <c r="V57" s="409"/>
      <c r="W57" s="424"/>
      <c r="X57" s="408"/>
      <c r="Y57" s="409"/>
      <c r="Z57" s="424"/>
      <c r="AA57" s="408"/>
      <c r="AB57" s="409"/>
      <c r="AC57" s="424"/>
      <c r="AD57" s="408"/>
      <c r="AE57" s="409"/>
      <c r="AF57" s="424"/>
      <c r="AG57" s="408"/>
      <c r="AH57" s="409"/>
      <c r="AI57" s="395"/>
    </row>
    <row r="58" spans="1:256" ht="13">
      <c r="A58" s="407" t="s">
        <v>693</v>
      </c>
      <c r="B58" s="424">
        <v>84.953000000000003</v>
      </c>
      <c r="C58" s="408">
        <v>5.7000000000000002E-2</v>
      </c>
      <c r="D58" s="409">
        <v>-84.896000000000001</v>
      </c>
      <c r="E58" s="424">
        <v>6.6909999999999998</v>
      </c>
      <c r="F58" s="408">
        <v>0</v>
      </c>
      <c r="G58" s="409">
        <v>-6.6909999999999998</v>
      </c>
      <c r="H58" s="424">
        <v>12.510999999999999</v>
      </c>
      <c r="I58" s="408">
        <v>0</v>
      </c>
      <c r="J58" s="409">
        <v>-12.510999999999999</v>
      </c>
      <c r="K58" s="424">
        <v>15.984999999999999</v>
      </c>
      <c r="L58" s="408">
        <v>0</v>
      </c>
      <c r="M58" s="409">
        <v>-15.984999999999999</v>
      </c>
      <c r="N58" s="424">
        <v>15.777999999999999</v>
      </c>
      <c r="O58" s="408">
        <v>7.94</v>
      </c>
      <c r="P58" s="409">
        <v>-7.8379999999999983</v>
      </c>
      <c r="Q58" s="424">
        <v>17.149000000000001</v>
      </c>
      <c r="R58" s="408">
        <v>0</v>
      </c>
      <c r="S58" s="409">
        <v>-17.149000000000001</v>
      </c>
      <c r="T58" s="424">
        <v>13.984</v>
      </c>
      <c r="U58" s="408">
        <v>0</v>
      </c>
      <c r="V58" s="409">
        <v>-13.984</v>
      </c>
      <c r="W58" s="424">
        <v>75.018000000000001</v>
      </c>
      <c r="X58" s="408">
        <v>9.2710000000000008</v>
      </c>
      <c r="Y58" s="409">
        <v>-65.747</v>
      </c>
      <c r="Z58" s="424">
        <v>20.983000000000001</v>
      </c>
      <c r="AA58" s="408">
        <v>29.89</v>
      </c>
      <c r="AB58" s="409">
        <v>8.9069999999999965</v>
      </c>
      <c r="AC58" s="424">
        <v>18.585999999999999</v>
      </c>
      <c r="AD58" s="408">
        <v>35.417999999999999</v>
      </c>
      <c r="AE58" s="409">
        <v>16.832000000000001</v>
      </c>
      <c r="AF58" s="424">
        <v>24.394000000000002</v>
      </c>
      <c r="AG58" s="408">
        <v>103.25099999999999</v>
      </c>
      <c r="AH58" s="409">
        <v>78.856999999999985</v>
      </c>
      <c r="AI58" s="395"/>
    </row>
    <row r="59" spans="1:256" ht="13">
      <c r="A59" s="407" t="s">
        <v>694</v>
      </c>
      <c r="B59" s="424">
        <v>84.953000000000003</v>
      </c>
      <c r="C59" s="408">
        <v>5.7000000000000002E-2</v>
      </c>
      <c r="D59" s="409">
        <v>-84.896000000000001</v>
      </c>
      <c r="E59" s="424">
        <v>6.6909999999999998</v>
      </c>
      <c r="F59" s="408">
        <v>0</v>
      </c>
      <c r="G59" s="409">
        <v>-6.6909999999999998</v>
      </c>
      <c r="H59" s="424">
        <v>12.510999999999999</v>
      </c>
      <c r="I59" s="408">
        <v>0</v>
      </c>
      <c r="J59" s="409">
        <v>-12.510999999999999</v>
      </c>
      <c r="K59" s="424">
        <v>15.984999999999999</v>
      </c>
      <c r="L59" s="408">
        <v>0</v>
      </c>
      <c r="M59" s="409">
        <v>-15.984999999999999</v>
      </c>
      <c r="N59" s="424">
        <v>15.777999999999999</v>
      </c>
      <c r="O59" s="408">
        <v>7.94</v>
      </c>
      <c r="P59" s="409">
        <v>-7.8379999999999983</v>
      </c>
      <c r="Q59" s="424">
        <v>17.149000000000001</v>
      </c>
      <c r="R59" s="408">
        <v>0</v>
      </c>
      <c r="S59" s="409">
        <v>-17.149000000000001</v>
      </c>
      <c r="T59" s="424">
        <v>13.984</v>
      </c>
      <c r="U59" s="408">
        <v>0</v>
      </c>
      <c r="V59" s="409">
        <v>-13.984</v>
      </c>
      <c r="W59" s="424">
        <v>75.018000000000001</v>
      </c>
      <c r="X59" s="408">
        <v>9.2710000000000008</v>
      </c>
      <c r="Y59" s="409">
        <v>-65.747</v>
      </c>
      <c r="Z59" s="424">
        <v>20.983000000000001</v>
      </c>
      <c r="AA59" s="408">
        <v>29.89</v>
      </c>
      <c r="AB59" s="409">
        <v>8.9069999999999965</v>
      </c>
      <c r="AC59" s="424">
        <v>18.585999999999999</v>
      </c>
      <c r="AD59" s="408">
        <v>35.417999999999999</v>
      </c>
      <c r="AE59" s="409">
        <v>16.832000000000001</v>
      </c>
      <c r="AF59" s="424">
        <v>24.394000000000002</v>
      </c>
      <c r="AG59" s="408">
        <v>103.25099999999999</v>
      </c>
      <c r="AH59" s="409">
        <v>78.856999999999985</v>
      </c>
      <c r="AI59" s="395"/>
    </row>
    <row r="60" spans="1:256" ht="13">
      <c r="A60" s="407" t="s">
        <v>698</v>
      </c>
      <c r="B60" s="424"/>
      <c r="C60" s="408"/>
      <c r="D60" s="409"/>
      <c r="E60" s="424"/>
      <c r="F60" s="408"/>
      <c r="G60" s="409"/>
      <c r="H60" s="424"/>
      <c r="I60" s="408"/>
      <c r="J60" s="409"/>
      <c r="K60" s="424"/>
      <c r="L60" s="408"/>
      <c r="M60" s="409"/>
      <c r="N60" s="424"/>
      <c r="O60" s="408"/>
      <c r="P60" s="409"/>
      <c r="Q60" s="424"/>
      <c r="R60" s="408"/>
      <c r="S60" s="409"/>
      <c r="T60" s="424"/>
      <c r="U60" s="408"/>
      <c r="V60" s="409"/>
      <c r="W60" s="424"/>
      <c r="X60" s="408"/>
      <c r="Y60" s="409"/>
      <c r="Z60" s="424"/>
      <c r="AA60" s="408"/>
      <c r="AB60" s="409"/>
      <c r="AC60" s="424"/>
      <c r="AD60" s="408"/>
      <c r="AE60" s="409"/>
      <c r="AF60" s="424"/>
      <c r="AG60" s="408"/>
      <c r="AH60" s="409"/>
      <c r="AI60" s="395"/>
    </row>
    <row r="61" spans="1:256" ht="13">
      <c r="A61" s="407" t="s">
        <v>699</v>
      </c>
      <c r="B61" s="424">
        <v>1.377</v>
      </c>
      <c r="C61" s="408">
        <v>22.933</v>
      </c>
      <c r="D61" s="409">
        <v>21.556000000000001</v>
      </c>
      <c r="E61" s="424">
        <v>3.9689999999999999</v>
      </c>
      <c r="F61" s="408">
        <v>33.24</v>
      </c>
      <c r="G61" s="409">
        <v>29.271000000000001</v>
      </c>
      <c r="H61" s="424">
        <v>8.8089999999999993</v>
      </c>
      <c r="I61" s="408">
        <v>43.204000000000001</v>
      </c>
      <c r="J61" s="409">
        <v>34.395000000000003</v>
      </c>
      <c r="K61" s="424">
        <v>16.597999999999999</v>
      </c>
      <c r="L61" s="408">
        <v>54.715000000000003</v>
      </c>
      <c r="M61" s="409">
        <v>38.117000000000004</v>
      </c>
      <c r="N61" s="424">
        <v>14.061</v>
      </c>
      <c r="O61" s="408">
        <v>37.975000000000001</v>
      </c>
      <c r="P61" s="409">
        <v>23.914000000000001</v>
      </c>
      <c r="Q61" s="424">
        <v>5.5590000000000002</v>
      </c>
      <c r="R61" s="408">
        <v>26.885999999999999</v>
      </c>
      <c r="S61" s="409">
        <v>21.326999999999998</v>
      </c>
      <c r="T61" s="424">
        <v>1.2E-2</v>
      </c>
      <c r="U61" s="408">
        <v>15.818</v>
      </c>
      <c r="V61" s="409">
        <v>15.805999999999999</v>
      </c>
      <c r="W61" s="424">
        <v>14.917</v>
      </c>
      <c r="X61" s="408">
        <v>42.292999999999999</v>
      </c>
      <c r="Y61" s="409">
        <v>27.375999999999998</v>
      </c>
      <c r="Z61" s="424">
        <v>0.29300000000000004</v>
      </c>
      <c r="AA61" s="408">
        <v>33.055</v>
      </c>
      <c r="AB61" s="409">
        <v>32.762</v>
      </c>
      <c r="AC61" s="424">
        <v>0</v>
      </c>
      <c r="AD61" s="408">
        <v>11.658999999999999</v>
      </c>
      <c r="AE61" s="409">
        <v>11.658999999999999</v>
      </c>
      <c r="AF61" s="424">
        <v>2.9000000000000001E-2</v>
      </c>
      <c r="AG61" s="408">
        <v>7.0120000000000005</v>
      </c>
      <c r="AH61" s="409">
        <v>6.9830000000000005</v>
      </c>
      <c r="AI61" s="395"/>
    </row>
    <row r="62" spans="1:256" ht="13">
      <c r="A62" s="423"/>
      <c r="B62" s="424"/>
      <c r="C62" s="408"/>
      <c r="D62" s="409"/>
      <c r="E62" s="424"/>
      <c r="F62" s="408"/>
      <c r="G62" s="409"/>
      <c r="H62" s="424"/>
      <c r="I62" s="408"/>
      <c r="J62" s="409"/>
      <c r="K62" s="424"/>
      <c r="L62" s="408"/>
      <c r="M62" s="409"/>
      <c r="N62" s="424"/>
      <c r="O62" s="408"/>
      <c r="P62" s="409"/>
      <c r="Q62" s="424"/>
      <c r="R62" s="408"/>
      <c r="S62" s="409"/>
      <c r="T62" s="424"/>
      <c r="U62" s="408"/>
      <c r="V62" s="409"/>
      <c r="W62" s="424"/>
      <c r="X62" s="408"/>
      <c r="Y62" s="409"/>
      <c r="Z62" s="424"/>
      <c r="AA62" s="408"/>
      <c r="AB62" s="409"/>
      <c r="AC62" s="424"/>
      <c r="AD62" s="408"/>
      <c r="AE62" s="409"/>
      <c r="AF62" s="424"/>
      <c r="AG62" s="408"/>
      <c r="AH62" s="409"/>
      <c r="AI62" s="395"/>
    </row>
    <row r="63" spans="1:256" ht="13">
      <c r="A63" s="423" t="s">
        <v>715</v>
      </c>
      <c r="B63" s="429">
        <v>0.85</v>
      </c>
      <c r="C63" s="425">
        <v>49.399000000000001</v>
      </c>
      <c r="D63" s="430">
        <v>48.548999999999999</v>
      </c>
      <c r="E63" s="429">
        <v>0.58899999999999997</v>
      </c>
      <c r="F63" s="425">
        <v>33.222000000000001</v>
      </c>
      <c r="G63" s="430">
        <v>32.633000000000003</v>
      </c>
      <c r="H63" s="429">
        <v>0.63100000000000001</v>
      </c>
      <c r="I63" s="425">
        <v>45.465000000000003</v>
      </c>
      <c r="J63" s="430">
        <v>44.833999999999996</v>
      </c>
      <c r="K63" s="429">
        <v>0.71</v>
      </c>
      <c r="L63" s="425">
        <v>46.302</v>
      </c>
      <c r="M63" s="430">
        <v>45.591999999999999</v>
      </c>
      <c r="N63" s="429">
        <v>0.73899999999999999</v>
      </c>
      <c r="O63" s="425">
        <v>44.741</v>
      </c>
      <c r="P63" s="430">
        <v>44.002000000000002</v>
      </c>
      <c r="Q63" s="429">
        <v>1.345</v>
      </c>
      <c r="R63" s="425">
        <v>39.566000000000003</v>
      </c>
      <c r="S63" s="430">
        <v>38.221000000000004</v>
      </c>
      <c r="T63" s="429">
        <v>0.59200000000000008</v>
      </c>
      <c r="U63" s="425">
        <v>64.965999999999994</v>
      </c>
      <c r="V63" s="430">
        <v>64.373999999999995</v>
      </c>
      <c r="W63" s="429">
        <v>0.54200000000000004</v>
      </c>
      <c r="X63" s="425">
        <v>64.813000000000002</v>
      </c>
      <c r="Y63" s="430">
        <v>64.271000000000001</v>
      </c>
      <c r="Z63" s="429">
        <v>0.77700000000000002</v>
      </c>
      <c r="AA63" s="425">
        <v>99.11</v>
      </c>
      <c r="AB63" s="430">
        <v>98.332999999999998</v>
      </c>
      <c r="AC63" s="429">
        <v>1</v>
      </c>
      <c r="AD63" s="425">
        <v>172</v>
      </c>
      <c r="AE63" s="430">
        <v>171</v>
      </c>
      <c r="AF63" s="429">
        <v>1</v>
      </c>
      <c r="AG63" s="425">
        <v>333</v>
      </c>
      <c r="AH63" s="430">
        <v>332</v>
      </c>
      <c r="AI63" s="395"/>
      <c r="AJ63" s="431"/>
      <c r="AK63" s="431"/>
      <c r="AL63" s="431"/>
      <c r="AM63" s="431"/>
      <c r="AN63" s="431"/>
      <c r="AO63" s="431"/>
      <c r="AP63" s="431"/>
      <c r="AQ63" s="431"/>
      <c r="AR63" s="431"/>
      <c r="AS63" s="431"/>
      <c r="AT63" s="431"/>
      <c r="AU63" s="431"/>
      <c r="AV63" s="431"/>
      <c r="AW63" s="431"/>
      <c r="AX63" s="431"/>
      <c r="AY63" s="431"/>
      <c r="AZ63" s="431"/>
      <c r="BA63" s="431"/>
      <c r="BB63" s="431"/>
      <c r="BC63" s="431"/>
      <c r="BD63" s="431"/>
      <c r="BE63" s="431"/>
      <c r="BF63" s="431"/>
      <c r="BG63" s="431"/>
      <c r="BH63" s="431"/>
      <c r="BI63" s="431"/>
      <c r="BJ63" s="431"/>
      <c r="BK63" s="431"/>
      <c r="BL63" s="431"/>
      <c r="BM63" s="431"/>
      <c r="BN63" s="431"/>
      <c r="BO63" s="431"/>
      <c r="BP63" s="431"/>
      <c r="BQ63" s="431"/>
      <c r="BR63" s="431"/>
      <c r="BS63" s="431"/>
      <c r="BT63" s="431"/>
      <c r="BU63" s="431"/>
      <c r="BV63" s="431"/>
      <c r="BW63" s="431"/>
      <c r="BX63" s="431"/>
      <c r="BY63" s="431"/>
      <c r="BZ63" s="431"/>
      <c r="CA63" s="431"/>
      <c r="CB63" s="431"/>
      <c r="CC63" s="431"/>
      <c r="CD63" s="431"/>
      <c r="CE63" s="431"/>
      <c r="CF63" s="431"/>
      <c r="CG63" s="431"/>
      <c r="CH63" s="431"/>
      <c r="CI63" s="431"/>
      <c r="CJ63" s="431"/>
      <c r="CK63" s="431"/>
      <c r="CL63" s="431"/>
      <c r="CM63" s="431"/>
      <c r="CN63" s="431"/>
      <c r="CO63" s="431"/>
      <c r="CP63" s="431"/>
      <c r="CQ63" s="431"/>
      <c r="CR63" s="431"/>
      <c r="CS63" s="431"/>
      <c r="CT63" s="431"/>
      <c r="CU63" s="431"/>
      <c r="CV63" s="431"/>
      <c r="CW63" s="431"/>
      <c r="CX63" s="431"/>
      <c r="CY63" s="431"/>
      <c r="CZ63" s="431"/>
      <c r="DA63" s="431"/>
      <c r="DB63" s="431"/>
      <c r="DC63" s="431"/>
      <c r="DD63" s="431"/>
      <c r="DE63" s="431"/>
      <c r="DF63" s="431"/>
      <c r="DG63" s="431"/>
      <c r="DH63" s="431"/>
      <c r="DI63" s="431"/>
      <c r="DJ63" s="431"/>
      <c r="DK63" s="431"/>
      <c r="DL63" s="431"/>
      <c r="DM63" s="431"/>
      <c r="DN63" s="431"/>
      <c r="DO63" s="431"/>
      <c r="DP63" s="431"/>
      <c r="DQ63" s="431"/>
      <c r="DR63" s="431"/>
      <c r="DS63" s="431"/>
      <c r="DT63" s="431"/>
      <c r="DU63" s="431"/>
      <c r="DV63" s="431"/>
      <c r="DW63" s="431"/>
      <c r="DX63" s="431"/>
      <c r="DY63" s="431"/>
      <c r="DZ63" s="431"/>
      <c r="EA63" s="431"/>
      <c r="EB63" s="431"/>
      <c r="EC63" s="431"/>
      <c r="ED63" s="431"/>
      <c r="EE63" s="431"/>
      <c r="EF63" s="431"/>
      <c r="EG63" s="431"/>
      <c r="EH63" s="431"/>
      <c r="EI63" s="431"/>
      <c r="EJ63" s="431"/>
      <c r="EK63" s="431"/>
      <c r="EL63" s="431"/>
      <c r="EM63" s="431"/>
      <c r="EN63" s="431"/>
      <c r="EO63" s="431"/>
      <c r="EP63" s="431"/>
      <c r="EQ63" s="431"/>
      <c r="ER63" s="431"/>
      <c r="ES63" s="431"/>
      <c r="ET63" s="431"/>
      <c r="EU63" s="431"/>
      <c r="EV63" s="431"/>
      <c r="EW63" s="431"/>
      <c r="EX63" s="431"/>
      <c r="EY63" s="431"/>
      <c r="EZ63" s="431"/>
      <c r="FA63" s="431"/>
      <c r="FB63" s="431"/>
      <c r="FC63" s="431"/>
      <c r="FD63" s="431"/>
      <c r="FE63" s="431"/>
      <c r="FF63" s="431"/>
      <c r="FG63" s="431"/>
      <c r="FH63" s="431"/>
      <c r="FI63" s="431"/>
      <c r="FJ63" s="431"/>
      <c r="FK63" s="431"/>
      <c r="FL63" s="431"/>
      <c r="FM63" s="431"/>
      <c r="FN63" s="431"/>
      <c r="FO63" s="431"/>
      <c r="FP63" s="431"/>
      <c r="FQ63" s="431"/>
      <c r="FR63" s="431"/>
      <c r="FS63" s="431"/>
      <c r="FT63" s="431"/>
      <c r="FU63" s="431"/>
      <c r="FV63" s="431"/>
      <c r="FW63" s="431"/>
      <c r="FX63" s="431"/>
      <c r="FY63" s="431"/>
      <c r="FZ63" s="431"/>
      <c r="GA63" s="431"/>
      <c r="GB63" s="431"/>
      <c r="GC63" s="431"/>
      <c r="GD63" s="431"/>
      <c r="GE63" s="431"/>
      <c r="GF63" s="431"/>
      <c r="GG63" s="431"/>
      <c r="GH63" s="431"/>
      <c r="GI63" s="431"/>
      <c r="GJ63" s="431"/>
      <c r="GK63" s="431"/>
      <c r="GL63" s="431"/>
      <c r="GM63" s="431"/>
      <c r="GN63" s="431"/>
      <c r="GO63" s="431"/>
      <c r="GP63" s="431"/>
      <c r="GQ63" s="431"/>
      <c r="GR63" s="431"/>
      <c r="GS63" s="431"/>
      <c r="GT63" s="431"/>
      <c r="GU63" s="431"/>
      <c r="GV63" s="431"/>
      <c r="GW63" s="431"/>
      <c r="GX63" s="431"/>
      <c r="GY63" s="431"/>
      <c r="GZ63" s="431"/>
      <c r="HA63" s="431"/>
      <c r="HB63" s="431"/>
      <c r="HC63" s="431"/>
      <c r="HD63" s="431"/>
      <c r="HE63" s="431"/>
      <c r="HF63" s="431"/>
      <c r="HG63" s="431"/>
      <c r="HH63" s="431"/>
      <c r="HI63" s="431"/>
      <c r="HJ63" s="431"/>
      <c r="HK63" s="431"/>
      <c r="HL63" s="431"/>
      <c r="HM63" s="431"/>
      <c r="HN63" s="431"/>
      <c r="HO63" s="431"/>
      <c r="HP63" s="431"/>
      <c r="HQ63" s="431"/>
      <c r="HR63" s="431"/>
      <c r="HS63" s="431"/>
      <c r="HT63" s="431"/>
      <c r="HU63" s="431"/>
      <c r="HV63" s="431"/>
      <c r="HW63" s="431"/>
      <c r="HX63" s="431"/>
      <c r="HY63" s="431"/>
      <c r="HZ63" s="431"/>
      <c r="IA63" s="431"/>
      <c r="IB63" s="431"/>
      <c r="IC63" s="431"/>
      <c r="ID63" s="431"/>
      <c r="IE63" s="431"/>
      <c r="IF63" s="431"/>
      <c r="IG63" s="431"/>
      <c r="IH63" s="431"/>
      <c r="II63" s="431"/>
      <c r="IJ63" s="431"/>
      <c r="IK63" s="431"/>
      <c r="IL63" s="431"/>
      <c r="IM63" s="431"/>
      <c r="IN63" s="431"/>
      <c r="IO63" s="431"/>
      <c r="IP63" s="431"/>
      <c r="IQ63" s="431"/>
      <c r="IR63" s="431"/>
      <c r="IS63" s="431"/>
      <c r="IT63" s="431"/>
      <c r="IU63" s="431"/>
      <c r="IV63" s="431"/>
    </row>
    <row r="64" spans="1:256" ht="13">
      <c r="A64" s="432" t="s">
        <v>716</v>
      </c>
      <c r="B64" s="429"/>
      <c r="C64" s="425"/>
      <c r="D64" s="409">
        <v>62</v>
      </c>
      <c r="E64" s="429"/>
      <c r="F64" s="425"/>
      <c r="G64" s="409">
        <v>-91</v>
      </c>
      <c r="H64" s="429"/>
      <c r="I64" s="425"/>
      <c r="J64" s="409">
        <v>-565</v>
      </c>
      <c r="K64" s="429"/>
      <c r="L64" s="425"/>
      <c r="M64" s="409">
        <v>154</v>
      </c>
      <c r="N64" s="429"/>
      <c r="O64" s="425"/>
      <c r="P64" s="409">
        <v>66</v>
      </c>
      <c r="Q64" s="429"/>
      <c r="R64" s="425"/>
      <c r="S64" s="409">
        <v>6</v>
      </c>
      <c r="T64" s="429"/>
      <c r="U64" s="425"/>
      <c r="V64" s="409">
        <v>12</v>
      </c>
      <c r="W64" s="429"/>
      <c r="X64" s="425"/>
      <c r="Y64" s="409">
        <v>1247</v>
      </c>
      <c r="Z64" s="429"/>
      <c r="AA64" s="425"/>
      <c r="AB64" s="409">
        <v>4011</v>
      </c>
      <c r="AC64" s="429"/>
      <c r="AD64" s="425"/>
      <c r="AE64" s="409">
        <v>6664</v>
      </c>
      <c r="AF64" s="429"/>
      <c r="AG64" s="425"/>
      <c r="AH64" s="409">
        <v>2647</v>
      </c>
      <c r="AI64" s="395"/>
    </row>
    <row r="65" spans="1:35" ht="13">
      <c r="A65" s="423"/>
      <c r="B65" s="424"/>
      <c r="C65" s="408"/>
      <c r="D65" s="409"/>
      <c r="E65" s="424"/>
      <c r="F65" s="408"/>
      <c r="G65" s="409"/>
      <c r="H65" s="424"/>
      <c r="I65" s="408"/>
      <c r="J65" s="409"/>
      <c r="K65" s="424"/>
      <c r="L65" s="408"/>
      <c r="M65" s="409"/>
      <c r="N65" s="424"/>
      <c r="O65" s="408"/>
      <c r="P65" s="409"/>
      <c r="Q65" s="424"/>
      <c r="R65" s="408"/>
      <c r="S65" s="409"/>
      <c r="T65" s="424"/>
      <c r="U65" s="408"/>
      <c r="V65" s="409"/>
      <c r="W65" s="424"/>
      <c r="X65" s="408"/>
      <c r="Y65" s="409"/>
      <c r="Z65" s="424"/>
      <c r="AA65" s="408"/>
      <c r="AB65" s="409"/>
      <c r="AC65" s="424"/>
      <c r="AD65" s="408"/>
      <c r="AE65" s="409"/>
      <c r="AF65" s="424"/>
      <c r="AG65" s="408"/>
      <c r="AH65" s="409"/>
      <c r="AI65" s="395"/>
    </row>
    <row r="66" spans="1:35" ht="13">
      <c r="A66" s="432" t="s">
        <v>717</v>
      </c>
      <c r="B66" s="433"/>
      <c r="C66" s="425"/>
      <c r="D66" s="434">
        <v>-25.505999999998856</v>
      </c>
      <c r="E66" s="433"/>
      <c r="F66" s="425"/>
      <c r="G66" s="434">
        <v>-12.431000000000175</v>
      </c>
      <c r="H66" s="433"/>
      <c r="I66" s="425"/>
      <c r="J66" s="434">
        <v>-19.865000000000855</v>
      </c>
      <c r="K66" s="433"/>
      <c r="L66" s="425"/>
      <c r="M66" s="434">
        <v>5.5049999999988444</v>
      </c>
      <c r="N66" s="433"/>
      <c r="O66" s="425"/>
      <c r="P66" s="434">
        <v>-36.500999999998889</v>
      </c>
      <c r="Q66" s="433"/>
      <c r="R66" s="425"/>
      <c r="S66" s="434">
        <v>-111.59800000000189</v>
      </c>
      <c r="T66" s="433"/>
      <c r="U66" s="425"/>
      <c r="V66" s="434">
        <v>-169.26900000000111</v>
      </c>
      <c r="W66" s="433"/>
      <c r="X66" s="425"/>
      <c r="Y66" s="434">
        <v>1316.67</v>
      </c>
      <c r="Z66" s="433"/>
      <c r="AA66" s="425"/>
      <c r="AB66" s="434">
        <v>-43.954000000001002</v>
      </c>
      <c r="AC66" s="433"/>
      <c r="AD66" s="425"/>
      <c r="AE66" s="434">
        <v>45.963000000001557</v>
      </c>
      <c r="AF66" s="433"/>
      <c r="AG66" s="425"/>
      <c r="AH66" s="434">
        <v>10.794999999999163</v>
      </c>
      <c r="AI66" s="395"/>
    </row>
    <row r="67" spans="1:35" ht="13">
      <c r="A67" s="432"/>
      <c r="B67" s="433"/>
      <c r="C67" s="425"/>
      <c r="D67" s="434"/>
      <c r="E67" s="433"/>
      <c r="F67" s="425"/>
      <c r="G67" s="434"/>
      <c r="H67" s="433"/>
      <c r="I67" s="425"/>
      <c r="J67" s="434"/>
      <c r="K67" s="433"/>
      <c r="L67" s="425"/>
      <c r="M67" s="434"/>
      <c r="N67" s="433"/>
      <c r="O67" s="425"/>
      <c r="P67" s="434"/>
      <c r="Q67" s="433"/>
      <c r="R67" s="425"/>
      <c r="S67" s="434"/>
      <c r="T67" s="433"/>
      <c r="U67" s="425"/>
      <c r="V67" s="434"/>
      <c r="W67" s="433"/>
      <c r="X67" s="425"/>
      <c r="Y67" s="434"/>
      <c r="Z67" s="433"/>
      <c r="AA67" s="425"/>
      <c r="AB67" s="434"/>
      <c r="AC67" s="433"/>
      <c r="AD67" s="425"/>
      <c r="AE67" s="434"/>
      <c r="AF67" s="433"/>
      <c r="AG67" s="425"/>
      <c r="AH67" s="434"/>
      <c r="AI67" s="395"/>
    </row>
    <row r="68" spans="1:35" ht="13">
      <c r="A68" s="407" t="s">
        <v>718</v>
      </c>
      <c r="B68" s="435"/>
      <c r="C68" s="425"/>
      <c r="D68" s="436">
        <v>-2945</v>
      </c>
      <c r="E68" s="435"/>
      <c r="F68" s="425"/>
      <c r="G68" s="436">
        <v>-2002</v>
      </c>
      <c r="H68" s="435"/>
      <c r="I68" s="425"/>
      <c r="J68" s="436">
        <v>-2417</v>
      </c>
      <c r="K68" s="435"/>
      <c r="L68" s="425"/>
      <c r="M68" s="436">
        <v>-3033</v>
      </c>
      <c r="N68" s="435"/>
      <c r="O68" s="425"/>
      <c r="P68" s="436">
        <v>-3587</v>
      </c>
      <c r="Q68" s="435"/>
      <c r="R68" s="425"/>
      <c r="S68" s="436">
        <v>-2167</v>
      </c>
      <c r="T68" s="435"/>
      <c r="U68" s="425"/>
      <c r="V68" s="436">
        <v>200</v>
      </c>
      <c r="W68" s="435"/>
      <c r="X68" s="425"/>
      <c r="Y68" s="436">
        <v>1198</v>
      </c>
      <c r="Z68" s="435"/>
      <c r="AA68" s="425"/>
      <c r="AB68" s="436">
        <v>-1886</v>
      </c>
      <c r="AC68" s="435"/>
      <c r="AD68" s="425"/>
      <c r="AE68" s="436">
        <v>-2288</v>
      </c>
      <c r="AF68" s="435"/>
      <c r="AG68" s="425"/>
      <c r="AH68" s="436">
        <v>-5596</v>
      </c>
      <c r="AI68" s="395"/>
    </row>
    <row r="69" spans="1:35" ht="7.5" customHeight="1" thickBot="1">
      <c r="A69" s="419"/>
      <c r="B69" s="437"/>
      <c r="C69" s="438"/>
      <c r="D69" s="439"/>
      <c r="E69" s="437"/>
      <c r="F69" s="438"/>
      <c r="G69" s="439"/>
      <c r="H69" s="437"/>
      <c r="I69" s="438"/>
      <c r="J69" s="439"/>
      <c r="K69" s="437"/>
      <c r="L69" s="438"/>
      <c r="M69" s="439"/>
      <c r="N69" s="437"/>
      <c r="O69" s="438"/>
      <c r="P69" s="439"/>
      <c r="Q69" s="437"/>
      <c r="R69" s="438"/>
      <c r="S69" s="439"/>
      <c r="T69" s="437"/>
      <c r="U69" s="438"/>
      <c r="V69" s="439"/>
      <c r="W69" s="437"/>
      <c r="X69" s="438"/>
      <c r="Y69" s="439"/>
      <c r="Z69" s="437"/>
      <c r="AA69" s="438"/>
      <c r="AB69" s="439"/>
      <c r="AC69" s="437"/>
      <c r="AD69" s="438"/>
      <c r="AE69" s="439"/>
      <c r="AF69" s="437"/>
      <c r="AG69" s="438"/>
      <c r="AH69" s="439"/>
      <c r="AI69" s="395"/>
    </row>
    <row r="70" spans="1:35" ht="13.5" thickTop="1">
      <c r="A70" s="395"/>
      <c r="B70" s="395"/>
      <c r="C70" s="395"/>
      <c r="D70" s="395"/>
      <c r="E70" s="395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95"/>
      <c r="AH70" s="395"/>
      <c r="AI70" s="395"/>
    </row>
    <row r="71" spans="1:35" ht="13">
      <c r="A71" s="395"/>
      <c r="B71" s="395"/>
      <c r="C71" s="395"/>
      <c r="D71" s="395"/>
      <c r="E71" s="395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</row>
  </sheetData>
  <pageMargins left="0.75" right="0.75" top="1" bottom="1" header="0.5" footer="0.5"/>
  <pageSetup paperSize="9" scale="57" fitToWidth="70" orientation="portrait" horizontalDpi="4294967292" verticalDpi="4294967292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C90E-504F-499F-9968-CB24E16008D5}">
  <sheetPr codeName="Sheet1">
    <pageSetUpPr fitToPage="1"/>
  </sheetPr>
  <dimension ref="A1:AX3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60.1796875" defaultRowHeight="12.5"/>
  <cols>
    <col min="1" max="1" width="60" style="396" customWidth="1"/>
    <col min="2" max="29" width="5.26953125" style="396" customWidth="1"/>
    <col min="30" max="34" width="6.1796875" style="396" customWidth="1"/>
    <col min="35" max="37" width="6.7265625" style="396" customWidth="1"/>
    <col min="38" max="47" width="7" style="396" customWidth="1"/>
    <col min="48" max="50" width="10.7265625" style="396" customWidth="1"/>
    <col min="51" max="256" width="60.1796875" style="396"/>
    <col min="257" max="257" width="60" style="396" customWidth="1"/>
    <col min="258" max="285" width="5.26953125" style="396" customWidth="1"/>
    <col min="286" max="290" width="6.1796875" style="396" customWidth="1"/>
    <col min="291" max="293" width="6.7265625" style="396" customWidth="1"/>
    <col min="294" max="303" width="7" style="396" customWidth="1"/>
    <col min="304" max="306" width="10.7265625" style="396" customWidth="1"/>
    <col min="307" max="512" width="60.1796875" style="396"/>
    <col min="513" max="513" width="60" style="396" customWidth="1"/>
    <col min="514" max="541" width="5.26953125" style="396" customWidth="1"/>
    <col min="542" max="546" width="6.1796875" style="396" customWidth="1"/>
    <col min="547" max="549" width="6.7265625" style="396" customWidth="1"/>
    <col min="550" max="559" width="7" style="396" customWidth="1"/>
    <col min="560" max="562" width="10.7265625" style="396" customWidth="1"/>
    <col min="563" max="768" width="60.1796875" style="396"/>
    <col min="769" max="769" width="60" style="396" customWidth="1"/>
    <col min="770" max="797" width="5.26953125" style="396" customWidth="1"/>
    <col min="798" max="802" width="6.1796875" style="396" customWidth="1"/>
    <col min="803" max="805" width="6.7265625" style="396" customWidth="1"/>
    <col min="806" max="815" width="7" style="396" customWidth="1"/>
    <col min="816" max="818" width="10.7265625" style="396" customWidth="1"/>
    <col min="819" max="1024" width="60.1796875" style="396"/>
    <col min="1025" max="1025" width="60" style="396" customWidth="1"/>
    <col min="1026" max="1053" width="5.26953125" style="396" customWidth="1"/>
    <col min="1054" max="1058" width="6.1796875" style="396" customWidth="1"/>
    <col min="1059" max="1061" width="6.7265625" style="396" customWidth="1"/>
    <col min="1062" max="1071" width="7" style="396" customWidth="1"/>
    <col min="1072" max="1074" width="10.7265625" style="396" customWidth="1"/>
    <col min="1075" max="1280" width="60.1796875" style="396"/>
    <col min="1281" max="1281" width="60" style="396" customWidth="1"/>
    <col min="1282" max="1309" width="5.26953125" style="396" customWidth="1"/>
    <col min="1310" max="1314" width="6.1796875" style="396" customWidth="1"/>
    <col min="1315" max="1317" width="6.7265625" style="396" customWidth="1"/>
    <col min="1318" max="1327" width="7" style="396" customWidth="1"/>
    <col min="1328" max="1330" width="10.7265625" style="396" customWidth="1"/>
    <col min="1331" max="1536" width="60.1796875" style="396"/>
    <col min="1537" max="1537" width="60" style="396" customWidth="1"/>
    <col min="1538" max="1565" width="5.26953125" style="396" customWidth="1"/>
    <col min="1566" max="1570" width="6.1796875" style="396" customWidth="1"/>
    <col min="1571" max="1573" width="6.7265625" style="396" customWidth="1"/>
    <col min="1574" max="1583" width="7" style="396" customWidth="1"/>
    <col min="1584" max="1586" width="10.7265625" style="396" customWidth="1"/>
    <col min="1587" max="1792" width="60.1796875" style="396"/>
    <col min="1793" max="1793" width="60" style="396" customWidth="1"/>
    <col min="1794" max="1821" width="5.26953125" style="396" customWidth="1"/>
    <col min="1822" max="1826" width="6.1796875" style="396" customWidth="1"/>
    <col min="1827" max="1829" width="6.7265625" style="396" customWidth="1"/>
    <col min="1830" max="1839" width="7" style="396" customWidth="1"/>
    <col min="1840" max="1842" width="10.7265625" style="396" customWidth="1"/>
    <col min="1843" max="2048" width="60.1796875" style="396"/>
    <col min="2049" max="2049" width="60" style="396" customWidth="1"/>
    <col min="2050" max="2077" width="5.26953125" style="396" customWidth="1"/>
    <col min="2078" max="2082" width="6.1796875" style="396" customWidth="1"/>
    <col min="2083" max="2085" width="6.7265625" style="396" customWidth="1"/>
    <col min="2086" max="2095" width="7" style="396" customWidth="1"/>
    <col min="2096" max="2098" width="10.7265625" style="396" customWidth="1"/>
    <col min="2099" max="2304" width="60.1796875" style="396"/>
    <col min="2305" max="2305" width="60" style="396" customWidth="1"/>
    <col min="2306" max="2333" width="5.26953125" style="396" customWidth="1"/>
    <col min="2334" max="2338" width="6.1796875" style="396" customWidth="1"/>
    <col min="2339" max="2341" width="6.7265625" style="396" customWidth="1"/>
    <col min="2342" max="2351" width="7" style="396" customWidth="1"/>
    <col min="2352" max="2354" width="10.7265625" style="396" customWidth="1"/>
    <col min="2355" max="2560" width="60.1796875" style="396"/>
    <col min="2561" max="2561" width="60" style="396" customWidth="1"/>
    <col min="2562" max="2589" width="5.26953125" style="396" customWidth="1"/>
    <col min="2590" max="2594" width="6.1796875" style="396" customWidth="1"/>
    <col min="2595" max="2597" width="6.7265625" style="396" customWidth="1"/>
    <col min="2598" max="2607" width="7" style="396" customWidth="1"/>
    <col min="2608" max="2610" width="10.7265625" style="396" customWidth="1"/>
    <col min="2611" max="2816" width="60.1796875" style="396"/>
    <col min="2817" max="2817" width="60" style="396" customWidth="1"/>
    <col min="2818" max="2845" width="5.26953125" style="396" customWidth="1"/>
    <col min="2846" max="2850" width="6.1796875" style="396" customWidth="1"/>
    <col min="2851" max="2853" width="6.7265625" style="396" customWidth="1"/>
    <col min="2854" max="2863" width="7" style="396" customWidth="1"/>
    <col min="2864" max="2866" width="10.7265625" style="396" customWidth="1"/>
    <col min="2867" max="3072" width="60.1796875" style="396"/>
    <col min="3073" max="3073" width="60" style="396" customWidth="1"/>
    <col min="3074" max="3101" width="5.26953125" style="396" customWidth="1"/>
    <col min="3102" max="3106" width="6.1796875" style="396" customWidth="1"/>
    <col min="3107" max="3109" width="6.7265625" style="396" customWidth="1"/>
    <col min="3110" max="3119" width="7" style="396" customWidth="1"/>
    <col min="3120" max="3122" width="10.7265625" style="396" customWidth="1"/>
    <col min="3123" max="3328" width="60.1796875" style="396"/>
    <col min="3329" max="3329" width="60" style="396" customWidth="1"/>
    <col min="3330" max="3357" width="5.26953125" style="396" customWidth="1"/>
    <col min="3358" max="3362" width="6.1796875" style="396" customWidth="1"/>
    <col min="3363" max="3365" width="6.7265625" style="396" customWidth="1"/>
    <col min="3366" max="3375" width="7" style="396" customWidth="1"/>
    <col min="3376" max="3378" width="10.7265625" style="396" customWidth="1"/>
    <col min="3379" max="3584" width="60.1796875" style="396"/>
    <col min="3585" max="3585" width="60" style="396" customWidth="1"/>
    <col min="3586" max="3613" width="5.26953125" style="396" customWidth="1"/>
    <col min="3614" max="3618" width="6.1796875" style="396" customWidth="1"/>
    <col min="3619" max="3621" width="6.7265625" style="396" customWidth="1"/>
    <col min="3622" max="3631" width="7" style="396" customWidth="1"/>
    <col min="3632" max="3634" width="10.7265625" style="396" customWidth="1"/>
    <col min="3635" max="3840" width="60.1796875" style="396"/>
    <col min="3841" max="3841" width="60" style="396" customWidth="1"/>
    <col min="3842" max="3869" width="5.26953125" style="396" customWidth="1"/>
    <col min="3870" max="3874" width="6.1796875" style="396" customWidth="1"/>
    <col min="3875" max="3877" width="6.7265625" style="396" customWidth="1"/>
    <col min="3878" max="3887" width="7" style="396" customWidth="1"/>
    <col min="3888" max="3890" width="10.7265625" style="396" customWidth="1"/>
    <col min="3891" max="4096" width="60.1796875" style="396"/>
    <col min="4097" max="4097" width="60" style="396" customWidth="1"/>
    <col min="4098" max="4125" width="5.26953125" style="396" customWidth="1"/>
    <col min="4126" max="4130" width="6.1796875" style="396" customWidth="1"/>
    <col min="4131" max="4133" width="6.7265625" style="396" customWidth="1"/>
    <col min="4134" max="4143" width="7" style="396" customWidth="1"/>
    <col min="4144" max="4146" width="10.7265625" style="396" customWidth="1"/>
    <col min="4147" max="4352" width="60.1796875" style="396"/>
    <col min="4353" max="4353" width="60" style="396" customWidth="1"/>
    <col min="4354" max="4381" width="5.26953125" style="396" customWidth="1"/>
    <col min="4382" max="4386" width="6.1796875" style="396" customWidth="1"/>
    <col min="4387" max="4389" width="6.7265625" style="396" customWidth="1"/>
    <col min="4390" max="4399" width="7" style="396" customWidth="1"/>
    <col min="4400" max="4402" width="10.7265625" style="396" customWidth="1"/>
    <col min="4403" max="4608" width="60.1796875" style="396"/>
    <col min="4609" max="4609" width="60" style="396" customWidth="1"/>
    <col min="4610" max="4637" width="5.26953125" style="396" customWidth="1"/>
    <col min="4638" max="4642" width="6.1796875" style="396" customWidth="1"/>
    <col min="4643" max="4645" width="6.7265625" style="396" customWidth="1"/>
    <col min="4646" max="4655" width="7" style="396" customWidth="1"/>
    <col min="4656" max="4658" width="10.7265625" style="396" customWidth="1"/>
    <col min="4659" max="4864" width="60.1796875" style="396"/>
    <col min="4865" max="4865" width="60" style="396" customWidth="1"/>
    <col min="4866" max="4893" width="5.26953125" style="396" customWidth="1"/>
    <col min="4894" max="4898" width="6.1796875" style="396" customWidth="1"/>
    <col min="4899" max="4901" width="6.7265625" style="396" customWidth="1"/>
    <col min="4902" max="4911" width="7" style="396" customWidth="1"/>
    <col min="4912" max="4914" width="10.7265625" style="396" customWidth="1"/>
    <col min="4915" max="5120" width="60.1796875" style="396"/>
    <col min="5121" max="5121" width="60" style="396" customWidth="1"/>
    <col min="5122" max="5149" width="5.26953125" style="396" customWidth="1"/>
    <col min="5150" max="5154" width="6.1796875" style="396" customWidth="1"/>
    <col min="5155" max="5157" width="6.7265625" style="396" customWidth="1"/>
    <col min="5158" max="5167" width="7" style="396" customWidth="1"/>
    <col min="5168" max="5170" width="10.7265625" style="396" customWidth="1"/>
    <col min="5171" max="5376" width="60.1796875" style="396"/>
    <col min="5377" max="5377" width="60" style="396" customWidth="1"/>
    <col min="5378" max="5405" width="5.26953125" style="396" customWidth="1"/>
    <col min="5406" max="5410" width="6.1796875" style="396" customWidth="1"/>
    <col min="5411" max="5413" width="6.7265625" style="396" customWidth="1"/>
    <col min="5414" max="5423" width="7" style="396" customWidth="1"/>
    <col min="5424" max="5426" width="10.7265625" style="396" customWidth="1"/>
    <col min="5427" max="5632" width="60.1796875" style="396"/>
    <col min="5633" max="5633" width="60" style="396" customWidth="1"/>
    <col min="5634" max="5661" width="5.26953125" style="396" customWidth="1"/>
    <col min="5662" max="5666" width="6.1796875" style="396" customWidth="1"/>
    <col min="5667" max="5669" width="6.7265625" style="396" customWidth="1"/>
    <col min="5670" max="5679" width="7" style="396" customWidth="1"/>
    <col min="5680" max="5682" width="10.7265625" style="396" customWidth="1"/>
    <col min="5683" max="5888" width="60.1796875" style="396"/>
    <col min="5889" max="5889" width="60" style="396" customWidth="1"/>
    <col min="5890" max="5917" width="5.26953125" style="396" customWidth="1"/>
    <col min="5918" max="5922" width="6.1796875" style="396" customWidth="1"/>
    <col min="5923" max="5925" width="6.7265625" style="396" customWidth="1"/>
    <col min="5926" max="5935" width="7" style="396" customWidth="1"/>
    <col min="5936" max="5938" width="10.7265625" style="396" customWidth="1"/>
    <col min="5939" max="6144" width="60.1796875" style="396"/>
    <col min="6145" max="6145" width="60" style="396" customWidth="1"/>
    <col min="6146" max="6173" width="5.26953125" style="396" customWidth="1"/>
    <col min="6174" max="6178" width="6.1796875" style="396" customWidth="1"/>
    <col min="6179" max="6181" width="6.7265625" style="396" customWidth="1"/>
    <col min="6182" max="6191" width="7" style="396" customWidth="1"/>
    <col min="6192" max="6194" width="10.7265625" style="396" customWidth="1"/>
    <col min="6195" max="6400" width="60.1796875" style="396"/>
    <col min="6401" max="6401" width="60" style="396" customWidth="1"/>
    <col min="6402" max="6429" width="5.26953125" style="396" customWidth="1"/>
    <col min="6430" max="6434" width="6.1796875" style="396" customWidth="1"/>
    <col min="6435" max="6437" width="6.7265625" style="396" customWidth="1"/>
    <col min="6438" max="6447" width="7" style="396" customWidth="1"/>
    <col min="6448" max="6450" width="10.7265625" style="396" customWidth="1"/>
    <col min="6451" max="6656" width="60.1796875" style="396"/>
    <col min="6657" max="6657" width="60" style="396" customWidth="1"/>
    <col min="6658" max="6685" width="5.26953125" style="396" customWidth="1"/>
    <col min="6686" max="6690" width="6.1796875" style="396" customWidth="1"/>
    <col min="6691" max="6693" width="6.7265625" style="396" customWidth="1"/>
    <col min="6694" max="6703" width="7" style="396" customWidth="1"/>
    <col min="6704" max="6706" width="10.7265625" style="396" customWidth="1"/>
    <col min="6707" max="6912" width="60.1796875" style="396"/>
    <col min="6913" max="6913" width="60" style="396" customWidth="1"/>
    <col min="6914" max="6941" width="5.26953125" style="396" customWidth="1"/>
    <col min="6942" max="6946" width="6.1796875" style="396" customWidth="1"/>
    <col min="6947" max="6949" width="6.7265625" style="396" customWidth="1"/>
    <col min="6950" max="6959" width="7" style="396" customWidth="1"/>
    <col min="6960" max="6962" width="10.7265625" style="396" customWidth="1"/>
    <col min="6963" max="7168" width="60.1796875" style="396"/>
    <col min="7169" max="7169" width="60" style="396" customWidth="1"/>
    <col min="7170" max="7197" width="5.26953125" style="396" customWidth="1"/>
    <col min="7198" max="7202" width="6.1796875" style="396" customWidth="1"/>
    <col min="7203" max="7205" width="6.7265625" style="396" customWidth="1"/>
    <col min="7206" max="7215" width="7" style="396" customWidth="1"/>
    <col min="7216" max="7218" width="10.7265625" style="396" customWidth="1"/>
    <col min="7219" max="7424" width="60.1796875" style="396"/>
    <col min="7425" max="7425" width="60" style="396" customWidth="1"/>
    <col min="7426" max="7453" width="5.26953125" style="396" customWidth="1"/>
    <col min="7454" max="7458" width="6.1796875" style="396" customWidth="1"/>
    <col min="7459" max="7461" width="6.7265625" style="396" customWidth="1"/>
    <col min="7462" max="7471" width="7" style="396" customWidth="1"/>
    <col min="7472" max="7474" width="10.7265625" style="396" customWidth="1"/>
    <col min="7475" max="7680" width="60.1796875" style="396"/>
    <col min="7681" max="7681" width="60" style="396" customWidth="1"/>
    <col min="7682" max="7709" width="5.26953125" style="396" customWidth="1"/>
    <col min="7710" max="7714" width="6.1796875" style="396" customWidth="1"/>
    <col min="7715" max="7717" width="6.7265625" style="396" customWidth="1"/>
    <col min="7718" max="7727" width="7" style="396" customWidth="1"/>
    <col min="7728" max="7730" width="10.7265625" style="396" customWidth="1"/>
    <col min="7731" max="7936" width="60.1796875" style="396"/>
    <col min="7937" max="7937" width="60" style="396" customWidth="1"/>
    <col min="7938" max="7965" width="5.26953125" style="396" customWidth="1"/>
    <col min="7966" max="7970" width="6.1796875" style="396" customWidth="1"/>
    <col min="7971" max="7973" width="6.7265625" style="396" customWidth="1"/>
    <col min="7974" max="7983" width="7" style="396" customWidth="1"/>
    <col min="7984" max="7986" width="10.7265625" style="396" customWidth="1"/>
    <col min="7987" max="8192" width="60.1796875" style="396"/>
    <col min="8193" max="8193" width="60" style="396" customWidth="1"/>
    <col min="8194" max="8221" width="5.26953125" style="396" customWidth="1"/>
    <col min="8222" max="8226" width="6.1796875" style="396" customWidth="1"/>
    <col min="8227" max="8229" width="6.7265625" style="396" customWidth="1"/>
    <col min="8230" max="8239" width="7" style="396" customWidth="1"/>
    <col min="8240" max="8242" width="10.7265625" style="396" customWidth="1"/>
    <col min="8243" max="8448" width="60.1796875" style="396"/>
    <col min="8449" max="8449" width="60" style="396" customWidth="1"/>
    <col min="8450" max="8477" width="5.26953125" style="396" customWidth="1"/>
    <col min="8478" max="8482" width="6.1796875" style="396" customWidth="1"/>
    <col min="8483" max="8485" width="6.7265625" style="396" customWidth="1"/>
    <col min="8486" max="8495" width="7" style="396" customWidth="1"/>
    <col min="8496" max="8498" width="10.7265625" style="396" customWidth="1"/>
    <col min="8499" max="8704" width="60.1796875" style="396"/>
    <col min="8705" max="8705" width="60" style="396" customWidth="1"/>
    <col min="8706" max="8733" width="5.26953125" style="396" customWidth="1"/>
    <col min="8734" max="8738" width="6.1796875" style="396" customWidth="1"/>
    <col min="8739" max="8741" width="6.7265625" style="396" customWidth="1"/>
    <col min="8742" max="8751" width="7" style="396" customWidth="1"/>
    <col min="8752" max="8754" width="10.7265625" style="396" customWidth="1"/>
    <col min="8755" max="8960" width="60.1796875" style="396"/>
    <col min="8961" max="8961" width="60" style="396" customWidth="1"/>
    <col min="8962" max="8989" width="5.26953125" style="396" customWidth="1"/>
    <col min="8990" max="8994" width="6.1796875" style="396" customWidth="1"/>
    <col min="8995" max="8997" width="6.7265625" style="396" customWidth="1"/>
    <col min="8998" max="9007" width="7" style="396" customWidth="1"/>
    <col min="9008" max="9010" width="10.7265625" style="396" customWidth="1"/>
    <col min="9011" max="9216" width="60.1796875" style="396"/>
    <col min="9217" max="9217" width="60" style="396" customWidth="1"/>
    <col min="9218" max="9245" width="5.26953125" style="396" customWidth="1"/>
    <col min="9246" max="9250" width="6.1796875" style="396" customWidth="1"/>
    <col min="9251" max="9253" width="6.7265625" style="396" customWidth="1"/>
    <col min="9254" max="9263" width="7" style="396" customWidth="1"/>
    <col min="9264" max="9266" width="10.7265625" style="396" customWidth="1"/>
    <col min="9267" max="9472" width="60.1796875" style="396"/>
    <col min="9473" max="9473" width="60" style="396" customWidth="1"/>
    <col min="9474" max="9501" width="5.26953125" style="396" customWidth="1"/>
    <col min="9502" max="9506" width="6.1796875" style="396" customWidth="1"/>
    <col min="9507" max="9509" width="6.7265625" style="396" customWidth="1"/>
    <col min="9510" max="9519" width="7" style="396" customWidth="1"/>
    <col min="9520" max="9522" width="10.7265625" style="396" customWidth="1"/>
    <col min="9523" max="9728" width="60.1796875" style="396"/>
    <col min="9729" max="9729" width="60" style="396" customWidth="1"/>
    <col min="9730" max="9757" width="5.26953125" style="396" customWidth="1"/>
    <col min="9758" max="9762" width="6.1796875" style="396" customWidth="1"/>
    <col min="9763" max="9765" width="6.7265625" style="396" customWidth="1"/>
    <col min="9766" max="9775" width="7" style="396" customWidth="1"/>
    <col min="9776" max="9778" width="10.7265625" style="396" customWidth="1"/>
    <col min="9779" max="9984" width="60.1796875" style="396"/>
    <col min="9985" max="9985" width="60" style="396" customWidth="1"/>
    <col min="9986" max="10013" width="5.26953125" style="396" customWidth="1"/>
    <col min="10014" max="10018" width="6.1796875" style="396" customWidth="1"/>
    <col min="10019" max="10021" width="6.7265625" style="396" customWidth="1"/>
    <col min="10022" max="10031" width="7" style="396" customWidth="1"/>
    <col min="10032" max="10034" width="10.7265625" style="396" customWidth="1"/>
    <col min="10035" max="10240" width="60.1796875" style="396"/>
    <col min="10241" max="10241" width="60" style="396" customWidth="1"/>
    <col min="10242" max="10269" width="5.26953125" style="396" customWidth="1"/>
    <col min="10270" max="10274" width="6.1796875" style="396" customWidth="1"/>
    <col min="10275" max="10277" width="6.7265625" style="396" customWidth="1"/>
    <col min="10278" max="10287" width="7" style="396" customWidth="1"/>
    <col min="10288" max="10290" width="10.7265625" style="396" customWidth="1"/>
    <col min="10291" max="10496" width="60.1796875" style="396"/>
    <col min="10497" max="10497" width="60" style="396" customWidth="1"/>
    <col min="10498" max="10525" width="5.26953125" style="396" customWidth="1"/>
    <col min="10526" max="10530" width="6.1796875" style="396" customWidth="1"/>
    <col min="10531" max="10533" width="6.7265625" style="396" customWidth="1"/>
    <col min="10534" max="10543" width="7" style="396" customWidth="1"/>
    <col min="10544" max="10546" width="10.7265625" style="396" customWidth="1"/>
    <col min="10547" max="10752" width="60.1796875" style="396"/>
    <col min="10753" max="10753" width="60" style="396" customWidth="1"/>
    <col min="10754" max="10781" width="5.26953125" style="396" customWidth="1"/>
    <col min="10782" max="10786" width="6.1796875" style="396" customWidth="1"/>
    <col min="10787" max="10789" width="6.7265625" style="396" customWidth="1"/>
    <col min="10790" max="10799" width="7" style="396" customWidth="1"/>
    <col min="10800" max="10802" width="10.7265625" style="396" customWidth="1"/>
    <col min="10803" max="11008" width="60.1796875" style="396"/>
    <col min="11009" max="11009" width="60" style="396" customWidth="1"/>
    <col min="11010" max="11037" width="5.26953125" style="396" customWidth="1"/>
    <col min="11038" max="11042" width="6.1796875" style="396" customWidth="1"/>
    <col min="11043" max="11045" width="6.7265625" style="396" customWidth="1"/>
    <col min="11046" max="11055" width="7" style="396" customWidth="1"/>
    <col min="11056" max="11058" width="10.7265625" style="396" customWidth="1"/>
    <col min="11059" max="11264" width="60.1796875" style="396"/>
    <col min="11265" max="11265" width="60" style="396" customWidth="1"/>
    <col min="11266" max="11293" width="5.26953125" style="396" customWidth="1"/>
    <col min="11294" max="11298" width="6.1796875" style="396" customWidth="1"/>
    <col min="11299" max="11301" width="6.7265625" style="396" customWidth="1"/>
    <col min="11302" max="11311" width="7" style="396" customWidth="1"/>
    <col min="11312" max="11314" width="10.7265625" style="396" customWidth="1"/>
    <col min="11315" max="11520" width="60.1796875" style="396"/>
    <col min="11521" max="11521" width="60" style="396" customWidth="1"/>
    <col min="11522" max="11549" width="5.26953125" style="396" customWidth="1"/>
    <col min="11550" max="11554" width="6.1796875" style="396" customWidth="1"/>
    <col min="11555" max="11557" width="6.7265625" style="396" customWidth="1"/>
    <col min="11558" max="11567" width="7" style="396" customWidth="1"/>
    <col min="11568" max="11570" width="10.7265625" style="396" customWidth="1"/>
    <col min="11571" max="11776" width="60.1796875" style="396"/>
    <col min="11777" max="11777" width="60" style="396" customWidth="1"/>
    <col min="11778" max="11805" width="5.26953125" style="396" customWidth="1"/>
    <col min="11806" max="11810" width="6.1796875" style="396" customWidth="1"/>
    <col min="11811" max="11813" width="6.7265625" style="396" customWidth="1"/>
    <col min="11814" max="11823" width="7" style="396" customWidth="1"/>
    <col min="11824" max="11826" width="10.7265625" style="396" customWidth="1"/>
    <col min="11827" max="12032" width="60.1796875" style="396"/>
    <col min="12033" max="12033" width="60" style="396" customWidth="1"/>
    <col min="12034" max="12061" width="5.26953125" style="396" customWidth="1"/>
    <col min="12062" max="12066" width="6.1796875" style="396" customWidth="1"/>
    <col min="12067" max="12069" width="6.7265625" style="396" customWidth="1"/>
    <col min="12070" max="12079" width="7" style="396" customWidth="1"/>
    <col min="12080" max="12082" width="10.7265625" style="396" customWidth="1"/>
    <col min="12083" max="12288" width="60.1796875" style="396"/>
    <col min="12289" max="12289" width="60" style="396" customWidth="1"/>
    <col min="12290" max="12317" width="5.26953125" style="396" customWidth="1"/>
    <col min="12318" max="12322" width="6.1796875" style="396" customWidth="1"/>
    <col min="12323" max="12325" width="6.7265625" style="396" customWidth="1"/>
    <col min="12326" max="12335" width="7" style="396" customWidth="1"/>
    <col min="12336" max="12338" width="10.7265625" style="396" customWidth="1"/>
    <col min="12339" max="12544" width="60.1796875" style="396"/>
    <col min="12545" max="12545" width="60" style="396" customWidth="1"/>
    <col min="12546" max="12573" width="5.26953125" style="396" customWidth="1"/>
    <col min="12574" max="12578" width="6.1796875" style="396" customWidth="1"/>
    <col min="12579" max="12581" width="6.7265625" style="396" customWidth="1"/>
    <col min="12582" max="12591" width="7" style="396" customWidth="1"/>
    <col min="12592" max="12594" width="10.7265625" style="396" customWidth="1"/>
    <col min="12595" max="12800" width="60.1796875" style="396"/>
    <col min="12801" max="12801" width="60" style="396" customWidth="1"/>
    <col min="12802" max="12829" width="5.26953125" style="396" customWidth="1"/>
    <col min="12830" max="12834" width="6.1796875" style="396" customWidth="1"/>
    <col min="12835" max="12837" width="6.7265625" style="396" customWidth="1"/>
    <col min="12838" max="12847" width="7" style="396" customWidth="1"/>
    <col min="12848" max="12850" width="10.7265625" style="396" customWidth="1"/>
    <col min="12851" max="13056" width="60.1796875" style="396"/>
    <col min="13057" max="13057" width="60" style="396" customWidth="1"/>
    <col min="13058" max="13085" width="5.26953125" style="396" customWidth="1"/>
    <col min="13086" max="13090" width="6.1796875" style="396" customWidth="1"/>
    <col min="13091" max="13093" width="6.7265625" style="396" customWidth="1"/>
    <col min="13094" max="13103" width="7" style="396" customWidth="1"/>
    <col min="13104" max="13106" width="10.7265625" style="396" customWidth="1"/>
    <col min="13107" max="13312" width="60.1796875" style="396"/>
    <col min="13313" max="13313" width="60" style="396" customWidth="1"/>
    <col min="13314" max="13341" width="5.26953125" style="396" customWidth="1"/>
    <col min="13342" max="13346" width="6.1796875" style="396" customWidth="1"/>
    <col min="13347" max="13349" width="6.7265625" style="396" customWidth="1"/>
    <col min="13350" max="13359" width="7" style="396" customWidth="1"/>
    <col min="13360" max="13362" width="10.7265625" style="396" customWidth="1"/>
    <col min="13363" max="13568" width="60.1796875" style="396"/>
    <col min="13569" max="13569" width="60" style="396" customWidth="1"/>
    <col min="13570" max="13597" width="5.26953125" style="396" customWidth="1"/>
    <col min="13598" max="13602" width="6.1796875" style="396" customWidth="1"/>
    <col min="13603" max="13605" width="6.7265625" style="396" customWidth="1"/>
    <col min="13606" max="13615" width="7" style="396" customWidth="1"/>
    <col min="13616" max="13618" width="10.7265625" style="396" customWidth="1"/>
    <col min="13619" max="13824" width="60.1796875" style="396"/>
    <col min="13825" max="13825" width="60" style="396" customWidth="1"/>
    <col min="13826" max="13853" width="5.26953125" style="396" customWidth="1"/>
    <col min="13854" max="13858" width="6.1796875" style="396" customWidth="1"/>
    <col min="13859" max="13861" width="6.7265625" style="396" customWidth="1"/>
    <col min="13862" max="13871" width="7" style="396" customWidth="1"/>
    <col min="13872" max="13874" width="10.7265625" style="396" customWidth="1"/>
    <col min="13875" max="14080" width="60.1796875" style="396"/>
    <col min="14081" max="14081" width="60" style="396" customWidth="1"/>
    <col min="14082" max="14109" width="5.26953125" style="396" customWidth="1"/>
    <col min="14110" max="14114" width="6.1796875" style="396" customWidth="1"/>
    <col min="14115" max="14117" width="6.7265625" style="396" customWidth="1"/>
    <col min="14118" max="14127" width="7" style="396" customWidth="1"/>
    <col min="14128" max="14130" width="10.7265625" style="396" customWidth="1"/>
    <col min="14131" max="14336" width="60.1796875" style="396"/>
    <col min="14337" max="14337" width="60" style="396" customWidth="1"/>
    <col min="14338" max="14365" width="5.26953125" style="396" customWidth="1"/>
    <col min="14366" max="14370" width="6.1796875" style="396" customWidth="1"/>
    <col min="14371" max="14373" width="6.7265625" style="396" customWidth="1"/>
    <col min="14374" max="14383" width="7" style="396" customWidth="1"/>
    <col min="14384" max="14386" width="10.7265625" style="396" customWidth="1"/>
    <col min="14387" max="14592" width="60.1796875" style="396"/>
    <col min="14593" max="14593" width="60" style="396" customWidth="1"/>
    <col min="14594" max="14621" width="5.26953125" style="396" customWidth="1"/>
    <col min="14622" max="14626" width="6.1796875" style="396" customWidth="1"/>
    <col min="14627" max="14629" width="6.7265625" style="396" customWidth="1"/>
    <col min="14630" max="14639" width="7" style="396" customWidth="1"/>
    <col min="14640" max="14642" width="10.7265625" style="396" customWidth="1"/>
    <col min="14643" max="14848" width="60.1796875" style="396"/>
    <col min="14849" max="14849" width="60" style="396" customWidth="1"/>
    <col min="14850" max="14877" width="5.26953125" style="396" customWidth="1"/>
    <col min="14878" max="14882" width="6.1796875" style="396" customWidth="1"/>
    <col min="14883" max="14885" width="6.7265625" style="396" customWidth="1"/>
    <col min="14886" max="14895" width="7" style="396" customWidth="1"/>
    <col min="14896" max="14898" width="10.7265625" style="396" customWidth="1"/>
    <col min="14899" max="15104" width="60.1796875" style="396"/>
    <col min="15105" max="15105" width="60" style="396" customWidth="1"/>
    <col min="15106" max="15133" width="5.26953125" style="396" customWidth="1"/>
    <col min="15134" max="15138" width="6.1796875" style="396" customWidth="1"/>
    <col min="15139" max="15141" width="6.7265625" style="396" customWidth="1"/>
    <col min="15142" max="15151" width="7" style="396" customWidth="1"/>
    <col min="15152" max="15154" width="10.7265625" style="396" customWidth="1"/>
    <col min="15155" max="15360" width="60.1796875" style="396"/>
    <col min="15361" max="15361" width="60" style="396" customWidth="1"/>
    <col min="15362" max="15389" width="5.26953125" style="396" customWidth="1"/>
    <col min="15390" max="15394" width="6.1796875" style="396" customWidth="1"/>
    <col min="15395" max="15397" width="6.7265625" style="396" customWidth="1"/>
    <col min="15398" max="15407" width="7" style="396" customWidth="1"/>
    <col min="15408" max="15410" width="10.7265625" style="396" customWidth="1"/>
    <col min="15411" max="15616" width="60.1796875" style="396"/>
    <col min="15617" max="15617" width="60" style="396" customWidth="1"/>
    <col min="15618" max="15645" width="5.26953125" style="396" customWidth="1"/>
    <col min="15646" max="15650" width="6.1796875" style="396" customWidth="1"/>
    <col min="15651" max="15653" width="6.7265625" style="396" customWidth="1"/>
    <col min="15654" max="15663" width="7" style="396" customWidth="1"/>
    <col min="15664" max="15666" width="10.7265625" style="396" customWidth="1"/>
    <col min="15667" max="15872" width="60.1796875" style="396"/>
    <col min="15873" max="15873" width="60" style="396" customWidth="1"/>
    <col min="15874" max="15901" width="5.26953125" style="396" customWidth="1"/>
    <col min="15902" max="15906" width="6.1796875" style="396" customWidth="1"/>
    <col min="15907" max="15909" width="6.7265625" style="396" customWidth="1"/>
    <col min="15910" max="15919" width="7" style="396" customWidth="1"/>
    <col min="15920" max="15922" width="10.7265625" style="396" customWidth="1"/>
    <col min="15923" max="16128" width="60.1796875" style="396"/>
    <col min="16129" max="16129" width="60" style="396" customWidth="1"/>
    <col min="16130" max="16157" width="5.26953125" style="396" customWidth="1"/>
    <col min="16158" max="16162" width="6.1796875" style="396" customWidth="1"/>
    <col min="16163" max="16165" width="6.7265625" style="396" customWidth="1"/>
    <col min="16166" max="16175" width="7" style="396" customWidth="1"/>
    <col min="16176" max="16178" width="10.7265625" style="396" customWidth="1"/>
    <col min="16179" max="16384" width="60.1796875" style="396"/>
  </cols>
  <sheetData>
    <row r="1" spans="1:50" ht="13">
      <c r="A1" s="440" t="s">
        <v>719</v>
      </c>
    </row>
    <row r="2" spans="1:50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50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</row>
    <row r="4" spans="1:50" ht="13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0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0" ht="13">
      <c r="A6" s="446" t="s">
        <v>749</v>
      </c>
      <c r="B6" s="449">
        <v>6134.476390758442</v>
      </c>
      <c r="C6" s="449">
        <v>6670.1928442058124</v>
      </c>
      <c r="D6" s="449">
        <v>7553.7723058297524</v>
      </c>
      <c r="E6" s="449">
        <v>7801.0846334125781</v>
      </c>
      <c r="F6" s="449">
        <v>8286.2053885349724</v>
      </c>
      <c r="G6" s="449">
        <v>8799.1577008830936</v>
      </c>
      <c r="H6" s="449">
        <v>9021.7461555137997</v>
      </c>
      <c r="I6" s="449">
        <v>9295.2849547153874</v>
      </c>
      <c r="J6" s="449">
        <v>9963.3010728686568</v>
      </c>
      <c r="K6" s="449">
        <v>10875.028287444513</v>
      </c>
      <c r="L6" s="449">
        <v>11793.857382871809</v>
      </c>
      <c r="M6" s="449">
        <v>12490.554167931154</v>
      </c>
      <c r="N6" s="449">
        <v>13242.995956691348</v>
      </c>
      <c r="O6" s="449">
        <v>14163.35385341505</v>
      </c>
      <c r="P6" s="449">
        <v>15987.199297432193</v>
      </c>
      <c r="Q6" s="449">
        <v>17704.989658897914</v>
      </c>
      <c r="R6" s="449">
        <v>18841.280924829734</v>
      </c>
      <c r="S6" s="449">
        <v>20753.077723984439</v>
      </c>
      <c r="T6" s="449">
        <v>24165.362640032414</v>
      </c>
      <c r="U6" s="449">
        <v>26895.808042050812</v>
      </c>
      <c r="V6" s="449">
        <v>30919.769454972753</v>
      </c>
      <c r="W6" s="449">
        <v>34856.37696349305</v>
      </c>
      <c r="X6" s="449">
        <v>39465.616027673561</v>
      </c>
      <c r="Y6" s="449">
        <v>47736.264683259113</v>
      </c>
      <c r="Z6" s="449">
        <v>51635.059687151181</v>
      </c>
      <c r="AA6" s="449">
        <v>60100.331515284321</v>
      </c>
      <c r="AB6" s="449">
        <v>73067.853308649792</v>
      </c>
      <c r="AC6" s="449">
        <v>88340.043396607885</v>
      </c>
      <c r="AD6" s="449">
        <v>109090.47764381462</v>
      </c>
      <c r="AE6" s="449">
        <v>149521.92161581287</v>
      </c>
      <c r="AF6" s="449">
        <v>199156.31876307397</v>
      </c>
      <c r="AG6" s="449">
        <v>242409.40666123101</v>
      </c>
      <c r="AH6" s="449">
        <v>311689.55540744175</v>
      </c>
      <c r="AI6" s="449">
        <v>415685.30118596024</v>
      </c>
      <c r="AJ6" s="449">
        <v>531350.39079649269</v>
      </c>
      <c r="AK6" s="449">
        <v>698585.68531646964</v>
      </c>
      <c r="AL6" s="449">
        <v>936917.55127217737</v>
      </c>
      <c r="AM6" s="449">
        <v>1120213.5792611141</v>
      </c>
      <c r="AN6" s="449">
        <v>1372884.3402048361</v>
      </c>
      <c r="AO6" s="449">
        <v>1769373.5088511857</v>
      </c>
      <c r="AP6" s="449">
        <v>2030798.5942666917</v>
      </c>
      <c r="AQ6" s="449">
        <v>2480081.9211733378</v>
      </c>
      <c r="AR6" s="449">
        <v>2958676.3769406653</v>
      </c>
      <c r="AS6" s="449">
        <v>3485910.1935759485</v>
      </c>
      <c r="AT6" s="449">
        <v>4179565.8967803987</v>
      </c>
      <c r="AU6" s="449">
        <v>5177030.5738368481</v>
      </c>
      <c r="AV6" s="449">
        <v>5265056.0619945461</v>
      </c>
      <c r="AW6" s="449">
        <v>5516284.3732515732</v>
      </c>
      <c r="AX6" s="450">
        <v>6117190.4208888747</v>
      </c>
    </row>
    <row r="7" spans="1:50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0" ht="13">
      <c r="A8" s="451" t="s">
        <v>750</v>
      </c>
      <c r="B8" s="449">
        <v>1454.2209866121364</v>
      </c>
      <c r="C8" s="449">
        <v>1605.7799141052697</v>
      </c>
      <c r="D8" s="449">
        <v>1759.8369499325975</v>
      </c>
      <c r="E8" s="449">
        <v>1845.7450798146924</v>
      </c>
      <c r="F8" s="449">
        <v>1900.0589518358533</v>
      </c>
      <c r="G8" s="449">
        <v>1992.7269168466521</v>
      </c>
      <c r="H8" s="449">
        <v>2178.3876637149024</v>
      </c>
      <c r="I8" s="449">
        <v>2230.4906734341253</v>
      </c>
      <c r="J8" s="449">
        <v>2334.8430615550751</v>
      </c>
      <c r="K8" s="449">
        <v>2515.8934224622026</v>
      </c>
      <c r="L8" s="449">
        <v>2688.2650958963291</v>
      </c>
      <c r="M8" s="449">
        <v>2991.3469755939523</v>
      </c>
      <c r="N8" s="449">
        <v>3302.1504267818573</v>
      </c>
      <c r="O8" s="449">
        <v>3449.7132000000011</v>
      </c>
      <c r="P8" s="449">
        <v>3638.9853000000003</v>
      </c>
      <c r="Q8" s="449">
        <v>4063.3546999999999</v>
      </c>
      <c r="R8" s="449">
        <v>4455.9574499999999</v>
      </c>
      <c r="S8" s="449">
        <v>4664.0556999999999</v>
      </c>
      <c r="T8" s="449">
        <v>5638.9702499999994</v>
      </c>
      <c r="U8" s="449">
        <v>6296.4567500000012</v>
      </c>
      <c r="V8" s="449">
        <v>6649.1665500000008</v>
      </c>
      <c r="W8" s="449">
        <v>7631.6280500000012</v>
      </c>
      <c r="X8" s="449">
        <v>8947.8896999999997</v>
      </c>
      <c r="Y8" s="449">
        <v>10783.6461</v>
      </c>
      <c r="Z8" s="449">
        <v>11137.024350000002</v>
      </c>
      <c r="AA8" s="449">
        <v>12267.614000000001</v>
      </c>
      <c r="AB8" s="449">
        <v>14862.045750000001</v>
      </c>
      <c r="AC8" s="449">
        <v>18198.52</v>
      </c>
      <c r="AD8" s="449">
        <v>20135.372149999999</v>
      </c>
      <c r="AE8" s="449">
        <v>26597.131400000002</v>
      </c>
      <c r="AF8" s="449">
        <v>38329.845999999998</v>
      </c>
      <c r="AG8" s="449">
        <v>49017.770109877805</v>
      </c>
      <c r="AH8" s="449">
        <v>67395.615546364716</v>
      </c>
      <c r="AI8" s="449">
        <v>84018.5245</v>
      </c>
      <c r="AJ8" s="449">
        <v>116210.94099999999</v>
      </c>
      <c r="AK8" s="449">
        <v>151379.715</v>
      </c>
      <c r="AL8" s="449">
        <v>213084.26139999999</v>
      </c>
      <c r="AM8" s="449">
        <v>255307.68900000001</v>
      </c>
      <c r="AN8" s="449">
        <v>325036.20199999999</v>
      </c>
      <c r="AO8" s="449">
        <v>308856</v>
      </c>
      <c r="AP8" s="449">
        <v>327598</v>
      </c>
      <c r="AQ8" s="449">
        <v>477057</v>
      </c>
      <c r="AR8" s="449">
        <v>678263</v>
      </c>
      <c r="AS8" s="449">
        <v>805743</v>
      </c>
      <c r="AT8" s="449">
        <v>1026671</v>
      </c>
      <c r="AU8" s="449">
        <v>1294095</v>
      </c>
      <c r="AV8" s="449">
        <v>1242753</v>
      </c>
      <c r="AW8" s="449">
        <v>1319417</v>
      </c>
      <c r="AX8" s="450">
        <v>1468587</v>
      </c>
    </row>
    <row r="9" spans="1:50" ht="13">
      <c r="A9" s="446" t="s">
        <v>751</v>
      </c>
      <c r="B9" s="449">
        <v>1093.7410000000002</v>
      </c>
      <c r="C9" s="449">
        <v>1340.019</v>
      </c>
      <c r="D9" s="449">
        <v>1480.1655000000001</v>
      </c>
      <c r="E9" s="449">
        <v>1513.2850000000001</v>
      </c>
      <c r="F9" s="449">
        <v>1541.422</v>
      </c>
      <c r="G9" s="449">
        <v>1629.59</v>
      </c>
      <c r="H9" s="449">
        <v>1653.2269999999999</v>
      </c>
      <c r="I9" s="449">
        <v>1697.277</v>
      </c>
      <c r="J9" s="449">
        <v>1929.0519999999999</v>
      </c>
      <c r="K9" s="449">
        <v>2044.9470000000001</v>
      </c>
      <c r="L9" s="449">
        <v>2211.8139999999999</v>
      </c>
      <c r="M9" s="449">
        <v>2320.2440000000001</v>
      </c>
      <c r="N9" s="449">
        <v>2456.5820000000003</v>
      </c>
      <c r="O9" s="449">
        <v>2644.0340000000001</v>
      </c>
      <c r="P9" s="449">
        <v>2988.0129145484384</v>
      </c>
      <c r="Q9" s="449">
        <v>3316.0334882151369</v>
      </c>
      <c r="R9" s="449">
        <v>3736.0976471182289</v>
      </c>
      <c r="S9" s="449">
        <v>4151.7955606428677</v>
      </c>
      <c r="T9" s="449">
        <v>4651.8822287890507</v>
      </c>
      <c r="U9" s="449">
        <v>5461.2856515567801</v>
      </c>
      <c r="V9" s="449">
        <v>6075.9758289460569</v>
      </c>
      <c r="W9" s="449">
        <v>7011.1607609568791</v>
      </c>
      <c r="X9" s="449">
        <v>8320.4754475892478</v>
      </c>
      <c r="Y9" s="449">
        <v>10044.477888843163</v>
      </c>
      <c r="Z9" s="449">
        <v>12181.727084718619</v>
      </c>
      <c r="AA9" s="449">
        <v>15080.150035215625</v>
      </c>
      <c r="AB9" s="449">
        <v>18833.681</v>
      </c>
      <c r="AC9" s="449">
        <v>23412.435000000001</v>
      </c>
      <c r="AD9" s="449">
        <v>36251.012999999999</v>
      </c>
      <c r="AE9" s="449">
        <v>44660.953000000001</v>
      </c>
      <c r="AF9" s="449">
        <v>59275.115559357422</v>
      </c>
      <c r="AG9" s="449">
        <v>70996.837029999995</v>
      </c>
      <c r="AH9" s="449">
        <v>86109.535042100004</v>
      </c>
      <c r="AI9" s="449">
        <v>111496.9</v>
      </c>
      <c r="AJ9" s="449">
        <v>140755.85799999998</v>
      </c>
      <c r="AK9" s="449">
        <v>185566.78700000001</v>
      </c>
      <c r="AL9" s="449">
        <v>231910.20199999999</v>
      </c>
      <c r="AM9" s="449">
        <v>283189.15400000004</v>
      </c>
      <c r="AN9" s="449">
        <v>337083.51199999999</v>
      </c>
      <c r="AO9" s="449">
        <v>486158.74099999998</v>
      </c>
      <c r="AP9" s="449">
        <v>572781.652</v>
      </c>
      <c r="AQ9" s="449">
        <v>662036.63899999997</v>
      </c>
      <c r="AR9" s="449">
        <v>785747.83600000001</v>
      </c>
      <c r="AS9" s="449">
        <v>952050</v>
      </c>
      <c r="AT9" s="449">
        <v>1135385</v>
      </c>
      <c r="AU9" s="449">
        <v>1339575</v>
      </c>
      <c r="AV9" s="449">
        <v>1484095</v>
      </c>
      <c r="AW9" s="449">
        <v>1600012</v>
      </c>
      <c r="AX9" s="450">
        <v>1785176</v>
      </c>
    </row>
    <row r="10" spans="1:50" ht="13">
      <c r="A10" s="451" t="s">
        <v>752</v>
      </c>
      <c r="B10" s="449">
        <v>2841.4746694423761</v>
      </c>
      <c r="C10" s="449">
        <v>2883.9506805082701</v>
      </c>
      <c r="D10" s="449">
        <v>3340.469829918396</v>
      </c>
      <c r="E10" s="449">
        <v>3411.7454882232628</v>
      </c>
      <c r="F10" s="449">
        <v>3773.4661397553973</v>
      </c>
      <c r="G10" s="449">
        <v>3983.6999018224087</v>
      </c>
      <c r="H10" s="449">
        <v>3908.429454883752</v>
      </c>
      <c r="I10" s="449">
        <v>4023.0792066386989</v>
      </c>
      <c r="J10" s="449">
        <v>4256.9622934183826</v>
      </c>
      <c r="K10" s="449">
        <v>4729.9766599547584</v>
      </c>
      <c r="L10" s="449">
        <v>5193.4376781799347</v>
      </c>
      <c r="M10" s="449">
        <v>5396.4560462460995</v>
      </c>
      <c r="N10" s="449">
        <v>5665.3037034261215</v>
      </c>
      <c r="O10" s="449">
        <v>6100.3818841000893</v>
      </c>
      <c r="P10" s="449">
        <v>7113.9138472460436</v>
      </c>
      <c r="Q10" s="449">
        <v>7559.3957243559043</v>
      </c>
      <c r="R10" s="449">
        <v>7878.796866154973</v>
      </c>
      <c r="S10" s="449">
        <v>8690.5011540967298</v>
      </c>
      <c r="T10" s="449">
        <v>10203.184418991699</v>
      </c>
      <c r="U10" s="449">
        <v>11277.517309172092</v>
      </c>
      <c r="V10" s="449">
        <v>14115.145043466815</v>
      </c>
      <c r="W10" s="449">
        <v>15703.205809184798</v>
      </c>
      <c r="X10" s="449">
        <v>17368.194442463995</v>
      </c>
      <c r="Y10" s="449">
        <v>21304.574426877633</v>
      </c>
      <c r="Z10" s="449">
        <v>22389.98904069898</v>
      </c>
      <c r="AA10" s="449">
        <v>25259.511970345546</v>
      </c>
      <c r="AB10" s="449">
        <v>30192.469950000002</v>
      </c>
      <c r="AC10" s="449">
        <v>36605.002600000007</v>
      </c>
      <c r="AD10" s="449">
        <v>42227.753099999994</v>
      </c>
      <c r="AE10" s="449">
        <v>61360.559100000006</v>
      </c>
      <c r="AF10" s="449">
        <v>83066.418999999994</v>
      </c>
      <c r="AG10" s="449">
        <v>98429.508450221794</v>
      </c>
      <c r="AH10" s="449">
        <v>121762.12009164886</v>
      </c>
      <c r="AI10" s="449">
        <v>182152.53150000001</v>
      </c>
      <c r="AJ10" s="449">
        <v>224188.5435</v>
      </c>
      <c r="AK10" s="449">
        <v>288705.57400000002</v>
      </c>
      <c r="AL10" s="449">
        <v>384491.16009999998</v>
      </c>
      <c r="AM10" s="449">
        <v>451618.45050000004</v>
      </c>
      <c r="AN10" s="449">
        <v>572590.60849999997</v>
      </c>
      <c r="AO10" s="449">
        <v>752539</v>
      </c>
      <c r="AP10" s="449">
        <v>844219</v>
      </c>
      <c r="AQ10" s="449">
        <v>1017017</v>
      </c>
      <c r="AR10" s="449">
        <v>1128074</v>
      </c>
      <c r="AS10" s="449">
        <v>1323125</v>
      </c>
      <c r="AT10" s="449">
        <v>1508175</v>
      </c>
      <c r="AU10" s="449">
        <v>1804271</v>
      </c>
      <c r="AV10" s="449">
        <v>1794392</v>
      </c>
      <c r="AW10" s="449">
        <v>2015756</v>
      </c>
      <c r="AX10" s="450">
        <v>2205630</v>
      </c>
    </row>
    <row r="11" spans="1:50" ht="13">
      <c r="A11" s="446" t="s">
        <v>753</v>
      </c>
      <c r="B11" s="449">
        <v>175.5769908988743</v>
      </c>
      <c r="C11" s="449">
        <v>236.0912442078866</v>
      </c>
      <c r="D11" s="449">
        <v>314.90986410308398</v>
      </c>
      <c r="E11" s="449">
        <v>331.15598534040367</v>
      </c>
      <c r="F11" s="449">
        <v>356.40460647903393</v>
      </c>
      <c r="G11" s="449">
        <v>430.07519873514764</v>
      </c>
      <c r="H11" s="449">
        <v>490.88200421752413</v>
      </c>
      <c r="I11" s="449">
        <v>524.80994111071527</v>
      </c>
      <c r="J11" s="449">
        <v>562.2724073170923</v>
      </c>
      <c r="K11" s="449">
        <v>661.32719548270779</v>
      </c>
      <c r="L11" s="449">
        <v>703.98554765601466</v>
      </c>
      <c r="M11" s="449">
        <v>737.71587688882653</v>
      </c>
      <c r="N11" s="449">
        <v>699.9015729982641</v>
      </c>
      <c r="O11" s="449">
        <v>755.9861503690604</v>
      </c>
      <c r="P11" s="449">
        <v>881.33033049625101</v>
      </c>
      <c r="Q11" s="449">
        <v>930.49159001519206</v>
      </c>
      <c r="R11" s="449">
        <v>1004.100245707976</v>
      </c>
      <c r="S11" s="449">
        <v>1370.1248663151105</v>
      </c>
      <c r="T11" s="449">
        <v>1378.8897950848268</v>
      </c>
      <c r="U11" s="449">
        <v>1474.0441184169895</v>
      </c>
      <c r="V11" s="449">
        <v>1868.3623713649322</v>
      </c>
      <c r="W11" s="449">
        <v>1995.4464113887279</v>
      </c>
      <c r="X11" s="449">
        <v>1920.6421004623789</v>
      </c>
      <c r="Y11" s="449">
        <v>2394.7301004623791</v>
      </c>
      <c r="Z11" s="449">
        <v>2319.158100462379</v>
      </c>
      <c r="AA11" s="449">
        <v>2708.2960000000003</v>
      </c>
      <c r="AB11" s="449">
        <v>3061.47</v>
      </c>
      <c r="AC11" s="449">
        <v>2782.0190000000002</v>
      </c>
      <c r="AD11" s="449">
        <v>2007.6480000000001</v>
      </c>
      <c r="AE11" s="449">
        <v>5056.2306870499533</v>
      </c>
      <c r="AF11" s="449">
        <v>5980.4637510157718</v>
      </c>
      <c r="AG11" s="449">
        <v>9482.474643453279</v>
      </c>
      <c r="AH11" s="449">
        <v>17742.487174470432</v>
      </c>
      <c r="AI11" s="449">
        <v>11853.448640000002</v>
      </c>
      <c r="AJ11" s="449">
        <v>16916.999179999999</v>
      </c>
      <c r="AK11" s="449">
        <v>26747.183559999998</v>
      </c>
      <c r="AL11" s="449">
        <v>47790.149869671804</v>
      </c>
      <c r="AM11" s="449">
        <v>55229.528308857407</v>
      </c>
      <c r="AN11" s="449">
        <v>47413.384899999997</v>
      </c>
      <c r="AO11" s="449">
        <v>68093</v>
      </c>
      <c r="AP11" s="449">
        <v>93767</v>
      </c>
      <c r="AQ11" s="449">
        <v>103135</v>
      </c>
      <c r="AR11" s="449">
        <v>103684</v>
      </c>
      <c r="AS11" s="449">
        <v>146734</v>
      </c>
      <c r="AT11" s="449">
        <v>184160</v>
      </c>
      <c r="AU11" s="449">
        <v>289165</v>
      </c>
      <c r="AV11" s="449">
        <v>186402</v>
      </c>
      <c r="AW11" s="449">
        <v>148556</v>
      </c>
      <c r="AX11" s="450">
        <v>203378</v>
      </c>
    </row>
    <row r="12" spans="1:50" ht="13">
      <c r="A12" s="446" t="s">
        <v>754</v>
      </c>
      <c r="B12" s="449">
        <v>138.79047428193977</v>
      </c>
      <c r="C12" s="449">
        <v>144.54401485933624</v>
      </c>
      <c r="D12" s="449">
        <v>149.26690577558935</v>
      </c>
      <c r="E12" s="449">
        <v>150.30748881167952</v>
      </c>
      <c r="F12" s="449">
        <v>161.96670989887195</v>
      </c>
      <c r="G12" s="449">
        <v>169.37951818947812</v>
      </c>
      <c r="H12" s="449">
        <v>174.73180590011853</v>
      </c>
      <c r="I12" s="449">
        <v>179.75345557232953</v>
      </c>
      <c r="J12" s="449">
        <v>190.35653306698316</v>
      </c>
      <c r="K12" s="449">
        <v>205.25187556075346</v>
      </c>
      <c r="L12" s="449">
        <v>221.399079714566</v>
      </c>
      <c r="M12" s="449">
        <v>239.26749308257826</v>
      </c>
      <c r="N12" s="449">
        <v>256.21880257588111</v>
      </c>
      <c r="O12" s="449">
        <v>278.84868885493017</v>
      </c>
      <c r="P12" s="449">
        <v>308.12873377397227</v>
      </c>
      <c r="Q12" s="449">
        <v>336.1301265106718</v>
      </c>
      <c r="R12" s="449">
        <v>369.55531232355077</v>
      </c>
      <c r="S12" s="449">
        <v>400.24463229657687</v>
      </c>
      <c r="T12" s="449">
        <v>439.90823470398232</v>
      </c>
      <c r="U12" s="449">
        <v>493.21873280024499</v>
      </c>
      <c r="V12" s="449">
        <v>595.69392670643754</v>
      </c>
      <c r="W12" s="449">
        <v>664.81016688401792</v>
      </c>
      <c r="X12" s="449">
        <v>750.81932542967377</v>
      </c>
      <c r="Y12" s="449">
        <v>847.75735025963604</v>
      </c>
      <c r="Z12" s="449">
        <v>1023.9386182549802</v>
      </c>
      <c r="AA12" s="449">
        <v>1270.6791695347936</v>
      </c>
      <c r="AB12" s="449">
        <v>1495.9028888082053</v>
      </c>
      <c r="AC12" s="449">
        <v>1945.7516172915668</v>
      </c>
      <c r="AD12" s="449">
        <v>2518.1805186157126</v>
      </c>
      <c r="AE12" s="449">
        <v>3115.1005487542161</v>
      </c>
      <c r="AF12" s="449">
        <v>4340.2014843396955</v>
      </c>
      <c r="AG12" s="449">
        <v>5979.8540681970899</v>
      </c>
      <c r="AH12" s="449">
        <v>8251.4633721532955</v>
      </c>
      <c r="AI12" s="449">
        <v>11518.490946758713</v>
      </c>
      <c r="AJ12" s="449">
        <v>15981.290674947179</v>
      </c>
      <c r="AK12" s="449">
        <v>21441.013209336823</v>
      </c>
      <c r="AL12" s="449">
        <v>28957.413002438472</v>
      </c>
      <c r="AM12" s="449">
        <v>36565.472024298353</v>
      </c>
      <c r="AN12" s="449">
        <v>44893.521355847915</v>
      </c>
      <c r="AO12" s="449">
        <v>52957.446851185763</v>
      </c>
      <c r="AP12" s="449">
        <v>60130.740266691777</v>
      </c>
      <c r="AQ12" s="449">
        <v>69719.531173337877</v>
      </c>
      <c r="AR12" s="449">
        <v>79347.757940665499</v>
      </c>
      <c r="AS12" s="449">
        <v>90029.193575948535</v>
      </c>
      <c r="AT12" s="449">
        <v>101461.89678039859</v>
      </c>
      <c r="AU12" s="449">
        <v>110768.57383684788</v>
      </c>
      <c r="AV12" s="449">
        <v>123393.06199454579</v>
      </c>
      <c r="AW12" s="449">
        <v>136473.37325157298</v>
      </c>
      <c r="AX12" s="450">
        <v>148020.42088887497</v>
      </c>
    </row>
    <row r="13" spans="1:50" ht="13">
      <c r="A13" s="451" t="s">
        <v>755</v>
      </c>
      <c r="B13" s="449">
        <v>430.67226952311427</v>
      </c>
      <c r="C13" s="449">
        <v>459.80799052505012</v>
      </c>
      <c r="D13" s="449">
        <v>509.12325610008526</v>
      </c>
      <c r="E13" s="449">
        <v>548.84559122253881</v>
      </c>
      <c r="F13" s="449">
        <v>552.88698056581529</v>
      </c>
      <c r="G13" s="449">
        <v>593.68616528940834</v>
      </c>
      <c r="H13" s="449">
        <v>616.08822679750028</v>
      </c>
      <c r="I13" s="449">
        <v>639.87467795951864</v>
      </c>
      <c r="J13" s="449">
        <v>689.81477751112516</v>
      </c>
      <c r="K13" s="449">
        <v>717.63213398409096</v>
      </c>
      <c r="L13" s="449">
        <v>774.95598142496624</v>
      </c>
      <c r="M13" s="449">
        <v>805.52377611969928</v>
      </c>
      <c r="N13" s="449">
        <v>862.83945090922384</v>
      </c>
      <c r="O13" s="449">
        <v>934.3899300909668</v>
      </c>
      <c r="P13" s="449">
        <v>1056.8281713674871</v>
      </c>
      <c r="Q13" s="449">
        <v>1499.5840298010091</v>
      </c>
      <c r="R13" s="449">
        <v>1396.7734035250032</v>
      </c>
      <c r="S13" s="449">
        <v>1476.3558106331584</v>
      </c>
      <c r="T13" s="449">
        <v>1852.5277124628574</v>
      </c>
      <c r="U13" s="449">
        <v>1893.2854801047031</v>
      </c>
      <c r="V13" s="449">
        <v>1615.4257344885127</v>
      </c>
      <c r="W13" s="449">
        <v>1850.125765078632</v>
      </c>
      <c r="X13" s="449">
        <v>2157.5950117282669</v>
      </c>
      <c r="Y13" s="449">
        <v>2361.0788168163058</v>
      </c>
      <c r="Z13" s="449">
        <v>2583.2224930162197</v>
      </c>
      <c r="AA13" s="449">
        <v>3514.0803401883563</v>
      </c>
      <c r="AB13" s="449">
        <v>4622.2837198415737</v>
      </c>
      <c r="AC13" s="449">
        <v>5396.3151793163061</v>
      </c>
      <c r="AD13" s="449">
        <v>5950.510875198921</v>
      </c>
      <c r="AE13" s="449">
        <v>8731.9468800086979</v>
      </c>
      <c r="AF13" s="449">
        <v>8164.272968361096</v>
      </c>
      <c r="AG13" s="449">
        <v>8502.96235948106</v>
      </c>
      <c r="AH13" s="449">
        <v>10428.334180704434</v>
      </c>
      <c r="AI13" s="449">
        <v>14645.405599201529</v>
      </c>
      <c r="AJ13" s="449">
        <v>17296.758441545528</v>
      </c>
      <c r="AK13" s="449">
        <v>24745.412547132859</v>
      </c>
      <c r="AL13" s="449">
        <v>30684.364900067136</v>
      </c>
      <c r="AM13" s="449">
        <v>38303.285427958173</v>
      </c>
      <c r="AN13" s="449">
        <v>45867.111448988595</v>
      </c>
      <c r="AO13" s="449">
        <v>100769.32099999997</v>
      </c>
      <c r="AP13" s="449">
        <v>132302.20199999999</v>
      </c>
      <c r="AQ13" s="449">
        <v>151116.75099999999</v>
      </c>
      <c r="AR13" s="449">
        <v>183559.783</v>
      </c>
      <c r="AS13" s="449">
        <v>168229</v>
      </c>
      <c r="AT13" s="449">
        <v>223713</v>
      </c>
      <c r="AU13" s="449">
        <v>339156</v>
      </c>
      <c r="AV13" s="449">
        <v>434021</v>
      </c>
      <c r="AW13" s="449">
        <v>296070</v>
      </c>
      <c r="AX13" s="450">
        <v>306399</v>
      </c>
    </row>
    <row r="14" spans="1:50" ht="13">
      <c r="A14" s="446"/>
      <c r="B14" s="447"/>
      <c r="C14" s="447"/>
      <c r="D14" s="447"/>
      <c r="E14" s="447"/>
      <c r="F14" s="447"/>
      <c r="G14" s="447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8"/>
    </row>
    <row r="15" spans="1:50" ht="13">
      <c r="A15" s="446" t="s">
        <v>756</v>
      </c>
      <c r="B15" s="449">
        <v>279.10822880755427</v>
      </c>
      <c r="C15" s="449">
        <v>338.56447892601796</v>
      </c>
      <c r="D15" s="449">
        <v>269.44462616480581</v>
      </c>
      <c r="E15" s="449">
        <v>994.06492288849654</v>
      </c>
      <c r="F15" s="449">
        <v>340.00369195297105</v>
      </c>
      <c r="G15" s="449">
        <v>395.87989450722819</v>
      </c>
      <c r="H15" s="449">
        <v>338.06359890526909</v>
      </c>
      <c r="I15" s="449">
        <v>396.9776394169192</v>
      </c>
      <c r="J15" s="449">
        <v>461.06071463635567</v>
      </c>
      <c r="K15" s="449">
        <v>440.95990990993022</v>
      </c>
      <c r="L15" s="449">
        <v>419.38651261017435</v>
      </c>
      <c r="M15" s="449">
        <v>464.4478515700149</v>
      </c>
      <c r="N15" s="449">
        <v>464.84400000000005</v>
      </c>
      <c r="O15" s="449">
        <v>514.48700000000008</v>
      </c>
      <c r="P15" s="449">
        <v>519.62099999999987</v>
      </c>
      <c r="Q15" s="449">
        <v>541.28</v>
      </c>
      <c r="R15" s="449">
        <v>629.37</v>
      </c>
      <c r="S15" s="449">
        <v>616.02800000000002</v>
      </c>
      <c r="T15" s="449">
        <v>612.49</v>
      </c>
      <c r="U15" s="449">
        <v>737.41099999999983</v>
      </c>
      <c r="V15" s="449">
        <v>736.73199999999986</v>
      </c>
      <c r="W15" s="449">
        <v>686.99300000000005</v>
      </c>
      <c r="X15" s="449">
        <v>712.19900000000007</v>
      </c>
      <c r="Y15" s="449">
        <v>949.95500000000004</v>
      </c>
      <c r="Z15" s="449">
        <v>990.255</v>
      </c>
      <c r="AA15" s="449">
        <v>952.09</v>
      </c>
      <c r="AB15" s="449">
        <v>1060.2149999999999</v>
      </c>
      <c r="AC15" s="449">
        <v>1360.0240000000008</v>
      </c>
      <c r="AD15" s="449">
        <v>1132.0130000000004</v>
      </c>
      <c r="AE15" s="449">
        <v>835.05</v>
      </c>
      <c r="AF15" s="449">
        <v>1375.0470000000005</v>
      </c>
      <c r="AG15" s="449">
        <v>3254.3537541547448</v>
      </c>
      <c r="AH15" s="449">
        <v>1956.2237726416006</v>
      </c>
      <c r="AI15" s="449">
        <v>2815.0130000000063</v>
      </c>
      <c r="AJ15" s="449">
        <v>2118.8689999999988</v>
      </c>
      <c r="AK15" s="449">
        <v>2410.2639999999956</v>
      </c>
      <c r="AL15" s="449">
        <v>7264.3690000000024</v>
      </c>
      <c r="AM15" s="449">
        <v>13022.975999999999</v>
      </c>
      <c r="AN15" s="449">
        <v>14524.625</v>
      </c>
      <c r="AO15" s="449">
        <v>37426</v>
      </c>
      <c r="AP15" s="449">
        <v>45998</v>
      </c>
      <c r="AQ15" s="449">
        <v>60367</v>
      </c>
      <c r="AR15" s="449">
        <v>122846</v>
      </c>
      <c r="AS15" s="449">
        <v>147686</v>
      </c>
      <c r="AT15" s="449">
        <v>208678</v>
      </c>
      <c r="AU15" s="449">
        <v>271847</v>
      </c>
      <c r="AV15" s="449">
        <v>257649</v>
      </c>
      <c r="AW15" s="449">
        <v>258098</v>
      </c>
      <c r="AX15" s="450">
        <v>300067</v>
      </c>
    </row>
    <row r="16" spans="1:50" ht="13">
      <c r="A16" s="446"/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8"/>
    </row>
    <row r="17" spans="1:50" ht="13">
      <c r="A17" s="446" t="s">
        <v>757</v>
      </c>
      <c r="B17" s="449">
        <v>279.10822880755427</v>
      </c>
      <c r="C17" s="449">
        <v>338.56447892601796</v>
      </c>
      <c r="D17" s="449">
        <v>269.44462616480581</v>
      </c>
      <c r="E17" s="449">
        <v>994.06492288849654</v>
      </c>
      <c r="F17" s="449">
        <v>340.00369195297105</v>
      </c>
      <c r="G17" s="449">
        <v>395.87989450722819</v>
      </c>
      <c r="H17" s="449">
        <v>338.06359890526909</v>
      </c>
      <c r="I17" s="449">
        <v>396.9776394169192</v>
      </c>
      <c r="J17" s="449">
        <v>461.06071463635567</v>
      </c>
      <c r="K17" s="449">
        <v>440.95990990993022</v>
      </c>
      <c r="L17" s="449">
        <v>419.38651261017435</v>
      </c>
      <c r="M17" s="449">
        <v>464.4478515700149</v>
      </c>
      <c r="N17" s="449">
        <v>464.84400000000005</v>
      </c>
      <c r="O17" s="449">
        <v>514.48700000000008</v>
      </c>
      <c r="P17" s="449">
        <v>519.62099999999987</v>
      </c>
      <c r="Q17" s="449">
        <v>541.28</v>
      </c>
      <c r="R17" s="449">
        <v>629.37</v>
      </c>
      <c r="S17" s="449">
        <v>616.02800000000002</v>
      </c>
      <c r="T17" s="449">
        <v>612.49</v>
      </c>
      <c r="U17" s="449">
        <v>737.41099999999983</v>
      </c>
      <c r="V17" s="449">
        <v>736.73199999999986</v>
      </c>
      <c r="W17" s="449">
        <v>686.99300000000005</v>
      </c>
      <c r="X17" s="449">
        <v>712.19900000000007</v>
      </c>
      <c r="Y17" s="449">
        <v>949.95500000000004</v>
      </c>
      <c r="Z17" s="449">
        <v>990.255</v>
      </c>
      <c r="AA17" s="449">
        <v>952.09</v>
      </c>
      <c r="AB17" s="449">
        <v>1060.2149999999999</v>
      </c>
      <c r="AC17" s="449">
        <v>1360.0240000000008</v>
      </c>
      <c r="AD17" s="449">
        <v>1132.0130000000004</v>
      </c>
      <c r="AE17" s="449">
        <v>835.05</v>
      </c>
      <c r="AF17" s="449">
        <v>1375.0470000000005</v>
      </c>
      <c r="AG17" s="449">
        <v>3254.3537541547448</v>
      </c>
      <c r="AH17" s="449">
        <v>1956.2237726416006</v>
      </c>
      <c r="AI17" s="449">
        <v>2815.0130000000063</v>
      </c>
      <c r="AJ17" s="449">
        <v>2118.8689999999988</v>
      </c>
      <c r="AK17" s="449">
        <v>2410.2639999999956</v>
      </c>
      <c r="AL17" s="449">
        <v>7264.3690000000024</v>
      </c>
      <c r="AM17" s="449">
        <v>13022.975999999999</v>
      </c>
      <c r="AN17" s="449">
        <v>14524.625</v>
      </c>
      <c r="AO17" s="449">
        <v>37426</v>
      </c>
      <c r="AP17" s="449">
        <v>45998</v>
      </c>
      <c r="AQ17" s="449">
        <v>60367</v>
      </c>
      <c r="AR17" s="449">
        <v>122846</v>
      </c>
      <c r="AS17" s="449">
        <v>147686</v>
      </c>
      <c r="AT17" s="449">
        <v>208678</v>
      </c>
      <c r="AU17" s="449">
        <v>271847</v>
      </c>
      <c r="AV17" s="449">
        <v>257649</v>
      </c>
      <c r="AW17" s="449">
        <v>258098</v>
      </c>
      <c r="AX17" s="450">
        <v>300067</v>
      </c>
    </row>
    <row r="18" spans="1:50" ht="13">
      <c r="A18" s="446"/>
      <c r="B18" s="447"/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8"/>
    </row>
    <row r="19" spans="1:50" ht="13">
      <c r="A19" s="446" t="s">
        <v>758</v>
      </c>
      <c r="B19" s="449">
        <v>6413.584619565996</v>
      </c>
      <c r="C19" s="449">
        <v>7008.7573231318302</v>
      </c>
      <c r="D19" s="449">
        <v>7823.2169319945579</v>
      </c>
      <c r="E19" s="449">
        <v>8795.149556301074</v>
      </c>
      <c r="F19" s="449">
        <v>8626.2090804879426</v>
      </c>
      <c r="G19" s="449">
        <v>9195.0375953903222</v>
      </c>
      <c r="H19" s="449">
        <v>9359.8097544190696</v>
      </c>
      <c r="I19" s="449">
        <v>9692.2625941323058</v>
      </c>
      <c r="J19" s="449">
        <v>10424.361787505013</v>
      </c>
      <c r="K19" s="449">
        <v>11315.988197354443</v>
      </c>
      <c r="L19" s="449">
        <v>12213.243895481983</v>
      </c>
      <c r="M19" s="449">
        <v>12955.002019501169</v>
      </c>
      <c r="N19" s="449">
        <v>13707.839956691347</v>
      </c>
      <c r="O19" s="449">
        <v>14677.840853415051</v>
      </c>
      <c r="P19" s="449">
        <v>16506.820297432194</v>
      </c>
      <c r="Q19" s="449">
        <v>18246.269658897912</v>
      </c>
      <c r="R19" s="449">
        <v>19470.650924829733</v>
      </c>
      <c r="S19" s="449">
        <v>21369.105723984438</v>
      </c>
      <c r="T19" s="449">
        <v>24777.852640032415</v>
      </c>
      <c r="U19" s="449">
        <v>27633.219042050812</v>
      </c>
      <c r="V19" s="449">
        <v>31656.501454972753</v>
      </c>
      <c r="W19" s="449">
        <v>35543.369963493053</v>
      </c>
      <c r="X19" s="449">
        <v>40177.815027673561</v>
      </c>
      <c r="Y19" s="449">
        <v>48686.219683259114</v>
      </c>
      <c r="Z19" s="449">
        <v>52625.314687151178</v>
      </c>
      <c r="AA19" s="449">
        <v>61052.421515284317</v>
      </c>
      <c r="AB19" s="449">
        <v>74128.068308649788</v>
      </c>
      <c r="AC19" s="449">
        <v>89700.06739660789</v>
      </c>
      <c r="AD19" s="449">
        <v>110222.49064381463</v>
      </c>
      <c r="AE19" s="449">
        <v>150356.97161581286</v>
      </c>
      <c r="AF19" s="449">
        <v>200531.36576307396</v>
      </c>
      <c r="AG19" s="449">
        <v>245663.76041538577</v>
      </c>
      <c r="AH19" s="449">
        <v>313645.77918008337</v>
      </c>
      <c r="AI19" s="449">
        <v>418500.31418596022</v>
      </c>
      <c r="AJ19" s="449">
        <v>533469.25979649264</v>
      </c>
      <c r="AK19" s="449">
        <v>700995.9493164696</v>
      </c>
      <c r="AL19" s="449">
        <v>944181.92027217732</v>
      </c>
      <c r="AM19" s="449">
        <v>1133236.5552611141</v>
      </c>
      <c r="AN19" s="449">
        <v>1387408.9652048361</v>
      </c>
      <c r="AO19" s="449">
        <v>1806799.5088511857</v>
      </c>
      <c r="AP19" s="449">
        <v>2076796.5942666917</v>
      </c>
      <c r="AQ19" s="449">
        <v>2540448.9211733378</v>
      </c>
      <c r="AR19" s="449">
        <v>3081522.3769406653</v>
      </c>
      <c r="AS19" s="449">
        <v>3633596.1935759485</v>
      </c>
      <c r="AT19" s="449">
        <v>4388243.8967803987</v>
      </c>
      <c r="AU19" s="449">
        <v>5448877.5738368481</v>
      </c>
      <c r="AV19" s="449">
        <v>5522705.0619945461</v>
      </c>
      <c r="AW19" s="449">
        <v>5774382.3732515732</v>
      </c>
      <c r="AX19" s="450">
        <v>6417257.4208888747</v>
      </c>
    </row>
    <row r="20" spans="1:5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0" ht="13">
      <c r="A21" s="446" t="s">
        <v>759</v>
      </c>
      <c r="B21" s="449">
        <v>5351.6172470179727</v>
      </c>
      <c r="C21" s="449">
        <v>5712.45420844616</v>
      </c>
      <c r="D21" s="449">
        <v>6721.6012494845572</v>
      </c>
      <c r="E21" s="449">
        <v>6213.9240468870739</v>
      </c>
      <c r="F21" s="449">
        <v>6651.315263632001</v>
      </c>
      <c r="G21" s="449">
        <v>6857.5862184732823</v>
      </c>
      <c r="H21" s="449">
        <v>7227.9959035720449</v>
      </c>
      <c r="I21" s="449">
        <v>7912.7662878039155</v>
      </c>
      <c r="J21" s="449">
        <v>8163.165094679006</v>
      </c>
      <c r="K21" s="449">
        <v>8501.9728285520432</v>
      </c>
      <c r="L21" s="449">
        <v>9309.0459871916228</v>
      </c>
      <c r="M21" s="449">
        <v>9742.495604625974</v>
      </c>
      <c r="N21" s="449">
        <v>10641.433442933929</v>
      </c>
      <c r="O21" s="449">
        <v>11436.830435187483</v>
      </c>
      <c r="P21" s="449">
        <v>14189.502065453094</v>
      </c>
      <c r="Q21" s="449">
        <v>15273.720625203283</v>
      </c>
      <c r="R21" s="449">
        <v>16081.117636760735</v>
      </c>
      <c r="S21" s="449">
        <v>17509.131889995693</v>
      </c>
      <c r="T21" s="449">
        <v>19732.811872215163</v>
      </c>
      <c r="U21" s="449">
        <v>21743.475172891202</v>
      </c>
      <c r="V21" s="449">
        <v>25643.571247268879</v>
      </c>
      <c r="W21" s="449">
        <v>28776.914824752119</v>
      </c>
      <c r="X21" s="449">
        <v>31178.39650642523</v>
      </c>
      <c r="Y21" s="449">
        <v>37221.2364297842</v>
      </c>
      <c r="Z21" s="449">
        <v>41032.113344863683</v>
      </c>
      <c r="AA21" s="449">
        <v>50090.576000184723</v>
      </c>
      <c r="AB21" s="449">
        <v>59559.07605491596</v>
      </c>
      <c r="AC21" s="449">
        <v>82351.337590010517</v>
      </c>
      <c r="AD21" s="449">
        <v>111307.05875777453</v>
      </c>
      <c r="AE21" s="449">
        <v>157471.2219010538</v>
      </c>
      <c r="AF21" s="449">
        <v>200626.37863989326</v>
      </c>
      <c r="AG21" s="449">
        <v>260430.72011871741</v>
      </c>
      <c r="AH21" s="449">
        <v>325176.87312282226</v>
      </c>
      <c r="AI21" s="449">
        <v>467964.0477873151</v>
      </c>
      <c r="AJ21" s="449">
        <v>652628.83937598893</v>
      </c>
      <c r="AK21" s="449">
        <v>755136.59631483862</v>
      </c>
      <c r="AL21" s="449">
        <v>986698.33370290697</v>
      </c>
      <c r="AM21" s="449">
        <v>1328034.0115325556</v>
      </c>
      <c r="AN21" s="449">
        <v>1623668.5570829764</v>
      </c>
      <c r="AO21" s="449">
        <v>1860530.3468511859</v>
      </c>
      <c r="AP21" s="449">
        <v>2155812.6402666918</v>
      </c>
      <c r="AQ21" s="449">
        <v>2444263.831173338</v>
      </c>
      <c r="AR21" s="449">
        <v>2851368.0579406656</v>
      </c>
      <c r="AS21" s="449">
        <v>3630205.2935759486</v>
      </c>
      <c r="AT21" s="449">
        <v>4478208.5967803989</v>
      </c>
      <c r="AU21" s="449">
        <v>5073654.6738368478</v>
      </c>
      <c r="AV21" s="449">
        <v>5550417.7619945453</v>
      </c>
      <c r="AW21" s="449">
        <v>5937310.4732515737</v>
      </c>
      <c r="AX21" s="450">
        <v>6494522.7208888745</v>
      </c>
    </row>
    <row r="22" spans="1:5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</row>
    <row r="23" spans="1:50" ht="13">
      <c r="A23" s="446" t="s">
        <v>760</v>
      </c>
      <c r="B23" s="449">
        <v>3823.4461649310351</v>
      </c>
      <c r="C23" s="449">
        <v>3997.8244881087676</v>
      </c>
      <c r="D23" s="449">
        <v>4411.3250206010698</v>
      </c>
      <c r="E23" s="449">
        <v>4354.4675360182473</v>
      </c>
      <c r="F23" s="449">
        <v>4453.4559093426433</v>
      </c>
      <c r="G23" s="449">
        <v>4429.4411077726345</v>
      </c>
      <c r="H23" s="449">
        <v>5025.1688775521725</v>
      </c>
      <c r="I23" s="449">
        <v>5692.9308595537914</v>
      </c>
      <c r="J23" s="449">
        <v>5871.0067288636137</v>
      </c>
      <c r="K23" s="449">
        <v>5899.4420111717018</v>
      </c>
      <c r="L23" s="449">
        <v>6333.033444928541</v>
      </c>
      <c r="M23" s="449">
        <v>6569.8719947972522</v>
      </c>
      <c r="N23" s="449">
        <v>7414.2116559132483</v>
      </c>
      <c r="O23" s="449">
        <v>7990.1015445714411</v>
      </c>
      <c r="P23" s="449">
        <v>10092.423778252278</v>
      </c>
      <c r="Q23" s="449">
        <v>11017.530540697095</v>
      </c>
      <c r="R23" s="449">
        <v>11429.867883787778</v>
      </c>
      <c r="S23" s="449">
        <v>12352.567668035337</v>
      </c>
      <c r="T23" s="449">
        <v>13416.194001800022</v>
      </c>
      <c r="U23" s="449">
        <v>14848.613257778252</v>
      </c>
      <c r="V23" s="449">
        <v>17918.328367269423</v>
      </c>
      <c r="W23" s="449">
        <v>19818.551220713256</v>
      </c>
      <c r="X23" s="449">
        <v>21557.414544228002</v>
      </c>
      <c r="Y23" s="449">
        <v>25686.572430375345</v>
      </c>
      <c r="Z23" s="449">
        <v>28170.180314366502</v>
      </c>
      <c r="AA23" s="449">
        <v>32375.562333483493</v>
      </c>
      <c r="AB23" s="449">
        <v>37370.265748748498</v>
      </c>
      <c r="AC23" s="449">
        <v>49434.589835044295</v>
      </c>
      <c r="AD23" s="449">
        <v>60288.513525563067</v>
      </c>
      <c r="AE23" s="449">
        <v>71164.216387928624</v>
      </c>
      <c r="AF23" s="449">
        <v>93408.121310058224</v>
      </c>
      <c r="AG23" s="449">
        <v>117441.76593745986</v>
      </c>
      <c r="AH23" s="449">
        <v>148629.0169631532</v>
      </c>
      <c r="AI23" s="449">
        <v>198703.84508675867</v>
      </c>
      <c r="AJ23" s="449">
        <v>246827.33435494723</v>
      </c>
      <c r="AK23" s="449">
        <v>300954.1032693368</v>
      </c>
      <c r="AL23" s="449">
        <v>380485.15060243855</v>
      </c>
      <c r="AM23" s="449">
        <v>463248.39502429828</v>
      </c>
      <c r="AN23" s="449">
        <v>586003.21975584794</v>
      </c>
      <c r="AO23" s="449">
        <v>713882.44685118576</v>
      </c>
      <c r="AP23" s="449">
        <v>827073.74026669178</v>
      </c>
      <c r="AQ23" s="449">
        <v>1019741.5311733378</v>
      </c>
      <c r="AR23" s="449">
        <v>1252123.7579406654</v>
      </c>
      <c r="AS23" s="449">
        <v>1524696.1935759485</v>
      </c>
      <c r="AT23" s="449">
        <v>1949041.8967803987</v>
      </c>
      <c r="AU23" s="449">
        <v>2209932.5738368481</v>
      </c>
      <c r="AV23" s="449">
        <v>2403211.0619945456</v>
      </c>
      <c r="AW23" s="449">
        <v>2567250.3732515732</v>
      </c>
      <c r="AX23" s="450">
        <v>2790015.4208888747</v>
      </c>
    </row>
    <row r="24" spans="1:50" ht="13">
      <c r="A24" s="446" t="s">
        <v>761</v>
      </c>
      <c r="B24" s="449">
        <v>2145.8698926305692</v>
      </c>
      <c r="C24" s="449">
        <v>2320.401989402757</v>
      </c>
      <c r="D24" s="449">
        <v>2704.7593291680437</v>
      </c>
      <c r="E24" s="449">
        <v>2745.5351718257966</v>
      </c>
      <c r="F24" s="449">
        <v>2808.5701779181754</v>
      </c>
      <c r="G24" s="449">
        <v>3006.3828529170082</v>
      </c>
      <c r="H24" s="449">
        <v>3108.7630997094225</v>
      </c>
      <c r="I24" s="449">
        <v>3242.1632224504556</v>
      </c>
      <c r="J24" s="449">
        <v>3498.44636625777</v>
      </c>
      <c r="K24" s="449">
        <v>3602.3593454502625</v>
      </c>
      <c r="L24" s="449">
        <v>3733.1203691845944</v>
      </c>
      <c r="M24" s="449">
        <v>3914.8640308287618</v>
      </c>
      <c r="N24" s="449">
        <v>4891.2841214427754</v>
      </c>
      <c r="O24" s="449">
        <v>5110.7451537604347</v>
      </c>
      <c r="P24" s="449">
        <v>6210.6579942607332</v>
      </c>
      <c r="Q24" s="449">
        <v>6900.1315349298002</v>
      </c>
      <c r="R24" s="449">
        <v>7267.8194311925563</v>
      </c>
      <c r="S24" s="449">
        <v>7705.0090345689932</v>
      </c>
      <c r="T24" s="449">
        <v>8028.5617370205719</v>
      </c>
      <c r="U24" s="449">
        <v>8999.4032667477277</v>
      </c>
      <c r="V24" s="449">
        <v>10786.447469239694</v>
      </c>
      <c r="W24" s="449">
        <v>11727.725356049988</v>
      </c>
      <c r="X24" s="449">
        <v>12516.904302071129</v>
      </c>
      <c r="Y24" s="449">
        <v>15305.200109452777</v>
      </c>
      <c r="Z24" s="449">
        <v>16676.263470546779</v>
      </c>
      <c r="AA24" s="449">
        <v>20835.736270339039</v>
      </c>
      <c r="AB24" s="449">
        <v>24243.196859143889</v>
      </c>
      <c r="AC24" s="449">
        <v>29461.56637136071</v>
      </c>
      <c r="AD24" s="449">
        <v>41417.201266735407</v>
      </c>
      <c r="AE24" s="449">
        <v>53310.546497563788</v>
      </c>
      <c r="AF24" s="449">
        <v>72129.129473580746</v>
      </c>
      <c r="AG24" s="449">
        <v>90819.72997779549</v>
      </c>
      <c r="AH24" s="449">
        <v>113436.43005174608</v>
      </c>
      <c r="AI24" s="449">
        <v>152130.47906965128</v>
      </c>
      <c r="AJ24" s="449">
        <v>184474.91684021967</v>
      </c>
      <c r="AK24" s="449">
        <v>224184.96077682378</v>
      </c>
      <c r="AL24" s="449">
        <v>281119.8167273883</v>
      </c>
      <c r="AM24" s="449">
        <v>341798.49287294282</v>
      </c>
      <c r="AN24" s="449">
        <v>428755.94727132533</v>
      </c>
      <c r="AO24" s="449">
        <v>530242</v>
      </c>
      <c r="AP24" s="449">
        <v>628995</v>
      </c>
      <c r="AQ24" s="449">
        <v>782149</v>
      </c>
      <c r="AR24" s="449">
        <v>978849.5</v>
      </c>
      <c r="AS24" s="449">
        <v>1195392</v>
      </c>
      <c r="AT24" s="449">
        <v>1494951</v>
      </c>
      <c r="AU24" s="449">
        <v>1792755</v>
      </c>
      <c r="AV24" s="449">
        <v>1944164</v>
      </c>
      <c r="AW24" s="449">
        <v>2028373</v>
      </c>
      <c r="AX24" s="450">
        <v>2201409</v>
      </c>
    </row>
    <row r="25" spans="1:50" ht="13">
      <c r="A25" s="446" t="s">
        <v>762</v>
      </c>
      <c r="B25" s="449">
        <v>1677.5762723004659</v>
      </c>
      <c r="C25" s="449">
        <v>1677.4224987060106</v>
      </c>
      <c r="D25" s="449">
        <v>1706.5656914330261</v>
      </c>
      <c r="E25" s="449">
        <v>1608.9323641924507</v>
      </c>
      <c r="F25" s="449">
        <v>1644.8857314244678</v>
      </c>
      <c r="G25" s="449">
        <v>1423.0582548556263</v>
      </c>
      <c r="H25" s="449">
        <v>1916.40577784275</v>
      </c>
      <c r="I25" s="449">
        <v>2450.7676371033358</v>
      </c>
      <c r="J25" s="449">
        <v>2372.5603626058437</v>
      </c>
      <c r="K25" s="449">
        <v>2297.0826657214393</v>
      </c>
      <c r="L25" s="449">
        <v>2599.9130757439466</v>
      </c>
      <c r="M25" s="449">
        <v>2655.0079639684905</v>
      </c>
      <c r="N25" s="449">
        <v>2522.9275344704729</v>
      </c>
      <c r="O25" s="449">
        <v>2879.3563908110063</v>
      </c>
      <c r="P25" s="449">
        <v>3881.7657839915446</v>
      </c>
      <c r="Q25" s="449">
        <v>4117.3990057672945</v>
      </c>
      <c r="R25" s="449">
        <v>4162.0484525952215</v>
      </c>
      <c r="S25" s="449">
        <v>4647.558633466344</v>
      </c>
      <c r="T25" s="449">
        <v>5387.6322647794505</v>
      </c>
      <c r="U25" s="449">
        <v>5849.2099910305242</v>
      </c>
      <c r="V25" s="449">
        <v>7131.880898029729</v>
      </c>
      <c r="W25" s="449">
        <v>8090.8258646632676</v>
      </c>
      <c r="X25" s="449">
        <v>9040.5102421568736</v>
      </c>
      <c r="Y25" s="449">
        <v>10381.372320922568</v>
      </c>
      <c r="Z25" s="449">
        <v>11493.916843819723</v>
      </c>
      <c r="AA25" s="449">
        <v>11539.826063144454</v>
      </c>
      <c r="AB25" s="449">
        <v>13127.068889604609</v>
      </c>
      <c r="AC25" s="449">
        <v>19973.023463683585</v>
      </c>
      <c r="AD25" s="449">
        <v>18871.31225882766</v>
      </c>
      <c r="AE25" s="449">
        <v>17853.669890364836</v>
      </c>
      <c r="AF25" s="449">
        <v>21278.991836477479</v>
      </c>
      <c r="AG25" s="449">
        <v>26622.035959664368</v>
      </c>
      <c r="AH25" s="449">
        <v>35192.586911407125</v>
      </c>
      <c r="AI25" s="449">
        <v>46573.366017107386</v>
      </c>
      <c r="AJ25" s="449">
        <v>62352.417514727567</v>
      </c>
      <c r="AK25" s="449">
        <v>76769.142492513027</v>
      </c>
      <c r="AL25" s="449">
        <v>99365.333875050244</v>
      </c>
      <c r="AM25" s="449">
        <v>121449.90215135546</v>
      </c>
      <c r="AN25" s="449">
        <v>157247.2724845226</v>
      </c>
      <c r="AO25" s="449">
        <v>183640.44685118576</v>
      </c>
      <c r="AP25" s="449">
        <v>198078.74026669178</v>
      </c>
      <c r="AQ25" s="449">
        <v>237592.53117333783</v>
      </c>
      <c r="AR25" s="449">
        <v>273274.25794066535</v>
      </c>
      <c r="AS25" s="449">
        <v>329304.19357594848</v>
      </c>
      <c r="AT25" s="449">
        <v>454090.89678039867</v>
      </c>
      <c r="AU25" s="449">
        <v>417177.57383684814</v>
      </c>
      <c r="AV25" s="449">
        <v>459047.06199454563</v>
      </c>
      <c r="AW25" s="449">
        <v>538877.37325157295</v>
      </c>
      <c r="AX25" s="450">
        <v>588606.42088887491</v>
      </c>
    </row>
    <row r="26" spans="1:50" ht="13">
      <c r="A26" s="446" t="s">
        <v>763</v>
      </c>
      <c r="B26" s="449">
        <v>320.10728819148608</v>
      </c>
      <c r="C26" s="449">
        <v>293.49130575939375</v>
      </c>
      <c r="D26" s="449">
        <v>293.15689687638456</v>
      </c>
      <c r="E26" s="449">
        <v>302.40251813830895</v>
      </c>
      <c r="F26" s="449">
        <v>319.75799999999998</v>
      </c>
      <c r="G26" s="449">
        <v>343.20399999999995</v>
      </c>
      <c r="H26" s="449">
        <v>334.94899999999996</v>
      </c>
      <c r="I26" s="449">
        <v>348.77199999999999</v>
      </c>
      <c r="J26" s="449">
        <v>351.238</v>
      </c>
      <c r="K26" s="449">
        <v>336.03300000000002</v>
      </c>
      <c r="L26" s="449">
        <v>316.53200000000004</v>
      </c>
      <c r="M26" s="449">
        <v>327.97199999999987</v>
      </c>
      <c r="N26" s="449">
        <v>341.8</v>
      </c>
      <c r="O26" s="449">
        <v>366.9</v>
      </c>
      <c r="P26" s="449">
        <v>426.7</v>
      </c>
      <c r="Q26" s="449">
        <v>427.31</v>
      </c>
      <c r="R26" s="449">
        <v>561.8130000000001</v>
      </c>
      <c r="S26" s="449">
        <v>690.125</v>
      </c>
      <c r="T26" s="449">
        <v>760.73199999999997</v>
      </c>
      <c r="U26" s="449">
        <v>834.50700000000006</v>
      </c>
      <c r="V26" s="449">
        <v>938.24900000000025</v>
      </c>
      <c r="W26" s="449">
        <v>950.08400000000006</v>
      </c>
      <c r="X26" s="449">
        <v>942.51700000000005</v>
      </c>
      <c r="Y26" s="449">
        <v>1040.617</v>
      </c>
      <c r="Z26" s="449">
        <v>1135.655</v>
      </c>
      <c r="AA26" s="449">
        <v>1581.4430000000002</v>
      </c>
      <c r="AB26" s="449">
        <v>1350.7090000000001</v>
      </c>
      <c r="AC26" s="449">
        <v>1662.2740000000003</v>
      </c>
      <c r="AD26" s="449">
        <v>2977.89</v>
      </c>
      <c r="AE26" s="449">
        <v>5193.7385247937136</v>
      </c>
      <c r="AF26" s="449">
        <v>10620.204719072644</v>
      </c>
      <c r="AG26" s="449">
        <v>21011.093544470648</v>
      </c>
      <c r="AH26" s="449">
        <v>28267.74441803755</v>
      </c>
      <c r="AI26" s="449">
        <v>38848.189317704433</v>
      </c>
      <c r="AJ26" s="449">
        <v>81119.678441902914</v>
      </c>
      <c r="AK26" s="449">
        <v>109902.90079238918</v>
      </c>
      <c r="AL26" s="449">
        <v>161582.54618570881</v>
      </c>
      <c r="AM26" s="449">
        <v>222761.32427173038</v>
      </c>
      <c r="AN26" s="449">
        <v>312280.15737814002</v>
      </c>
      <c r="AO26" s="449">
        <v>396475.9</v>
      </c>
      <c r="AP26" s="449">
        <v>456969.9</v>
      </c>
      <c r="AQ26" s="449">
        <v>465558.3</v>
      </c>
      <c r="AR26" s="449">
        <v>520255.3</v>
      </c>
      <c r="AS26" s="449">
        <v>794680.1</v>
      </c>
      <c r="AT26" s="449">
        <v>887272.7</v>
      </c>
      <c r="AU26" s="449">
        <v>916180.1</v>
      </c>
      <c r="AV26" s="449">
        <v>834963.7</v>
      </c>
      <c r="AW26" s="449">
        <v>908575.1</v>
      </c>
      <c r="AX26" s="450">
        <v>997424.3</v>
      </c>
    </row>
    <row r="27" spans="1:50" ht="13">
      <c r="A27" s="446" t="s">
        <v>764</v>
      </c>
      <c r="B27" s="449">
        <v>253.54093251626722</v>
      </c>
      <c r="C27" s="449">
        <v>324.64906692974409</v>
      </c>
      <c r="D27" s="449">
        <v>770.85258951697358</v>
      </c>
      <c r="E27" s="449">
        <v>386.13006683798261</v>
      </c>
      <c r="F27" s="449">
        <v>670.03158800337826</v>
      </c>
      <c r="G27" s="449">
        <v>820.73354340512458</v>
      </c>
      <c r="H27" s="449">
        <v>578.60102242971777</v>
      </c>
      <c r="I27" s="449">
        <v>518.22613047152061</v>
      </c>
      <c r="J27" s="449">
        <v>382.36120052058294</v>
      </c>
      <c r="K27" s="449">
        <v>614.67327111100087</v>
      </c>
      <c r="L27" s="449">
        <v>833.6156144514747</v>
      </c>
      <c r="M27" s="449">
        <v>847.66926259149341</v>
      </c>
      <c r="N27" s="449">
        <v>651.06039999999996</v>
      </c>
      <c r="O27" s="449">
        <v>550.06079999999997</v>
      </c>
      <c r="P27" s="449">
        <v>834.06420000000003</v>
      </c>
      <c r="Q27" s="449">
        <v>851.06719999999996</v>
      </c>
      <c r="R27" s="449">
        <v>724.07240000000002</v>
      </c>
      <c r="S27" s="449">
        <v>681.07979999999998</v>
      </c>
      <c r="T27" s="449">
        <v>1283.1004</v>
      </c>
      <c r="U27" s="449">
        <v>1319.0920000000001</v>
      </c>
      <c r="V27" s="449">
        <v>1468.1017999999999</v>
      </c>
      <c r="W27" s="449">
        <v>2050.1203999999998</v>
      </c>
      <c r="X27" s="449">
        <v>1799.3</v>
      </c>
      <c r="Y27" s="449">
        <v>2724.12</v>
      </c>
      <c r="Z27" s="449">
        <v>2743.3</v>
      </c>
      <c r="AA27" s="449">
        <v>2614.6999999999998</v>
      </c>
      <c r="AB27" s="449">
        <v>2853.3</v>
      </c>
      <c r="AC27" s="449">
        <v>7564</v>
      </c>
      <c r="AD27" s="449">
        <v>7567.9189999999999</v>
      </c>
      <c r="AE27" s="449">
        <v>17209.5</v>
      </c>
      <c r="AF27" s="449">
        <v>24003.684268960933</v>
      </c>
      <c r="AG27" s="449">
        <v>37046.992918153883</v>
      </c>
      <c r="AH27" s="449">
        <v>46698.272051545959</v>
      </c>
      <c r="AI27" s="449">
        <v>89512.274783650457</v>
      </c>
      <c r="AJ27" s="449">
        <v>137567.42763759321</v>
      </c>
      <c r="AK27" s="449">
        <v>113145.65370597977</v>
      </c>
      <c r="AL27" s="449">
        <v>159439.70751469256</v>
      </c>
      <c r="AM27" s="449">
        <v>288184.42530856869</v>
      </c>
      <c r="AN27" s="449">
        <v>285480.99699999997</v>
      </c>
      <c r="AO27" s="449">
        <v>163695</v>
      </c>
      <c r="AP27" s="449">
        <v>140195.20000000001</v>
      </c>
      <c r="AQ27" s="449">
        <v>150172.23499999999</v>
      </c>
      <c r="AR27" s="449">
        <v>126865</v>
      </c>
      <c r="AS27" s="449">
        <v>148128</v>
      </c>
      <c r="AT27" s="449">
        <v>152918</v>
      </c>
      <c r="AU27" s="449">
        <v>151864</v>
      </c>
      <c r="AV27" s="449">
        <v>180663</v>
      </c>
      <c r="AW27" s="449">
        <v>178978</v>
      </c>
      <c r="AX27" s="450">
        <v>181339</v>
      </c>
    </row>
    <row r="28" spans="1:50" ht="13">
      <c r="A28" s="451" t="s">
        <v>755</v>
      </c>
      <c r="B28" s="449">
        <v>954.52286137918384</v>
      </c>
      <c r="C28" s="449">
        <v>1096.489347648255</v>
      </c>
      <c r="D28" s="449">
        <v>1246.2667424901294</v>
      </c>
      <c r="E28" s="449">
        <v>1170.9239258925356</v>
      </c>
      <c r="F28" s="449">
        <v>1208.0697662859798</v>
      </c>
      <c r="G28" s="449">
        <v>1264.2075672955234</v>
      </c>
      <c r="H28" s="449">
        <v>1289.2770035901547</v>
      </c>
      <c r="I28" s="449">
        <v>1352.8372977786034</v>
      </c>
      <c r="J28" s="449">
        <v>1558.559165294809</v>
      </c>
      <c r="K28" s="449">
        <v>1651.8245462693399</v>
      </c>
      <c r="L28" s="449">
        <v>1825.8649278116068</v>
      </c>
      <c r="M28" s="449">
        <v>1996.9823472372275</v>
      </c>
      <c r="N28" s="449">
        <v>2234.36138702068</v>
      </c>
      <c r="O28" s="449">
        <v>2529.7680906160417</v>
      </c>
      <c r="P28" s="449">
        <v>2836.3140872008148</v>
      </c>
      <c r="Q28" s="449">
        <v>2977.8128845061892</v>
      </c>
      <c r="R28" s="449">
        <v>3365.3643529729579</v>
      </c>
      <c r="S28" s="449">
        <v>3785.3594219603565</v>
      </c>
      <c r="T28" s="449">
        <v>4272.7854704151396</v>
      </c>
      <c r="U28" s="449">
        <v>4741.2629151129531</v>
      </c>
      <c r="V28" s="449">
        <v>5318.8920799994567</v>
      </c>
      <c r="W28" s="449">
        <v>5958.159204038865</v>
      </c>
      <c r="X28" s="449">
        <v>6879.1649621972283</v>
      </c>
      <c r="Y28" s="449">
        <v>7769.9269994088563</v>
      </c>
      <c r="Z28" s="449">
        <v>8982.9780304971846</v>
      </c>
      <c r="AA28" s="449">
        <v>13518.87066670123</v>
      </c>
      <c r="AB28" s="449">
        <v>17984.801306167454</v>
      </c>
      <c r="AC28" s="449">
        <v>23690.473754966224</v>
      </c>
      <c r="AD28" s="449">
        <v>40472.736232211471</v>
      </c>
      <c r="AE28" s="449">
        <v>63903.766988331452</v>
      </c>
      <c r="AF28" s="449">
        <v>72594.368341801455</v>
      </c>
      <c r="AG28" s="449">
        <v>84930.867718633031</v>
      </c>
      <c r="AH28" s="449">
        <v>101581.83969008556</v>
      </c>
      <c r="AI28" s="449">
        <v>140899.73859920152</v>
      </c>
      <c r="AJ28" s="449">
        <v>187114.39894154551</v>
      </c>
      <c r="AK28" s="449">
        <v>231133.93854713283</v>
      </c>
      <c r="AL28" s="449">
        <v>285190.92940006714</v>
      </c>
      <c r="AM28" s="449">
        <v>353839.86692795827</v>
      </c>
      <c r="AN28" s="449">
        <v>439904.18294898857</v>
      </c>
      <c r="AO28" s="449">
        <v>586477</v>
      </c>
      <c r="AP28" s="449">
        <v>731573.8</v>
      </c>
      <c r="AQ28" s="449">
        <v>808791.76500000001</v>
      </c>
      <c r="AR28" s="449">
        <v>952124</v>
      </c>
      <c r="AS28" s="449">
        <v>1162701</v>
      </c>
      <c r="AT28" s="449">
        <v>1488976</v>
      </c>
      <c r="AU28" s="449">
        <v>1795678</v>
      </c>
      <c r="AV28" s="449">
        <v>2131580</v>
      </c>
      <c r="AW28" s="449">
        <v>2282507</v>
      </c>
      <c r="AX28" s="450">
        <v>2525744</v>
      </c>
    </row>
    <row r="29" spans="1:50" ht="13">
      <c r="A29" s="446"/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L29" s="447"/>
      <c r="M29" s="447"/>
      <c r="N29" s="447"/>
      <c r="O29" s="447"/>
      <c r="P29" s="447"/>
      <c r="Q29" s="447"/>
      <c r="R29" s="447"/>
      <c r="S29" s="447"/>
      <c r="T29" s="447"/>
      <c r="U29" s="447"/>
      <c r="V29" s="447"/>
      <c r="W29" s="447"/>
      <c r="X29" s="447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8"/>
    </row>
    <row r="30" spans="1:50" ht="13">
      <c r="A30" s="446" t="s">
        <v>765</v>
      </c>
      <c r="B30" s="449">
        <v>1000.8415</v>
      </c>
      <c r="C30" s="449">
        <v>1212.5245</v>
      </c>
      <c r="D30" s="449">
        <v>1199.6698333333331</v>
      </c>
      <c r="E30" s="449">
        <v>1273.1721666666667</v>
      </c>
      <c r="F30" s="449">
        <v>1176.2068825427659</v>
      </c>
      <c r="G30" s="449">
        <v>1236.4414489172877</v>
      </c>
      <c r="H30" s="449">
        <v>1203.3231613452656</v>
      </c>
      <c r="I30" s="449">
        <v>1282.7724227512849</v>
      </c>
      <c r="J30" s="449">
        <v>1348.2921032192169</v>
      </c>
      <c r="K30" s="449">
        <v>1487.1186436513099</v>
      </c>
      <c r="L30" s="449">
        <v>1661.9736708413784</v>
      </c>
      <c r="M30" s="449">
        <v>1912.4475949274722</v>
      </c>
      <c r="N30" s="449">
        <v>1842.1369129628049</v>
      </c>
      <c r="O30" s="449">
        <v>2077.9800926557282</v>
      </c>
      <c r="P30" s="449">
        <v>2270.4021174843856</v>
      </c>
      <c r="Q30" s="449">
        <v>2670.5161677537571</v>
      </c>
      <c r="R30" s="449">
        <v>3474.9062441531496</v>
      </c>
      <c r="S30" s="449">
        <v>3521.5107887926324</v>
      </c>
      <c r="T30" s="449">
        <v>3483.294983870011</v>
      </c>
      <c r="U30" s="449">
        <v>3934.6015419885439</v>
      </c>
      <c r="V30" s="449">
        <v>4020.0987980397003</v>
      </c>
      <c r="W30" s="449">
        <v>4355.7308851420257</v>
      </c>
      <c r="X30" s="449">
        <v>5484.774182936605</v>
      </c>
      <c r="Y30" s="449">
        <v>5429.4800671709963</v>
      </c>
      <c r="Z30" s="449">
        <v>6520.54735963234</v>
      </c>
      <c r="AA30" s="449">
        <v>8160.5476914937281</v>
      </c>
      <c r="AB30" s="449">
        <v>8800.4658123024928</v>
      </c>
      <c r="AC30" s="449">
        <v>11423.428276406092</v>
      </c>
      <c r="AD30" s="449">
        <v>16821.360538323763</v>
      </c>
      <c r="AE30" s="449">
        <v>22778.400839077516</v>
      </c>
      <c r="AF30" s="449">
        <v>29537.327533147894</v>
      </c>
      <c r="AG30" s="449">
        <v>41313.189786804593</v>
      </c>
      <c r="AH30" s="449">
        <v>54358.127708156346</v>
      </c>
      <c r="AI30" s="449">
        <v>75812.925999999992</v>
      </c>
      <c r="AJ30" s="449">
        <v>101907.886</v>
      </c>
      <c r="AK30" s="449">
        <v>129196.60799999999</v>
      </c>
      <c r="AL30" s="449">
        <v>141424.81437218568</v>
      </c>
      <c r="AM30" s="449">
        <v>147556.34001385802</v>
      </c>
      <c r="AN30" s="449">
        <v>188583.11600000001</v>
      </c>
      <c r="AO30" s="449">
        <v>244109.06200000001</v>
      </c>
      <c r="AP30" s="449">
        <v>249732.85399999999</v>
      </c>
      <c r="AQ30" s="449">
        <v>321473.85600000003</v>
      </c>
      <c r="AR30" s="449">
        <v>408766.66499999998</v>
      </c>
      <c r="AS30" s="449">
        <v>509859.13300000003</v>
      </c>
      <c r="AT30" s="449">
        <v>602716.84499999997</v>
      </c>
      <c r="AU30" s="449">
        <v>757796.495</v>
      </c>
      <c r="AV30" s="449">
        <v>800239.15</v>
      </c>
      <c r="AW30" s="449">
        <v>730591.3599564</v>
      </c>
      <c r="AX30" s="450">
        <v>836470.56943999999</v>
      </c>
    </row>
    <row r="31" spans="1:50" ht="13">
      <c r="A31" s="446"/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49"/>
      <c r="AI31" s="449"/>
      <c r="AJ31" s="449"/>
      <c r="AK31" s="449"/>
      <c r="AL31" s="449"/>
      <c r="AM31" s="449"/>
      <c r="AN31" s="449"/>
      <c r="AO31" s="449"/>
      <c r="AP31" s="449"/>
      <c r="AQ31" s="449"/>
      <c r="AR31" s="449"/>
      <c r="AS31" s="449"/>
      <c r="AT31" s="449"/>
      <c r="AU31" s="449"/>
      <c r="AV31" s="449"/>
      <c r="AW31" s="449"/>
      <c r="AX31" s="450"/>
    </row>
    <row r="32" spans="1:50" ht="13">
      <c r="A32" s="446" t="s">
        <v>766</v>
      </c>
      <c r="B32" s="449">
        <v>991.67750000000001</v>
      </c>
      <c r="C32" s="449">
        <v>1194.1695</v>
      </c>
      <c r="D32" s="449">
        <v>1160.8988333333332</v>
      </c>
      <c r="E32" s="449">
        <v>909.44416666666666</v>
      </c>
      <c r="F32" s="449">
        <v>982.80788254276604</v>
      </c>
      <c r="G32" s="449">
        <v>1119.3744489172877</v>
      </c>
      <c r="H32" s="449">
        <v>1143.0881613452655</v>
      </c>
      <c r="I32" s="449">
        <v>1217.011422751285</v>
      </c>
      <c r="J32" s="449">
        <v>1285.2161032192168</v>
      </c>
      <c r="K32" s="449">
        <v>1430.9276436513098</v>
      </c>
      <c r="L32" s="449">
        <v>1606.2366708413786</v>
      </c>
      <c r="M32" s="449">
        <v>1862.4905949274723</v>
      </c>
      <c r="N32" s="449">
        <v>1793.9369129628049</v>
      </c>
      <c r="O32" s="449">
        <v>2054.4800926557282</v>
      </c>
      <c r="P32" s="449">
        <v>2101.8021174843857</v>
      </c>
      <c r="Q32" s="449">
        <v>2582.2531677537572</v>
      </c>
      <c r="R32" s="449">
        <v>3383.2132441531494</v>
      </c>
      <c r="S32" s="449">
        <v>3343.4337887926326</v>
      </c>
      <c r="T32" s="449">
        <v>3221.345983870011</v>
      </c>
      <c r="U32" s="449">
        <v>3655.019541988544</v>
      </c>
      <c r="V32" s="449">
        <v>3756.5987980397003</v>
      </c>
      <c r="W32" s="449">
        <v>4120.544885142026</v>
      </c>
      <c r="X32" s="449">
        <v>4966.4591829366054</v>
      </c>
      <c r="Y32" s="449">
        <v>4840.697067170996</v>
      </c>
      <c r="Z32" s="449">
        <v>5403.8923596323402</v>
      </c>
      <c r="AA32" s="449">
        <v>6111.9866914937284</v>
      </c>
      <c r="AB32" s="449">
        <v>6921.9948123024933</v>
      </c>
      <c r="AC32" s="449">
        <v>8095.8292764060916</v>
      </c>
      <c r="AD32" s="449">
        <v>10880.492538323762</v>
      </c>
      <c r="AE32" s="449">
        <v>15583.819839077514</v>
      </c>
      <c r="AF32" s="449">
        <v>21179.966</v>
      </c>
      <c r="AG32" s="449">
        <v>29261.585926338055</v>
      </c>
      <c r="AH32" s="449">
        <v>43651.434159692901</v>
      </c>
      <c r="AI32" s="449">
        <v>62132.924499999994</v>
      </c>
      <c r="AJ32" s="449">
        <v>94471.633000000002</v>
      </c>
      <c r="AK32" s="449">
        <v>96328.155999999988</v>
      </c>
      <c r="AL32" s="449">
        <v>106694.07237218565</v>
      </c>
      <c r="AM32" s="449">
        <v>117571.616013858</v>
      </c>
      <c r="AN32" s="449">
        <v>134900.361</v>
      </c>
      <c r="AO32" s="449">
        <v>157751</v>
      </c>
      <c r="AP32" s="449">
        <v>196438</v>
      </c>
      <c r="AQ32" s="449">
        <v>250922</v>
      </c>
      <c r="AR32" s="449">
        <v>279628</v>
      </c>
      <c r="AS32" s="449">
        <v>326737</v>
      </c>
      <c r="AT32" s="449">
        <v>386692</v>
      </c>
      <c r="AU32" s="449">
        <v>488314</v>
      </c>
      <c r="AV32" s="449">
        <v>547635</v>
      </c>
      <c r="AW32" s="449">
        <v>538688</v>
      </c>
      <c r="AX32" s="450">
        <v>602539</v>
      </c>
    </row>
    <row r="33" spans="1:50" ht="13">
      <c r="A33" s="446" t="s">
        <v>757</v>
      </c>
      <c r="B33" s="449">
        <v>9.163999999999989</v>
      </c>
      <c r="C33" s="449">
        <v>18.355000000000075</v>
      </c>
      <c r="D33" s="449">
        <v>38.771000000000036</v>
      </c>
      <c r="E33" s="449">
        <v>363.72800000000001</v>
      </c>
      <c r="F33" s="449">
        <v>193.39899999999997</v>
      </c>
      <c r="G33" s="449">
        <v>117.06700000000002</v>
      </c>
      <c r="H33" s="449">
        <v>60.234999999999999</v>
      </c>
      <c r="I33" s="449">
        <v>65.761000000000053</v>
      </c>
      <c r="J33" s="449">
        <v>63.076000000000064</v>
      </c>
      <c r="K33" s="449">
        <v>56.191000000000074</v>
      </c>
      <c r="L33" s="449">
        <v>55.736999999999945</v>
      </c>
      <c r="M33" s="449">
        <v>49.956999999999958</v>
      </c>
      <c r="N33" s="449">
        <v>48.2</v>
      </c>
      <c r="O33" s="449">
        <v>23.5</v>
      </c>
      <c r="P33" s="449">
        <v>168.6</v>
      </c>
      <c r="Q33" s="449">
        <v>88.262999999999963</v>
      </c>
      <c r="R33" s="449">
        <v>91.693000000000069</v>
      </c>
      <c r="S33" s="449">
        <v>178.07699999999991</v>
      </c>
      <c r="T33" s="449">
        <v>261.9489999999999</v>
      </c>
      <c r="U33" s="449">
        <v>279.58199999999999</v>
      </c>
      <c r="V33" s="449">
        <v>263.5</v>
      </c>
      <c r="W33" s="449">
        <v>235.18599999999998</v>
      </c>
      <c r="X33" s="449">
        <v>518.31499999999949</v>
      </c>
      <c r="Y33" s="449">
        <v>588.78300000000047</v>
      </c>
      <c r="Z33" s="449">
        <v>1116.655</v>
      </c>
      <c r="AA33" s="449">
        <v>2048.5610000000001</v>
      </c>
      <c r="AB33" s="449">
        <v>1878.4709999999998</v>
      </c>
      <c r="AC33" s="449">
        <v>3327.5989999999997</v>
      </c>
      <c r="AD33" s="449">
        <v>5940.8680000000004</v>
      </c>
      <c r="AE33" s="449">
        <v>7194.581000000001</v>
      </c>
      <c r="AF33" s="449">
        <v>8357.3615331478941</v>
      </c>
      <c r="AG33" s="449">
        <v>12051.603860466535</v>
      </c>
      <c r="AH33" s="449">
        <v>10706.693548463445</v>
      </c>
      <c r="AI33" s="449">
        <v>13680.001499999995</v>
      </c>
      <c r="AJ33" s="449">
        <v>7436.2530000000042</v>
      </c>
      <c r="AK33" s="449">
        <v>32868.452000000005</v>
      </c>
      <c r="AL33" s="449">
        <v>34730.742000000013</v>
      </c>
      <c r="AM33" s="449">
        <v>29984.724000000009</v>
      </c>
      <c r="AN33" s="449">
        <v>53682.755000000005</v>
      </c>
      <c r="AO33" s="449">
        <v>86358.062000000005</v>
      </c>
      <c r="AP33" s="449">
        <v>53294.853999999999</v>
      </c>
      <c r="AQ33" s="449">
        <v>70551.856</v>
      </c>
      <c r="AR33" s="449">
        <v>129138.66499999999</v>
      </c>
      <c r="AS33" s="449">
        <v>183122.133</v>
      </c>
      <c r="AT33" s="449">
        <v>216024.845</v>
      </c>
      <c r="AU33" s="449">
        <v>269482.495</v>
      </c>
      <c r="AV33" s="449">
        <v>252604.15</v>
      </c>
      <c r="AW33" s="449">
        <v>191903.3599564</v>
      </c>
      <c r="AX33" s="450">
        <v>233931.56943999999</v>
      </c>
    </row>
    <row r="34" spans="1:50" ht="13">
      <c r="A34" s="446"/>
      <c r="B34" s="447"/>
      <c r="C34" s="447"/>
      <c r="D34" s="447"/>
      <c r="E34" s="447"/>
      <c r="F34" s="447"/>
      <c r="G34" s="447"/>
      <c r="H34" s="447"/>
      <c r="I34" s="447"/>
      <c r="J34" s="449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8"/>
    </row>
    <row r="35" spans="1:50" ht="13">
      <c r="A35" s="446" t="s">
        <v>767</v>
      </c>
      <c r="B35" s="449">
        <v>6352.4587470179722</v>
      </c>
      <c r="C35" s="449">
        <v>6924.9787084461605</v>
      </c>
      <c r="D35" s="449">
        <v>7921.2710828178906</v>
      </c>
      <c r="E35" s="449">
        <v>7487.0962135537411</v>
      </c>
      <c r="F35" s="449">
        <v>7827.5221461747669</v>
      </c>
      <c r="G35" s="449">
        <v>8094.0276673905701</v>
      </c>
      <c r="H35" s="449">
        <v>8431.3190649173102</v>
      </c>
      <c r="I35" s="449">
        <v>9195.5387105551999</v>
      </c>
      <c r="J35" s="449">
        <v>9511.4571978982221</v>
      </c>
      <c r="K35" s="449">
        <v>9989.0914722033522</v>
      </c>
      <c r="L35" s="449">
        <v>10971.019658033001</v>
      </c>
      <c r="M35" s="449">
        <v>11654.943199553447</v>
      </c>
      <c r="N35" s="449">
        <v>12483.570355896734</v>
      </c>
      <c r="O35" s="449">
        <v>13514.810527843212</v>
      </c>
      <c r="P35" s="449">
        <v>16459.90418293748</v>
      </c>
      <c r="Q35" s="449">
        <v>17944.236792957039</v>
      </c>
      <c r="R35" s="449">
        <v>19556.023880913883</v>
      </c>
      <c r="S35" s="449">
        <v>21030.642678788325</v>
      </c>
      <c r="T35" s="449">
        <v>23216.106856085175</v>
      </c>
      <c r="U35" s="449">
        <v>25678.076714879746</v>
      </c>
      <c r="V35" s="449">
        <v>29663.67004530858</v>
      </c>
      <c r="W35" s="449">
        <v>33132.645709894146</v>
      </c>
      <c r="X35" s="449">
        <v>36663.170689361832</v>
      </c>
      <c r="Y35" s="449">
        <v>42650.716496955196</v>
      </c>
      <c r="Z35" s="449">
        <v>47552.660704496026</v>
      </c>
      <c r="AA35" s="449">
        <v>58251.123691678455</v>
      </c>
      <c r="AB35" s="449">
        <v>68359.541867218446</v>
      </c>
      <c r="AC35" s="449">
        <v>93774.765866416608</v>
      </c>
      <c r="AD35" s="449">
        <v>128128.41929609829</v>
      </c>
      <c r="AE35" s="449">
        <v>180249.62274013131</v>
      </c>
      <c r="AF35" s="449">
        <v>230163.70617304114</v>
      </c>
      <c r="AG35" s="449">
        <v>301743.90990552201</v>
      </c>
      <c r="AH35" s="449">
        <v>379535.00083097862</v>
      </c>
      <c r="AI35" s="449">
        <v>543776.97378731507</v>
      </c>
      <c r="AJ35" s="449">
        <v>754536.72537598899</v>
      </c>
      <c r="AK35" s="449">
        <v>884333.20431483863</v>
      </c>
      <c r="AL35" s="449">
        <v>1128123.1480750926</v>
      </c>
      <c r="AM35" s="449">
        <v>1475590.3515464135</v>
      </c>
      <c r="AN35" s="449">
        <v>1812251.6730829764</v>
      </c>
      <c r="AO35" s="449">
        <v>2104639.4088511858</v>
      </c>
      <c r="AP35" s="449">
        <v>2405545.4942666916</v>
      </c>
      <c r="AQ35" s="449">
        <v>2765737.6871733381</v>
      </c>
      <c r="AR35" s="449">
        <v>3260134.7229406657</v>
      </c>
      <c r="AS35" s="449">
        <v>4140064.4265759485</v>
      </c>
      <c r="AT35" s="449">
        <v>5080925.4417803986</v>
      </c>
      <c r="AU35" s="449">
        <v>5831451.1688368479</v>
      </c>
      <c r="AV35" s="449">
        <v>6350656.9119945457</v>
      </c>
      <c r="AW35" s="449">
        <v>6667901.8332079742</v>
      </c>
      <c r="AX35" s="450">
        <v>7330993.2903288743</v>
      </c>
    </row>
    <row r="36" spans="1:50" ht="13">
      <c r="A36" s="446"/>
      <c r="B36" s="447"/>
      <c r="C36" s="447"/>
      <c r="D36" s="447"/>
      <c r="E36" s="447"/>
      <c r="F36" s="447"/>
      <c r="G36" s="447"/>
      <c r="H36" s="447"/>
      <c r="I36" s="447"/>
      <c r="J36" s="449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8"/>
    </row>
    <row r="37" spans="1:50" ht="13.5" thickBot="1">
      <c r="A37" s="452" t="s">
        <v>768</v>
      </c>
      <c r="B37" s="453">
        <v>61.125872548023835</v>
      </c>
      <c r="C37" s="453">
        <v>83.778614685669709</v>
      </c>
      <c r="D37" s="453">
        <v>-98.054150823332748</v>
      </c>
      <c r="E37" s="453">
        <v>1308.0533427473329</v>
      </c>
      <c r="F37" s="453">
        <v>798.6869343131757</v>
      </c>
      <c r="G37" s="453">
        <v>1101.0099279997521</v>
      </c>
      <c r="H37" s="453">
        <v>928.49068950175933</v>
      </c>
      <c r="I37" s="453">
        <v>496.72388357710588</v>
      </c>
      <c r="J37" s="453">
        <v>912.90458960679098</v>
      </c>
      <c r="K37" s="453">
        <v>1326.8967251510912</v>
      </c>
      <c r="L37" s="453">
        <v>1242.2242374489815</v>
      </c>
      <c r="M37" s="453">
        <v>1300.0588199477224</v>
      </c>
      <c r="N37" s="453">
        <v>1224.2696007946124</v>
      </c>
      <c r="O37" s="453">
        <v>1163.0303255718391</v>
      </c>
      <c r="P37" s="453">
        <v>46.916114494713838</v>
      </c>
      <c r="Q37" s="453">
        <v>302.03286594087331</v>
      </c>
      <c r="R37" s="453">
        <v>-85.372956084149337</v>
      </c>
      <c r="S37" s="453">
        <v>338.46304519611294</v>
      </c>
      <c r="T37" s="453">
        <v>1561.7457839472409</v>
      </c>
      <c r="U37" s="453">
        <v>1955.1423271710664</v>
      </c>
      <c r="V37" s="453">
        <v>1992.8314096641734</v>
      </c>
      <c r="W37" s="453">
        <v>2410.7242535989062</v>
      </c>
      <c r="X37" s="453">
        <v>3514.6443383117294</v>
      </c>
      <c r="Y37" s="453">
        <v>6035.5031863039185</v>
      </c>
      <c r="Z37" s="453">
        <v>5072.6539826551525</v>
      </c>
      <c r="AA37" s="453">
        <v>2801.2978236058625</v>
      </c>
      <c r="AB37" s="453">
        <v>5768.5264414313424</v>
      </c>
      <c r="AC37" s="453">
        <v>-4074.6984698087181</v>
      </c>
      <c r="AD37" s="453">
        <v>-17905.928652283663</v>
      </c>
      <c r="AE37" s="453">
        <v>-29892.65112431845</v>
      </c>
      <c r="AF37" s="453">
        <v>-29632.340409967175</v>
      </c>
      <c r="AG37" s="453">
        <v>-56080.149490136246</v>
      </c>
      <c r="AH37" s="453">
        <v>-65889.221650895255</v>
      </c>
      <c r="AI37" s="453">
        <v>-125276.65960135486</v>
      </c>
      <c r="AJ37" s="453">
        <v>-221067.46557949635</v>
      </c>
      <c r="AK37" s="453">
        <v>-183337.25499836903</v>
      </c>
      <c r="AL37" s="453">
        <v>-183941.22780291527</v>
      </c>
      <c r="AM37" s="453">
        <v>-342353.79628529935</v>
      </c>
      <c r="AN37" s="453">
        <v>-424842.70787814027</v>
      </c>
      <c r="AO37" s="453">
        <v>-297839.90000000002</v>
      </c>
      <c r="AP37" s="453">
        <v>-328748.90000000002</v>
      </c>
      <c r="AQ37" s="453">
        <v>-225288.76600000029</v>
      </c>
      <c r="AR37" s="453">
        <v>-178612.34600000037</v>
      </c>
      <c r="AS37" s="453">
        <v>-506468.23300000001</v>
      </c>
      <c r="AT37" s="453">
        <v>-692681.54499999993</v>
      </c>
      <c r="AU37" s="453">
        <v>-382573.59499999974</v>
      </c>
      <c r="AV37" s="453">
        <v>-827951.85</v>
      </c>
      <c r="AW37" s="453">
        <v>-893519.45995640103</v>
      </c>
      <c r="AX37" s="454">
        <v>-913735.86943999957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96" orientation="landscape" horizont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0E65-062C-4700-8C12-D0A64F5CFB4B}">
  <sheetPr codeName="Sheet11">
    <pageSetUpPr fitToPage="1"/>
  </sheetPr>
  <dimension ref="A1:BA41"/>
  <sheetViews>
    <sheetView showGridLines="0" workbookViewId="0">
      <selection activeCell="A14" sqref="A14"/>
    </sheetView>
  </sheetViews>
  <sheetFormatPr defaultRowHeight="12.5"/>
  <cols>
    <col min="1" max="1" width="57.453125" style="396" customWidth="1"/>
    <col min="2" max="29" width="5.26953125" style="396" customWidth="1"/>
    <col min="30" max="30" width="5.81640625" style="396" customWidth="1"/>
    <col min="31" max="34" width="6.1796875" style="396" customWidth="1"/>
    <col min="35" max="35" width="7.81640625" style="396" customWidth="1"/>
    <col min="36" max="37" width="6.7265625" style="396" customWidth="1"/>
    <col min="38" max="38" width="7.81640625" style="396" customWidth="1"/>
    <col min="39" max="40" width="8.7265625" style="396" customWidth="1"/>
    <col min="41" max="47" width="7" style="396" customWidth="1"/>
    <col min="48" max="50" width="10.7265625" style="396" customWidth="1"/>
    <col min="51" max="256" width="8.7265625" style="396"/>
    <col min="257" max="257" width="57.453125" style="396" customWidth="1"/>
    <col min="258" max="285" width="5.26953125" style="396" customWidth="1"/>
    <col min="286" max="286" width="5.81640625" style="396" customWidth="1"/>
    <col min="287" max="290" width="6.1796875" style="396" customWidth="1"/>
    <col min="291" max="291" width="7.81640625" style="396" customWidth="1"/>
    <col min="292" max="293" width="6.7265625" style="396" customWidth="1"/>
    <col min="294" max="294" width="7.81640625" style="396" customWidth="1"/>
    <col min="295" max="296" width="8.7265625" style="396"/>
    <col min="297" max="303" width="7" style="396" customWidth="1"/>
    <col min="304" max="306" width="10.7265625" style="396" customWidth="1"/>
    <col min="307" max="512" width="8.7265625" style="396"/>
    <col min="513" max="513" width="57.453125" style="396" customWidth="1"/>
    <col min="514" max="541" width="5.26953125" style="396" customWidth="1"/>
    <col min="542" max="542" width="5.81640625" style="396" customWidth="1"/>
    <col min="543" max="546" width="6.1796875" style="396" customWidth="1"/>
    <col min="547" max="547" width="7.81640625" style="396" customWidth="1"/>
    <col min="548" max="549" width="6.7265625" style="396" customWidth="1"/>
    <col min="550" max="550" width="7.81640625" style="396" customWidth="1"/>
    <col min="551" max="552" width="8.7265625" style="396"/>
    <col min="553" max="559" width="7" style="396" customWidth="1"/>
    <col min="560" max="562" width="10.7265625" style="396" customWidth="1"/>
    <col min="563" max="768" width="8.7265625" style="396"/>
    <col min="769" max="769" width="57.453125" style="396" customWidth="1"/>
    <col min="770" max="797" width="5.26953125" style="396" customWidth="1"/>
    <col min="798" max="798" width="5.81640625" style="396" customWidth="1"/>
    <col min="799" max="802" width="6.1796875" style="396" customWidth="1"/>
    <col min="803" max="803" width="7.81640625" style="396" customWidth="1"/>
    <col min="804" max="805" width="6.7265625" style="396" customWidth="1"/>
    <col min="806" max="806" width="7.81640625" style="396" customWidth="1"/>
    <col min="807" max="808" width="8.7265625" style="396"/>
    <col min="809" max="815" width="7" style="396" customWidth="1"/>
    <col min="816" max="818" width="10.7265625" style="396" customWidth="1"/>
    <col min="819" max="1024" width="8.7265625" style="396"/>
    <col min="1025" max="1025" width="57.453125" style="396" customWidth="1"/>
    <col min="1026" max="1053" width="5.26953125" style="396" customWidth="1"/>
    <col min="1054" max="1054" width="5.81640625" style="396" customWidth="1"/>
    <col min="1055" max="1058" width="6.1796875" style="396" customWidth="1"/>
    <col min="1059" max="1059" width="7.81640625" style="396" customWidth="1"/>
    <col min="1060" max="1061" width="6.7265625" style="396" customWidth="1"/>
    <col min="1062" max="1062" width="7.81640625" style="396" customWidth="1"/>
    <col min="1063" max="1064" width="8.7265625" style="396"/>
    <col min="1065" max="1071" width="7" style="396" customWidth="1"/>
    <col min="1072" max="1074" width="10.7265625" style="396" customWidth="1"/>
    <col min="1075" max="1280" width="8.7265625" style="396"/>
    <col min="1281" max="1281" width="57.453125" style="396" customWidth="1"/>
    <col min="1282" max="1309" width="5.26953125" style="396" customWidth="1"/>
    <col min="1310" max="1310" width="5.81640625" style="396" customWidth="1"/>
    <col min="1311" max="1314" width="6.1796875" style="396" customWidth="1"/>
    <col min="1315" max="1315" width="7.81640625" style="396" customWidth="1"/>
    <col min="1316" max="1317" width="6.7265625" style="396" customWidth="1"/>
    <col min="1318" max="1318" width="7.81640625" style="396" customWidth="1"/>
    <col min="1319" max="1320" width="8.7265625" style="396"/>
    <col min="1321" max="1327" width="7" style="396" customWidth="1"/>
    <col min="1328" max="1330" width="10.7265625" style="396" customWidth="1"/>
    <col min="1331" max="1536" width="8.7265625" style="396"/>
    <col min="1537" max="1537" width="57.453125" style="396" customWidth="1"/>
    <col min="1538" max="1565" width="5.26953125" style="396" customWidth="1"/>
    <col min="1566" max="1566" width="5.81640625" style="396" customWidth="1"/>
    <col min="1567" max="1570" width="6.1796875" style="396" customWidth="1"/>
    <col min="1571" max="1571" width="7.81640625" style="396" customWidth="1"/>
    <col min="1572" max="1573" width="6.7265625" style="396" customWidth="1"/>
    <col min="1574" max="1574" width="7.81640625" style="396" customWidth="1"/>
    <col min="1575" max="1576" width="8.7265625" style="396"/>
    <col min="1577" max="1583" width="7" style="396" customWidth="1"/>
    <col min="1584" max="1586" width="10.7265625" style="396" customWidth="1"/>
    <col min="1587" max="1792" width="8.7265625" style="396"/>
    <col min="1793" max="1793" width="57.453125" style="396" customWidth="1"/>
    <col min="1794" max="1821" width="5.26953125" style="396" customWidth="1"/>
    <col min="1822" max="1822" width="5.81640625" style="396" customWidth="1"/>
    <col min="1823" max="1826" width="6.1796875" style="396" customWidth="1"/>
    <col min="1827" max="1827" width="7.81640625" style="396" customWidth="1"/>
    <col min="1828" max="1829" width="6.7265625" style="396" customWidth="1"/>
    <col min="1830" max="1830" width="7.81640625" style="396" customWidth="1"/>
    <col min="1831" max="1832" width="8.7265625" style="396"/>
    <col min="1833" max="1839" width="7" style="396" customWidth="1"/>
    <col min="1840" max="1842" width="10.7265625" style="396" customWidth="1"/>
    <col min="1843" max="2048" width="8.7265625" style="396"/>
    <col min="2049" max="2049" width="57.453125" style="396" customWidth="1"/>
    <col min="2050" max="2077" width="5.26953125" style="396" customWidth="1"/>
    <col min="2078" max="2078" width="5.81640625" style="396" customWidth="1"/>
    <col min="2079" max="2082" width="6.1796875" style="396" customWidth="1"/>
    <col min="2083" max="2083" width="7.81640625" style="396" customWidth="1"/>
    <col min="2084" max="2085" width="6.7265625" style="396" customWidth="1"/>
    <col min="2086" max="2086" width="7.81640625" style="396" customWidth="1"/>
    <col min="2087" max="2088" width="8.7265625" style="396"/>
    <col min="2089" max="2095" width="7" style="396" customWidth="1"/>
    <col min="2096" max="2098" width="10.7265625" style="396" customWidth="1"/>
    <col min="2099" max="2304" width="8.7265625" style="396"/>
    <col min="2305" max="2305" width="57.453125" style="396" customWidth="1"/>
    <col min="2306" max="2333" width="5.26953125" style="396" customWidth="1"/>
    <col min="2334" max="2334" width="5.81640625" style="396" customWidth="1"/>
    <col min="2335" max="2338" width="6.1796875" style="396" customWidth="1"/>
    <col min="2339" max="2339" width="7.81640625" style="396" customWidth="1"/>
    <col min="2340" max="2341" width="6.7265625" style="396" customWidth="1"/>
    <col min="2342" max="2342" width="7.81640625" style="396" customWidth="1"/>
    <col min="2343" max="2344" width="8.7265625" style="396"/>
    <col min="2345" max="2351" width="7" style="396" customWidth="1"/>
    <col min="2352" max="2354" width="10.7265625" style="396" customWidth="1"/>
    <col min="2355" max="2560" width="8.7265625" style="396"/>
    <col min="2561" max="2561" width="57.453125" style="396" customWidth="1"/>
    <col min="2562" max="2589" width="5.26953125" style="396" customWidth="1"/>
    <col min="2590" max="2590" width="5.81640625" style="396" customWidth="1"/>
    <col min="2591" max="2594" width="6.1796875" style="396" customWidth="1"/>
    <col min="2595" max="2595" width="7.81640625" style="396" customWidth="1"/>
    <col min="2596" max="2597" width="6.7265625" style="396" customWidth="1"/>
    <col min="2598" max="2598" width="7.81640625" style="396" customWidth="1"/>
    <col min="2599" max="2600" width="8.7265625" style="396"/>
    <col min="2601" max="2607" width="7" style="396" customWidth="1"/>
    <col min="2608" max="2610" width="10.7265625" style="396" customWidth="1"/>
    <col min="2611" max="2816" width="8.7265625" style="396"/>
    <col min="2817" max="2817" width="57.453125" style="396" customWidth="1"/>
    <col min="2818" max="2845" width="5.26953125" style="396" customWidth="1"/>
    <col min="2846" max="2846" width="5.81640625" style="396" customWidth="1"/>
    <col min="2847" max="2850" width="6.1796875" style="396" customWidth="1"/>
    <col min="2851" max="2851" width="7.81640625" style="396" customWidth="1"/>
    <col min="2852" max="2853" width="6.7265625" style="396" customWidth="1"/>
    <col min="2854" max="2854" width="7.81640625" style="396" customWidth="1"/>
    <col min="2855" max="2856" width="8.7265625" style="396"/>
    <col min="2857" max="2863" width="7" style="396" customWidth="1"/>
    <col min="2864" max="2866" width="10.7265625" style="396" customWidth="1"/>
    <col min="2867" max="3072" width="8.7265625" style="396"/>
    <col min="3073" max="3073" width="57.453125" style="396" customWidth="1"/>
    <col min="3074" max="3101" width="5.26953125" style="396" customWidth="1"/>
    <col min="3102" max="3102" width="5.81640625" style="396" customWidth="1"/>
    <col min="3103" max="3106" width="6.1796875" style="396" customWidth="1"/>
    <col min="3107" max="3107" width="7.81640625" style="396" customWidth="1"/>
    <col min="3108" max="3109" width="6.7265625" style="396" customWidth="1"/>
    <col min="3110" max="3110" width="7.81640625" style="396" customWidth="1"/>
    <col min="3111" max="3112" width="8.7265625" style="396"/>
    <col min="3113" max="3119" width="7" style="396" customWidth="1"/>
    <col min="3120" max="3122" width="10.7265625" style="396" customWidth="1"/>
    <col min="3123" max="3328" width="8.7265625" style="396"/>
    <col min="3329" max="3329" width="57.453125" style="396" customWidth="1"/>
    <col min="3330" max="3357" width="5.26953125" style="396" customWidth="1"/>
    <col min="3358" max="3358" width="5.81640625" style="396" customWidth="1"/>
    <col min="3359" max="3362" width="6.1796875" style="396" customWidth="1"/>
    <col min="3363" max="3363" width="7.81640625" style="396" customWidth="1"/>
    <col min="3364" max="3365" width="6.7265625" style="396" customWidth="1"/>
    <col min="3366" max="3366" width="7.81640625" style="396" customWidth="1"/>
    <col min="3367" max="3368" width="8.7265625" style="396"/>
    <col min="3369" max="3375" width="7" style="396" customWidth="1"/>
    <col min="3376" max="3378" width="10.7265625" style="396" customWidth="1"/>
    <col min="3379" max="3584" width="8.7265625" style="396"/>
    <col min="3585" max="3585" width="57.453125" style="396" customWidth="1"/>
    <col min="3586" max="3613" width="5.26953125" style="396" customWidth="1"/>
    <col min="3614" max="3614" width="5.81640625" style="396" customWidth="1"/>
    <col min="3615" max="3618" width="6.1796875" style="396" customWidth="1"/>
    <col min="3619" max="3619" width="7.81640625" style="396" customWidth="1"/>
    <col min="3620" max="3621" width="6.7265625" style="396" customWidth="1"/>
    <col min="3622" max="3622" width="7.81640625" style="396" customWidth="1"/>
    <col min="3623" max="3624" width="8.7265625" style="396"/>
    <col min="3625" max="3631" width="7" style="396" customWidth="1"/>
    <col min="3632" max="3634" width="10.7265625" style="396" customWidth="1"/>
    <col min="3635" max="3840" width="8.7265625" style="396"/>
    <col min="3841" max="3841" width="57.453125" style="396" customWidth="1"/>
    <col min="3842" max="3869" width="5.26953125" style="396" customWidth="1"/>
    <col min="3870" max="3870" width="5.81640625" style="396" customWidth="1"/>
    <col min="3871" max="3874" width="6.1796875" style="396" customWidth="1"/>
    <col min="3875" max="3875" width="7.81640625" style="396" customWidth="1"/>
    <col min="3876" max="3877" width="6.7265625" style="396" customWidth="1"/>
    <col min="3878" max="3878" width="7.81640625" style="396" customWidth="1"/>
    <col min="3879" max="3880" width="8.7265625" style="396"/>
    <col min="3881" max="3887" width="7" style="396" customWidth="1"/>
    <col min="3888" max="3890" width="10.7265625" style="396" customWidth="1"/>
    <col min="3891" max="4096" width="8.7265625" style="396"/>
    <col min="4097" max="4097" width="57.453125" style="396" customWidth="1"/>
    <col min="4098" max="4125" width="5.26953125" style="396" customWidth="1"/>
    <col min="4126" max="4126" width="5.81640625" style="396" customWidth="1"/>
    <col min="4127" max="4130" width="6.1796875" style="396" customWidth="1"/>
    <col min="4131" max="4131" width="7.81640625" style="396" customWidth="1"/>
    <col min="4132" max="4133" width="6.7265625" style="396" customWidth="1"/>
    <col min="4134" max="4134" width="7.81640625" style="396" customWidth="1"/>
    <col min="4135" max="4136" width="8.7265625" style="396"/>
    <col min="4137" max="4143" width="7" style="396" customWidth="1"/>
    <col min="4144" max="4146" width="10.7265625" style="396" customWidth="1"/>
    <col min="4147" max="4352" width="8.7265625" style="396"/>
    <col min="4353" max="4353" width="57.453125" style="396" customWidth="1"/>
    <col min="4354" max="4381" width="5.26953125" style="396" customWidth="1"/>
    <col min="4382" max="4382" width="5.81640625" style="396" customWidth="1"/>
    <col min="4383" max="4386" width="6.1796875" style="396" customWidth="1"/>
    <col min="4387" max="4387" width="7.81640625" style="396" customWidth="1"/>
    <col min="4388" max="4389" width="6.7265625" style="396" customWidth="1"/>
    <col min="4390" max="4390" width="7.81640625" style="396" customWidth="1"/>
    <col min="4391" max="4392" width="8.7265625" style="396"/>
    <col min="4393" max="4399" width="7" style="396" customWidth="1"/>
    <col min="4400" max="4402" width="10.7265625" style="396" customWidth="1"/>
    <col min="4403" max="4608" width="8.7265625" style="396"/>
    <col min="4609" max="4609" width="57.453125" style="396" customWidth="1"/>
    <col min="4610" max="4637" width="5.26953125" style="396" customWidth="1"/>
    <col min="4638" max="4638" width="5.81640625" style="396" customWidth="1"/>
    <col min="4639" max="4642" width="6.1796875" style="396" customWidth="1"/>
    <col min="4643" max="4643" width="7.81640625" style="396" customWidth="1"/>
    <col min="4644" max="4645" width="6.7265625" style="396" customWidth="1"/>
    <col min="4646" max="4646" width="7.81640625" style="396" customWidth="1"/>
    <col min="4647" max="4648" width="8.7265625" style="396"/>
    <col min="4649" max="4655" width="7" style="396" customWidth="1"/>
    <col min="4656" max="4658" width="10.7265625" style="396" customWidth="1"/>
    <col min="4659" max="4864" width="8.7265625" style="396"/>
    <col min="4865" max="4865" width="57.453125" style="396" customWidth="1"/>
    <col min="4866" max="4893" width="5.26953125" style="396" customWidth="1"/>
    <col min="4894" max="4894" width="5.81640625" style="396" customWidth="1"/>
    <col min="4895" max="4898" width="6.1796875" style="396" customWidth="1"/>
    <col min="4899" max="4899" width="7.81640625" style="396" customWidth="1"/>
    <col min="4900" max="4901" width="6.7265625" style="396" customWidth="1"/>
    <col min="4902" max="4902" width="7.81640625" style="396" customWidth="1"/>
    <col min="4903" max="4904" width="8.7265625" style="396"/>
    <col min="4905" max="4911" width="7" style="396" customWidth="1"/>
    <col min="4912" max="4914" width="10.7265625" style="396" customWidth="1"/>
    <col min="4915" max="5120" width="8.7265625" style="396"/>
    <col min="5121" max="5121" width="57.453125" style="396" customWidth="1"/>
    <col min="5122" max="5149" width="5.26953125" style="396" customWidth="1"/>
    <col min="5150" max="5150" width="5.81640625" style="396" customWidth="1"/>
    <col min="5151" max="5154" width="6.1796875" style="396" customWidth="1"/>
    <col min="5155" max="5155" width="7.81640625" style="396" customWidth="1"/>
    <col min="5156" max="5157" width="6.7265625" style="396" customWidth="1"/>
    <col min="5158" max="5158" width="7.81640625" style="396" customWidth="1"/>
    <col min="5159" max="5160" width="8.7265625" style="396"/>
    <col min="5161" max="5167" width="7" style="396" customWidth="1"/>
    <col min="5168" max="5170" width="10.7265625" style="396" customWidth="1"/>
    <col min="5171" max="5376" width="8.7265625" style="396"/>
    <col min="5377" max="5377" width="57.453125" style="396" customWidth="1"/>
    <col min="5378" max="5405" width="5.26953125" style="396" customWidth="1"/>
    <col min="5406" max="5406" width="5.81640625" style="396" customWidth="1"/>
    <col min="5407" max="5410" width="6.1796875" style="396" customWidth="1"/>
    <col min="5411" max="5411" width="7.81640625" style="396" customWidth="1"/>
    <col min="5412" max="5413" width="6.7265625" style="396" customWidth="1"/>
    <col min="5414" max="5414" width="7.81640625" style="396" customWidth="1"/>
    <col min="5415" max="5416" width="8.7265625" style="396"/>
    <col min="5417" max="5423" width="7" style="396" customWidth="1"/>
    <col min="5424" max="5426" width="10.7265625" style="396" customWidth="1"/>
    <col min="5427" max="5632" width="8.7265625" style="396"/>
    <col min="5633" max="5633" width="57.453125" style="396" customWidth="1"/>
    <col min="5634" max="5661" width="5.26953125" style="396" customWidth="1"/>
    <col min="5662" max="5662" width="5.81640625" style="396" customWidth="1"/>
    <col min="5663" max="5666" width="6.1796875" style="396" customWidth="1"/>
    <col min="5667" max="5667" width="7.81640625" style="396" customWidth="1"/>
    <col min="5668" max="5669" width="6.7265625" style="396" customWidth="1"/>
    <col min="5670" max="5670" width="7.81640625" style="396" customWidth="1"/>
    <col min="5671" max="5672" width="8.7265625" style="396"/>
    <col min="5673" max="5679" width="7" style="396" customWidth="1"/>
    <col min="5680" max="5682" width="10.7265625" style="396" customWidth="1"/>
    <col min="5683" max="5888" width="8.7265625" style="396"/>
    <col min="5889" max="5889" width="57.453125" style="396" customWidth="1"/>
    <col min="5890" max="5917" width="5.26953125" style="396" customWidth="1"/>
    <col min="5918" max="5918" width="5.81640625" style="396" customWidth="1"/>
    <col min="5919" max="5922" width="6.1796875" style="396" customWidth="1"/>
    <col min="5923" max="5923" width="7.81640625" style="396" customWidth="1"/>
    <col min="5924" max="5925" width="6.7265625" style="396" customWidth="1"/>
    <col min="5926" max="5926" width="7.81640625" style="396" customWidth="1"/>
    <col min="5927" max="5928" width="8.7265625" style="396"/>
    <col min="5929" max="5935" width="7" style="396" customWidth="1"/>
    <col min="5936" max="5938" width="10.7265625" style="396" customWidth="1"/>
    <col min="5939" max="6144" width="8.7265625" style="396"/>
    <col min="6145" max="6145" width="57.453125" style="396" customWidth="1"/>
    <col min="6146" max="6173" width="5.26953125" style="396" customWidth="1"/>
    <col min="6174" max="6174" width="5.81640625" style="396" customWidth="1"/>
    <col min="6175" max="6178" width="6.1796875" style="396" customWidth="1"/>
    <col min="6179" max="6179" width="7.81640625" style="396" customWidth="1"/>
    <col min="6180" max="6181" width="6.7265625" style="396" customWidth="1"/>
    <col min="6182" max="6182" width="7.81640625" style="396" customWidth="1"/>
    <col min="6183" max="6184" width="8.7265625" style="396"/>
    <col min="6185" max="6191" width="7" style="396" customWidth="1"/>
    <col min="6192" max="6194" width="10.7265625" style="396" customWidth="1"/>
    <col min="6195" max="6400" width="8.7265625" style="396"/>
    <col min="6401" max="6401" width="57.453125" style="396" customWidth="1"/>
    <col min="6402" max="6429" width="5.26953125" style="396" customWidth="1"/>
    <col min="6430" max="6430" width="5.81640625" style="396" customWidth="1"/>
    <col min="6431" max="6434" width="6.1796875" style="396" customWidth="1"/>
    <col min="6435" max="6435" width="7.81640625" style="396" customWidth="1"/>
    <col min="6436" max="6437" width="6.7265625" style="396" customWidth="1"/>
    <col min="6438" max="6438" width="7.81640625" style="396" customWidth="1"/>
    <col min="6439" max="6440" width="8.7265625" style="396"/>
    <col min="6441" max="6447" width="7" style="396" customWidth="1"/>
    <col min="6448" max="6450" width="10.7265625" style="396" customWidth="1"/>
    <col min="6451" max="6656" width="8.7265625" style="396"/>
    <col min="6657" max="6657" width="57.453125" style="396" customWidth="1"/>
    <col min="6658" max="6685" width="5.26953125" style="396" customWidth="1"/>
    <col min="6686" max="6686" width="5.81640625" style="396" customWidth="1"/>
    <col min="6687" max="6690" width="6.1796875" style="396" customWidth="1"/>
    <col min="6691" max="6691" width="7.81640625" style="396" customWidth="1"/>
    <col min="6692" max="6693" width="6.7265625" style="396" customWidth="1"/>
    <col min="6694" max="6694" width="7.81640625" style="396" customWidth="1"/>
    <col min="6695" max="6696" width="8.7265625" style="396"/>
    <col min="6697" max="6703" width="7" style="396" customWidth="1"/>
    <col min="6704" max="6706" width="10.7265625" style="396" customWidth="1"/>
    <col min="6707" max="6912" width="8.7265625" style="396"/>
    <col min="6913" max="6913" width="57.453125" style="396" customWidth="1"/>
    <col min="6914" max="6941" width="5.26953125" style="396" customWidth="1"/>
    <col min="6942" max="6942" width="5.81640625" style="396" customWidth="1"/>
    <col min="6943" max="6946" width="6.1796875" style="396" customWidth="1"/>
    <col min="6947" max="6947" width="7.81640625" style="396" customWidth="1"/>
    <col min="6948" max="6949" width="6.7265625" style="396" customWidth="1"/>
    <col min="6950" max="6950" width="7.81640625" style="396" customWidth="1"/>
    <col min="6951" max="6952" width="8.7265625" style="396"/>
    <col min="6953" max="6959" width="7" style="396" customWidth="1"/>
    <col min="6960" max="6962" width="10.7265625" style="396" customWidth="1"/>
    <col min="6963" max="7168" width="8.7265625" style="396"/>
    <col min="7169" max="7169" width="57.453125" style="396" customWidth="1"/>
    <col min="7170" max="7197" width="5.26953125" style="396" customWidth="1"/>
    <col min="7198" max="7198" width="5.81640625" style="396" customWidth="1"/>
    <col min="7199" max="7202" width="6.1796875" style="396" customWidth="1"/>
    <col min="7203" max="7203" width="7.81640625" style="396" customWidth="1"/>
    <col min="7204" max="7205" width="6.7265625" style="396" customWidth="1"/>
    <col min="7206" max="7206" width="7.81640625" style="396" customWidth="1"/>
    <col min="7207" max="7208" width="8.7265625" style="396"/>
    <col min="7209" max="7215" width="7" style="396" customWidth="1"/>
    <col min="7216" max="7218" width="10.7265625" style="396" customWidth="1"/>
    <col min="7219" max="7424" width="8.7265625" style="396"/>
    <col min="7425" max="7425" width="57.453125" style="396" customWidth="1"/>
    <col min="7426" max="7453" width="5.26953125" style="396" customWidth="1"/>
    <col min="7454" max="7454" width="5.81640625" style="396" customWidth="1"/>
    <col min="7455" max="7458" width="6.1796875" style="396" customWidth="1"/>
    <col min="7459" max="7459" width="7.81640625" style="396" customWidth="1"/>
    <col min="7460" max="7461" width="6.7265625" style="396" customWidth="1"/>
    <col min="7462" max="7462" width="7.81640625" style="396" customWidth="1"/>
    <col min="7463" max="7464" width="8.7265625" style="396"/>
    <col min="7465" max="7471" width="7" style="396" customWidth="1"/>
    <col min="7472" max="7474" width="10.7265625" style="396" customWidth="1"/>
    <col min="7475" max="7680" width="8.7265625" style="396"/>
    <col min="7681" max="7681" width="57.453125" style="396" customWidth="1"/>
    <col min="7682" max="7709" width="5.26953125" style="396" customWidth="1"/>
    <col min="7710" max="7710" width="5.81640625" style="396" customWidth="1"/>
    <col min="7711" max="7714" width="6.1796875" style="396" customWidth="1"/>
    <col min="7715" max="7715" width="7.81640625" style="396" customWidth="1"/>
    <col min="7716" max="7717" width="6.7265625" style="396" customWidth="1"/>
    <col min="7718" max="7718" width="7.81640625" style="396" customWidth="1"/>
    <col min="7719" max="7720" width="8.7265625" style="396"/>
    <col min="7721" max="7727" width="7" style="396" customWidth="1"/>
    <col min="7728" max="7730" width="10.7265625" style="396" customWidth="1"/>
    <col min="7731" max="7936" width="8.7265625" style="396"/>
    <col min="7937" max="7937" width="57.453125" style="396" customWidth="1"/>
    <col min="7938" max="7965" width="5.26953125" style="396" customWidth="1"/>
    <col min="7966" max="7966" width="5.81640625" style="396" customWidth="1"/>
    <col min="7967" max="7970" width="6.1796875" style="396" customWidth="1"/>
    <col min="7971" max="7971" width="7.81640625" style="396" customWidth="1"/>
    <col min="7972" max="7973" width="6.7265625" style="396" customWidth="1"/>
    <col min="7974" max="7974" width="7.81640625" style="396" customWidth="1"/>
    <col min="7975" max="7976" width="8.7265625" style="396"/>
    <col min="7977" max="7983" width="7" style="396" customWidth="1"/>
    <col min="7984" max="7986" width="10.7265625" style="396" customWidth="1"/>
    <col min="7987" max="8192" width="8.7265625" style="396"/>
    <col min="8193" max="8193" width="57.453125" style="396" customWidth="1"/>
    <col min="8194" max="8221" width="5.26953125" style="396" customWidth="1"/>
    <col min="8222" max="8222" width="5.81640625" style="396" customWidth="1"/>
    <col min="8223" max="8226" width="6.1796875" style="396" customWidth="1"/>
    <col min="8227" max="8227" width="7.81640625" style="396" customWidth="1"/>
    <col min="8228" max="8229" width="6.7265625" style="396" customWidth="1"/>
    <col min="8230" max="8230" width="7.81640625" style="396" customWidth="1"/>
    <col min="8231" max="8232" width="8.7265625" style="396"/>
    <col min="8233" max="8239" width="7" style="396" customWidth="1"/>
    <col min="8240" max="8242" width="10.7265625" style="396" customWidth="1"/>
    <col min="8243" max="8448" width="8.7265625" style="396"/>
    <col min="8449" max="8449" width="57.453125" style="396" customWidth="1"/>
    <col min="8450" max="8477" width="5.26953125" style="396" customWidth="1"/>
    <col min="8478" max="8478" width="5.81640625" style="396" customWidth="1"/>
    <col min="8479" max="8482" width="6.1796875" style="396" customWidth="1"/>
    <col min="8483" max="8483" width="7.81640625" style="396" customWidth="1"/>
    <col min="8484" max="8485" width="6.7265625" style="396" customWidth="1"/>
    <col min="8486" max="8486" width="7.81640625" style="396" customWidth="1"/>
    <col min="8487" max="8488" width="8.7265625" style="396"/>
    <col min="8489" max="8495" width="7" style="396" customWidth="1"/>
    <col min="8496" max="8498" width="10.7265625" style="396" customWidth="1"/>
    <col min="8499" max="8704" width="8.7265625" style="396"/>
    <col min="8705" max="8705" width="57.453125" style="396" customWidth="1"/>
    <col min="8706" max="8733" width="5.26953125" style="396" customWidth="1"/>
    <col min="8734" max="8734" width="5.81640625" style="396" customWidth="1"/>
    <col min="8735" max="8738" width="6.1796875" style="396" customWidth="1"/>
    <col min="8739" max="8739" width="7.81640625" style="396" customWidth="1"/>
    <col min="8740" max="8741" width="6.7265625" style="396" customWidth="1"/>
    <col min="8742" max="8742" width="7.81640625" style="396" customWidth="1"/>
    <col min="8743" max="8744" width="8.7265625" style="396"/>
    <col min="8745" max="8751" width="7" style="396" customWidth="1"/>
    <col min="8752" max="8754" width="10.7265625" style="396" customWidth="1"/>
    <col min="8755" max="8960" width="8.7265625" style="396"/>
    <col min="8961" max="8961" width="57.453125" style="396" customWidth="1"/>
    <col min="8962" max="8989" width="5.26953125" style="396" customWidth="1"/>
    <col min="8990" max="8990" width="5.81640625" style="396" customWidth="1"/>
    <col min="8991" max="8994" width="6.1796875" style="396" customWidth="1"/>
    <col min="8995" max="8995" width="7.81640625" style="396" customWidth="1"/>
    <col min="8996" max="8997" width="6.7265625" style="396" customWidth="1"/>
    <col min="8998" max="8998" width="7.81640625" style="396" customWidth="1"/>
    <col min="8999" max="9000" width="8.7265625" style="396"/>
    <col min="9001" max="9007" width="7" style="396" customWidth="1"/>
    <col min="9008" max="9010" width="10.7265625" style="396" customWidth="1"/>
    <col min="9011" max="9216" width="8.7265625" style="396"/>
    <col min="9217" max="9217" width="57.453125" style="396" customWidth="1"/>
    <col min="9218" max="9245" width="5.26953125" style="396" customWidth="1"/>
    <col min="9246" max="9246" width="5.81640625" style="396" customWidth="1"/>
    <col min="9247" max="9250" width="6.1796875" style="396" customWidth="1"/>
    <col min="9251" max="9251" width="7.81640625" style="396" customWidth="1"/>
    <col min="9252" max="9253" width="6.7265625" style="396" customWidth="1"/>
    <col min="9254" max="9254" width="7.81640625" style="396" customWidth="1"/>
    <col min="9255" max="9256" width="8.7265625" style="396"/>
    <col min="9257" max="9263" width="7" style="396" customWidth="1"/>
    <col min="9264" max="9266" width="10.7265625" style="396" customWidth="1"/>
    <col min="9267" max="9472" width="8.7265625" style="396"/>
    <col min="9473" max="9473" width="57.453125" style="396" customWidth="1"/>
    <col min="9474" max="9501" width="5.26953125" style="396" customWidth="1"/>
    <col min="9502" max="9502" width="5.81640625" style="396" customWidth="1"/>
    <col min="9503" max="9506" width="6.1796875" style="396" customWidth="1"/>
    <col min="9507" max="9507" width="7.81640625" style="396" customWidth="1"/>
    <col min="9508" max="9509" width="6.7265625" style="396" customWidth="1"/>
    <col min="9510" max="9510" width="7.81640625" style="396" customWidth="1"/>
    <col min="9511" max="9512" width="8.7265625" style="396"/>
    <col min="9513" max="9519" width="7" style="396" customWidth="1"/>
    <col min="9520" max="9522" width="10.7265625" style="396" customWidth="1"/>
    <col min="9523" max="9728" width="8.7265625" style="396"/>
    <col min="9729" max="9729" width="57.453125" style="396" customWidth="1"/>
    <col min="9730" max="9757" width="5.26953125" style="396" customWidth="1"/>
    <col min="9758" max="9758" width="5.81640625" style="396" customWidth="1"/>
    <col min="9759" max="9762" width="6.1796875" style="396" customWidth="1"/>
    <col min="9763" max="9763" width="7.81640625" style="396" customWidth="1"/>
    <col min="9764" max="9765" width="6.7265625" style="396" customWidth="1"/>
    <col min="9766" max="9766" width="7.81640625" style="396" customWidth="1"/>
    <col min="9767" max="9768" width="8.7265625" style="396"/>
    <col min="9769" max="9775" width="7" style="396" customWidth="1"/>
    <col min="9776" max="9778" width="10.7265625" style="396" customWidth="1"/>
    <col min="9779" max="9984" width="8.7265625" style="396"/>
    <col min="9985" max="9985" width="57.453125" style="396" customWidth="1"/>
    <col min="9986" max="10013" width="5.26953125" style="396" customWidth="1"/>
    <col min="10014" max="10014" width="5.81640625" style="396" customWidth="1"/>
    <col min="10015" max="10018" width="6.1796875" style="396" customWidth="1"/>
    <col min="10019" max="10019" width="7.81640625" style="396" customWidth="1"/>
    <col min="10020" max="10021" width="6.7265625" style="396" customWidth="1"/>
    <col min="10022" max="10022" width="7.81640625" style="396" customWidth="1"/>
    <col min="10023" max="10024" width="8.7265625" style="396"/>
    <col min="10025" max="10031" width="7" style="396" customWidth="1"/>
    <col min="10032" max="10034" width="10.7265625" style="396" customWidth="1"/>
    <col min="10035" max="10240" width="8.7265625" style="396"/>
    <col min="10241" max="10241" width="57.453125" style="396" customWidth="1"/>
    <col min="10242" max="10269" width="5.26953125" style="396" customWidth="1"/>
    <col min="10270" max="10270" width="5.81640625" style="396" customWidth="1"/>
    <col min="10271" max="10274" width="6.1796875" style="396" customWidth="1"/>
    <col min="10275" max="10275" width="7.81640625" style="396" customWidth="1"/>
    <col min="10276" max="10277" width="6.7265625" style="396" customWidth="1"/>
    <col min="10278" max="10278" width="7.81640625" style="396" customWidth="1"/>
    <col min="10279" max="10280" width="8.7265625" style="396"/>
    <col min="10281" max="10287" width="7" style="396" customWidth="1"/>
    <col min="10288" max="10290" width="10.7265625" style="396" customWidth="1"/>
    <col min="10291" max="10496" width="8.7265625" style="396"/>
    <col min="10497" max="10497" width="57.453125" style="396" customWidth="1"/>
    <col min="10498" max="10525" width="5.26953125" style="396" customWidth="1"/>
    <col min="10526" max="10526" width="5.81640625" style="396" customWidth="1"/>
    <col min="10527" max="10530" width="6.1796875" style="396" customWidth="1"/>
    <col min="10531" max="10531" width="7.81640625" style="396" customWidth="1"/>
    <col min="10532" max="10533" width="6.7265625" style="396" customWidth="1"/>
    <col min="10534" max="10534" width="7.81640625" style="396" customWidth="1"/>
    <col min="10535" max="10536" width="8.7265625" style="396"/>
    <col min="10537" max="10543" width="7" style="396" customWidth="1"/>
    <col min="10544" max="10546" width="10.7265625" style="396" customWidth="1"/>
    <col min="10547" max="10752" width="8.7265625" style="396"/>
    <col min="10753" max="10753" width="57.453125" style="396" customWidth="1"/>
    <col min="10754" max="10781" width="5.26953125" style="396" customWidth="1"/>
    <col min="10782" max="10782" width="5.81640625" style="396" customWidth="1"/>
    <col min="10783" max="10786" width="6.1796875" style="396" customWidth="1"/>
    <col min="10787" max="10787" width="7.81640625" style="396" customWidth="1"/>
    <col min="10788" max="10789" width="6.7265625" style="396" customWidth="1"/>
    <col min="10790" max="10790" width="7.81640625" style="396" customWidth="1"/>
    <col min="10791" max="10792" width="8.7265625" style="396"/>
    <col min="10793" max="10799" width="7" style="396" customWidth="1"/>
    <col min="10800" max="10802" width="10.7265625" style="396" customWidth="1"/>
    <col min="10803" max="11008" width="8.7265625" style="396"/>
    <col min="11009" max="11009" width="57.453125" style="396" customWidth="1"/>
    <col min="11010" max="11037" width="5.26953125" style="396" customWidth="1"/>
    <col min="11038" max="11038" width="5.81640625" style="396" customWidth="1"/>
    <col min="11039" max="11042" width="6.1796875" style="396" customWidth="1"/>
    <col min="11043" max="11043" width="7.81640625" style="396" customWidth="1"/>
    <col min="11044" max="11045" width="6.7265625" style="396" customWidth="1"/>
    <col min="11046" max="11046" width="7.81640625" style="396" customWidth="1"/>
    <col min="11047" max="11048" width="8.7265625" style="396"/>
    <col min="11049" max="11055" width="7" style="396" customWidth="1"/>
    <col min="11056" max="11058" width="10.7265625" style="396" customWidth="1"/>
    <col min="11059" max="11264" width="8.7265625" style="396"/>
    <col min="11265" max="11265" width="57.453125" style="396" customWidth="1"/>
    <col min="11266" max="11293" width="5.26953125" style="396" customWidth="1"/>
    <col min="11294" max="11294" width="5.81640625" style="396" customWidth="1"/>
    <col min="11295" max="11298" width="6.1796875" style="396" customWidth="1"/>
    <col min="11299" max="11299" width="7.81640625" style="396" customWidth="1"/>
    <col min="11300" max="11301" width="6.7265625" style="396" customWidth="1"/>
    <col min="11302" max="11302" width="7.81640625" style="396" customWidth="1"/>
    <col min="11303" max="11304" width="8.7265625" style="396"/>
    <col min="11305" max="11311" width="7" style="396" customWidth="1"/>
    <col min="11312" max="11314" width="10.7265625" style="396" customWidth="1"/>
    <col min="11315" max="11520" width="8.7265625" style="396"/>
    <col min="11521" max="11521" width="57.453125" style="396" customWidth="1"/>
    <col min="11522" max="11549" width="5.26953125" style="396" customWidth="1"/>
    <col min="11550" max="11550" width="5.81640625" style="396" customWidth="1"/>
    <col min="11551" max="11554" width="6.1796875" style="396" customWidth="1"/>
    <col min="11555" max="11555" width="7.81640625" style="396" customWidth="1"/>
    <col min="11556" max="11557" width="6.7265625" style="396" customWidth="1"/>
    <col min="11558" max="11558" width="7.81640625" style="396" customWidth="1"/>
    <col min="11559" max="11560" width="8.7265625" style="396"/>
    <col min="11561" max="11567" width="7" style="396" customWidth="1"/>
    <col min="11568" max="11570" width="10.7265625" style="396" customWidth="1"/>
    <col min="11571" max="11776" width="8.7265625" style="396"/>
    <col min="11777" max="11777" width="57.453125" style="396" customWidth="1"/>
    <col min="11778" max="11805" width="5.26953125" style="396" customWidth="1"/>
    <col min="11806" max="11806" width="5.81640625" style="396" customWidth="1"/>
    <col min="11807" max="11810" width="6.1796875" style="396" customWidth="1"/>
    <col min="11811" max="11811" width="7.81640625" style="396" customWidth="1"/>
    <col min="11812" max="11813" width="6.7265625" style="396" customWidth="1"/>
    <col min="11814" max="11814" width="7.81640625" style="396" customWidth="1"/>
    <col min="11815" max="11816" width="8.7265625" style="396"/>
    <col min="11817" max="11823" width="7" style="396" customWidth="1"/>
    <col min="11824" max="11826" width="10.7265625" style="396" customWidth="1"/>
    <col min="11827" max="12032" width="8.7265625" style="396"/>
    <col min="12033" max="12033" width="57.453125" style="396" customWidth="1"/>
    <col min="12034" max="12061" width="5.26953125" style="396" customWidth="1"/>
    <col min="12062" max="12062" width="5.81640625" style="396" customWidth="1"/>
    <col min="12063" max="12066" width="6.1796875" style="396" customWidth="1"/>
    <col min="12067" max="12067" width="7.81640625" style="396" customWidth="1"/>
    <col min="12068" max="12069" width="6.7265625" style="396" customWidth="1"/>
    <col min="12070" max="12070" width="7.81640625" style="396" customWidth="1"/>
    <col min="12071" max="12072" width="8.7265625" style="396"/>
    <col min="12073" max="12079" width="7" style="396" customWidth="1"/>
    <col min="12080" max="12082" width="10.7265625" style="396" customWidth="1"/>
    <col min="12083" max="12288" width="8.7265625" style="396"/>
    <col min="12289" max="12289" width="57.453125" style="396" customWidth="1"/>
    <col min="12290" max="12317" width="5.26953125" style="396" customWidth="1"/>
    <col min="12318" max="12318" width="5.81640625" style="396" customWidth="1"/>
    <col min="12319" max="12322" width="6.1796875" style="396" customWidth="1"/>
    <col min="12323" max="12323" width="7.81640625" style="396" customWidth="1"/>
    <col min="12324" max="12325" width="6.7265625" style="396" customWidth="1"/>
    <col min="12326" max="12326" width="7.81640625" style="396" customWidth="1"/>
    <col min="12327" max="12328" width="8.7265625" style="396"/>
    <col min="12329" max="12335" width="7" style="396" customWidth="1"/>
    <col min="12336" max="12338" width="10.7265625" style="396" customWidth="1"/>
    <col min="12339" max="12544" width="8.7265625" style="396"/>
    <col min="12545" max="12545" width="57.453125" style="396" customWidth="1"/>
    <col min="12546" max="12573" width="5.26953125" style="396" customWidth="1"/>
    <col min="12574" max="12574" width="5.81640625" style="396" customWidth="1"/>
    <col min="12575" max="12578" width="6.1796875" style="396" customWidth="1"/>
    <col min="12579" max="12579" width="7.81640625" style="396" customWidth="1"/>
    <col min="12580" max="12581" width="6.7265625" style="396" customWidth="1"/>
    <col min="12582" max="12582" width="7.81640625" style="396" customWidth="1"/>
    <col min="12583" max="12584" width="8.7265625" style="396"/>
    <col min="12585" max="12591" width="7" style="396" customWidth="1"/>
    <col min="12592" max="12594" width="10.7265625" style="396" customWidth="1"/>
    <col min="12595" max="12800" width="8.7265625" style="396"/>
    <col min="12801" max="12801" width="57.453125" style="396" customWidth="1"/>
    <col min="12802" max="12829" width="5.26953125" style="396" customWidth="1"/>
    <col min="12830" max="12830" width="5.81640625" style="396" customWidth="1"/>
    <col min="12831" max="12834" width="6.1796875" style="396" customWidth="1"/>
    <col min="12835" max="12835" width="7.81640625" style="396" customWidth="1"/>
    <col min="12836" max="12837" width="6.7265625" style="396" customWidth="1"/>
    <col min="12838" max="12838" width="7.81640625" style="396" customWidth="1"/>
    <col min="12839" max="12840" width="8.7265625" style="396"/>
    <col min="12841" max="12847" width="7" style="396" customWidth="1"/>
    <col min="12848" max="12850" width="10.7265625" style="396" customWidth="1"/>
    <col min="12851" max="13056" width="8.7265625" style="396"/>
    <col min="13057" max="13057" width="57.453125" style="396" customWidth="1"/>
    <col min="13058" max="13085" width="5.26953125" style="396" customWidth="1"/>
    <col min="13086" max="13086" width="5.81640625" style="396" customWidth="1"/>
    <col min="13087" max="13090" width="6.1796875" style="396" customWidth="1"/>
    <col min="13091" max="13091" width="7.81640625" style="396" customWidth="1"/>
    <col min="13092" max="13093" width="6.7265625" style="396" customWidth="1"/>
    <col min="13094" max="13094" width="7.81640625" style="396" customWidth="1"/>
    <col min="13095" max="13096" width="8.7265625" style="396"/>
    <col min="13097" max="13103" width="7" style="396" customWidth="1"/>
    <col min="13104" max="13106" width="10.7265625" style="396" customWidth="1"/>
    <col min="13107" max="13312" width="8.7265625" style="396"/>
    <col min="13313" max="13313" width="57.453125" style="396" customWidth="1"/>
    <col min="13314" max="13341" width="5.26953125" style="396" customWidth="1"/>
    <col min="13342" max="13342" width="5.81640625" style="396" customWidth="1"/>
    <col min="13343" max="13346" width="6.1796875" style="396" customWidth="1"/>
    <col min="13347" max="13347" width="7.81640625" style="396" customWidth="1"/>
    <col min="13348" max="13349" width="6.7265625" style="396" customWidth="1"/>
    <col min="13350" max="13350" width="7.81640625" style="396" customWidth="1"/>
    <col min="13351" max="13352" width="8.7265625" style="396"/>
    <col min="13353" max="13359" width="7" style="396" customWidth="1"/>
    <col min="13360" max="13362" width="10.7265625" style="396" customWidth="1"/>
    <col min="13363" max="13568" width="8.7265625" style="396"/>
    <col min="13569" max="13569" width="57.453125" style="396" customWidth="1"/>
    <col min="13570" max="13597" width="5.26953125" style="396" customWidth="1"/>
    <col min="13598" max="13598" width="5.81640625" style="396" customWidth="1"/>
    <col min="13599" max="13602" width="6.1796875" style="396" customWidth="1"/>
    <col min="13603" max="13603" width="7.81640625" style="396" customWidth="1"/>
    <col min="13604" max="13605" width="6.7265625" style="396" customWidth="1"/>
    <col min="13606" max="13606" width="7.81640625" style="396" customWidth="1"/>
    <col min="13607" max="13608" width="8.7265625" style="396"/>
    <col min="13609" max="13615" width="7" style="396" customWidth="1"/>
    <col min="13616" max="13618" width="10.7265625" style="396" customWidth="1"/>
    <col min="13619" max="13824" width="8.7265625" style="396"/>
    <col min="13825" max="13825" width="57.453125" style="396" customWidth="1"/>
    <col min="13826" max="13853" width="5.26953125" style="396" customWidth="1"/>
    <col min="13854" max="13854" width="5.81640625" style="396" customWidth="1"/>
    <col min="13855" max="13858" width="6.1796875" style="396" customWidth="1"/>
    <col min="13859" max="13859" width="7.81640625" style="396" customWidth="1"/>
    <col min="13860" max="13861" width="6.7265625" style="396" customWidth="1"/>
    <col min="13862" max="13862" width="7.81640625" style="396" customWidth="1"/>
    <col min="13863" max="13864" width="8.7265625" style="396"/>
    <col min="13865" max="13871" width="7" style="396" customWidth="1"/>
    <col min="13872" max="13874" width="10.7265625" style="396" customWidth="1"/>
    <col min="13875" max="14080" width="8.7265625" style="396"/>
    <col min="14081" max="14081" width="57.453125" style="396" customWidth="1"/>
    <col min="14082" max="14109" width="5.26953125" style="396" customWidth="1"/>
    <col min="14110" max="14110" width="5.81640625" style="396" customWidth="1"/>
    <col min="14111" max="14114" width="6.1796875" style="396" customWidth="1"/>
    <col min="14115" max="14115" width="7.81640625" style="396" customWidth="1"/>
    <col min="14116" max="14117" width="6.7265625" style="396" customWidth="1"/>
    <col min="14118" max="14118" width="7.81640625" style="396" customWidth="1"/>
    <col min="14119" max="14120" width="8.7265625" style="396"/>
    <col min="14121" max="14127" width="7" style="396" customWidth="1"/>
    <col min="14128" max="14130" width="10.7265625" style="396" customWidth="1"/>
    <col min="14131" max="14336" width="8.7265625" style="396"/>
    <col min="14337" max="14337" width="57.453125" style="396" customWidth="1"/>
    <col min="14338" max="14365" width="5.26953125" style="396" customWidth="1"/>
    <col min="14366" max="14366" width="5.81640625" style="396" customWidth="1"/>
    <col min="14367" max="14370" width="6.1796875" style="396" customWidth="1"/>
    <col min="14371" max="14371" width="7.81640625" style="396" customWidth="1"/>
    <col min="14372" max="14373" width="6.7265625" style="396" customWidth="1"/>
    <col min="14374" max="14374" width="7.81640625" style="396" customWidth="1"/>
    <col min="14375" max="14376" width="8.7265625" style="396"/>
    <col min="14377" max="14383" width="7" style="396" customWidth="1"/>
    <col min="14384" max="14386" width="10.7265625" style="396" customWidth="1"/>
    <col min="14387" max="14592" width="8.7265625" style="396"/>
    <col min="14593" max="14593" width="57.453125" style="396" customWidth="1"/>
    <col min="14594" max="14621" width="5.26953125" style="396" customWidth="1"/>
    <col min="14622" max="14622" width="5.81640625" style="396" customWidth="1"/>
    <col min="14623" max="14626" width="6.1796875" style="396" customWidth="1"/>
    <col min="14627" max="14627" width="7.81640625" style="396" customWidth="1"/>
    <col min="14628" max="14629" width="6.7265625" style="396" customWidth="1"/>
    <col min="14630" max="14630" width="7.81640625" style="396" customWidth="1"/>
    <col min="14631" max="14632" width="8.7265625" style="396"/>
    <col min="14633" max="14639" width="7" style="396" customWidth="1"/>
    <col min="14640" max="14642" width="10.7265625" style="396" customWidth="1"/>
    <col min="14643" max="14848" width="8.7265625" style="396"/>
    <col min="14849" max="14849" width="57.453125" style="396" customWidth="1"/>
    <col min="14850" max="14877" width="5.26953125" style="396" customWidth="1"/>
    <col min="14878" max="14878" width="5.81640625" style="396" customWidth="1"/>
    <col min="14879" max="14882" width="6.1796875" style="396" customWidth="1"/>
    <col min="14883" max="14883" width="7.81640625" style="396" customWidth="1"/>
    <col min="14884" max="14885" width="6.7265625" style="396" customWidth="1"/>
    <col min="14886" max="14886" width="7.81640625" style="396" customWidth="1"/>
    <col min="14887" max="14888" width="8.7265625" style="396"/>
    <col min="14889" max="14895" width="7" style="396" customWidth="1"/>
    <col min="14896" max="14898" width="10.7265625" style="396" customWidth="1"/>
    <col min="14899" max="15104" width="8.7265625" style="396"/>
    <col min="15105" max="15105" width="57.453125" style="396" customWidth="1"/>
    <col min="15106" max="15133" width="5.26953125" style="396" customWidth="1"/>
    <col min="15134" max="15134" width="5.81640625" style="396" customWidth="1"/>
    <col min="15135" max="15138" width="6.1796875" style="396" customWidth="1"/>
    <col min="15139" max="15139" width="7.81640625" style="396" customWidth="1"/>
    <col min="15140" max="15141" width="6.7265625" style="396" customWidth="1"/>
    <col min="15142" max="15142" width="7.81640625" style="396" customWidth="1"/>
    <col min="15143" max="15144" width="8.7265625" style="396"/>
    <col min="15145" max="15151" width="7" style="396" customWidth="1"/>
    <col min="15152" max="15154" width="10.7265625" style="396" customWidth="1"/>
    <col min="15155" max="15360" width="8.7265625" style="396"/>
    <col min="15361" max="15361" width="57.453125" style="396" customWidth="1"/>
    <col min="15362" max="15389" width="5.26953125" style="396" customWidth="1"/>
    <col min="15390" max="15390" width="5.81640625" style="396" customWidth="1"/>
    <col min="15391" max="15394" width="6.1796875" style="396" customWidth="1"/>
    <col min="15395" max="15395" width="7.81640625" style="396" customWidth="1"/>
    <col min="15396" max="15397" width="6.7265625" style="396" customWidth="1"/>
    <col min="15398" max="15398" width="7.81640625" style="396" customWidth="1"/>
    <col min="15399" max="15400" width="8.7265625" style="396"/>
    <col min="15401" max="15407" width="7" style="396" customWidth="1"/>
    <col min="15408" max="15410" width="10.7265625" style="396" customWidth="1"/>
    <col min="15411" max="15616" width="8.7265625" style="396"/>
    <col min="15617" max="15617" width="57.453125" style="396" customWidth="1"/>
    <col min="15618" max="15645" width="5.26953125" style="396" customWidth="1"/>
    <col min="15646" max="15646" width="5.81640625" style="396" customWidth="1"/>
    <col min="15647" max="15650" width="6.1796875" style="396" customWidth="1"/>
    <col min="15651" max="15651" width="7.81640625" style="396" customWidth="1"/>
    <col min="15652" max="15653" width="6.7265625" style="396" customWidth="1"/>
    <col min="15654" max="15654" width="7.81640625" style="396" customWidth="1"/>
    <col min="15655" max="15656" width="8.7265625" style="396"/>
    <col min="15657" max="15663" width="7" style="396" customWidth="1"/>
    <col min="15664" max="15666" width="10.7265625" style="396" customWidth="1"/>
    <col min="15667" max="15872" width="8.7265625" style="396"/>
    <col min="15873" max="15873" width="57.453125" style="396" customWidth="1"/>
    <col min="15874" max="15901" width="5.26953125" style="396" customWidth="1"/>
    <col min="15902" max="15902" width="5.81640625" style="396" customWidth="1"/>
    <col min="15903" max="15906" width="6.1796875" style="396" customWidth="1"/>
    <col min="15907" max="15907" width="7.81640625" style="396" customWidth="1"/>
    <col min="15908" max="15909" width="6.7265625" style="396" customWidth="1"/>
    <col min="15910" max="15910" width="7.81640625" style="396" customWidth="1"/>
    <col min="15911" max="15912" width="8.7265625" style="396"/>
    <col min="15913" max="15919" width="7" style="396" customWidth="1"/>
    <col min="15920" max="15922" width="10.7265625" style="396" customWidth="1"/>
    <col min="15923" max="16128" width="8.7265625" style="396"/>
    <col min="16129" max="16129" width="57.453125" style="396" customWidth="1"/>
    <col min="16130" max="16157" width="5.26953125" style="396" customWidth="1"/>
    <col min="16158" max="16158" width="5.81640625" style="396" customWidth="1"/>
    <col min="16159" max="16162" width="6.1796875" style="396" customWidth="1"/>
    <col min="16163" max="16163" width="7.81640625" style="396" customWidth="1"/>
    <col min="16164" max="16165" width="6.7265625" style="396" customWidth="1"/>
    <col min="16166" max="16166" width="7.81640625" style="396" customWidth="1"/>
    <col min="16167" max="16168" width="8.7265625" style="396"/>
    <col min="16169" max="16175" width="7" style="396" customWidth="1"/>
    <col min="16176" max="16178" width="10.7265625" style="396" customWidth="1"/>
    <col min="16179" max="16384" width="8.7265625" style="396"/>
  </cols>
  <sheetData>
    <row r="1" spans="1:52" ht="13">
      <c r="A1" s="440" t="s">
        <v>769</v>
      </c>
    </row>
    <row r="2" spans="1:52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  <c r="AW2" s="395"/>
      <c r="AX2" s="395"/>
    </row>
    <row r="3" spans="1:52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</row>
    <row r="4" spans="1:52" ht="13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2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2" ht="13">
      <c r="A6" s="446" t="s">
        <v>749</v>
      </c>
      <c r="B6" s="449">
        <v>4457.5646813453614</v>
      </c>
      <c r="C6" s="449">
        <v>4650.4241037526072</v>
      </c>
      <c r="D6" s="449">
        <v>5335.9015492484659</v>
      </c>
      <c r="E6" s="449">
        <v>5503.6316312093668</v>
      </c>
      <c r="F6" s="449">
        <v>5935.6024886591249</v>
      </c>
      <c r="G6" s="449">
        <v>6317.0260313179506</v>
      </c>
      <c r="H6" s="449">
        <v>6430.6209330797992</v>
      </c>
      <c r="I6" s="449">
        <v>6636.5251482915983</v>
      </c>
      <c r="J6" s="449">
        <v>6948.7169448112027</v>
      </c>
      <c r="K6" s="449">
        <v>7645.8638466797347</v>
      </c>
      <c r="L6" s="449">
        <v>8288.9484925949764</v>
      </c>
      <c r="M6" s="449">
        <v>8763.0003313180823</v>
      </c>
      <c r="N6" s="449">
        <v>9268.7851042882594</v>
      </c>
      <c r="O6" s="449">
        <v>9886.0116304720723</v>
      </c>
      <c r="P6" s="449">
        <v>11289.254326380484</v>
      </c>
      <c r="Q6" s="449">
        <v>12470.871569629569</v>
      </c>
      <c r="R6" s="449">
        <v>13084.680411466477</v>
      </c>
      <c r="S6" s="449">
        <v>14358.349031699508</v>
      </c>
      <c r="T6" s="449">
        <v>17062.062003562209</v>
      </c>
      <c r="U6" s="449">
        <v>18641.957033697352</v>
      </c>
      <c r="V6" s="449">
        <v>21826.689297131907</v>
      </c>
      <c r="W6" s="449">
        <v>24603.761161389764</v>
      </c>
      <c r="X6" s="449">
        <v>27558.431986778061</v>
      </c>
      <c r="Y6" s="449">
        <v>33712.440474031282</v>
      </c>
      <c r="Z6" s="449">
        <v>35484.360492667001</v>
      </c>
      <c r="AA6" s="449">
        <v>40496.455776118783</v>
      </c>
      <c r="AB6" s="449">
        <v>48489.308119809662</v>
      </c>
      <c r="AC6" s="449">
        <v>58240.737618364321</v>
      </c>
      <c r="AD6" s="449">
        <v>66834.003332573266</v>
      </c>
      <c r="AE6" s="449">
        <v>97545.290228862999</v>
      </c>
      <c r="AF6" s="449">
        <v>142283.25953229368</v>
      </c>
      <c r="AG6" s="449">
        <v>163885.04437667347</v>
      </c>
      <c r="AH6" s="449">
        <v>209569.42484926307</v>
      </c>
      <c r="AI6" s="449">
        <v>285846.10572990082</v>
      </c>
      <c r="AJ6" s="449">
        <v>365514.5722099737</v>
      </c>
      <c r="AK6" s="449">
        <v>479116.72588275751</v>
      </c>
      <c r="AL6" s="449">
        <v>662165.51888521598</v>
      </c>
      <c r="AM6" s="449">
        <v>780643.99468731333</v>
      </c>
      <c r="AN6" s="449">
        <v>962360.75501914532</v>
      </c>
      <c r="AO6" s="449">
        <v>1185829.6285878113</v>
      </c>
      <c r="AP6" s="449">
        <v>1321872.6432300042</v>
      </c>
      <c r="AQ6" s="449">
        <v>1626965.101848582</v>
      </c>
      <c r="AR6" s="449">
        <v>1973294.8680943449</v>
      </c>
      <c r="AS6" s="449">
        <v>2306778.682610481</v>
      </c>
      <c r="AT6" s="449">
        <v>2774589.4927879698</v>
      </c>
      <c r="AU6" s="449">
        <v>3432886.0347907422</v>
      </c>
      <c r="AV6" s="449">
        <v>3335452.6152527691</v>
      </c>
      <c r="AW6" s="449">
        <v>3541117.4695639764</v>
      </c>
      <c r="AX6" s="450">
        <v>3852451.9551275289</v>
      </c>
      <c r="AZ6" s="455"/>
    </row>
    <row r="7" spans="1:52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2" ht="13">
      <c r="A8" s="451" t="s">
        <v>750</v>
      </c>
      <c r="B8" s="449">
        <v>1117.4409552915763</v>
      </c>
      <c r="C8" s="449">
        <v>1228.4577807775379</v>
      </c>
      <c r="D8" s="449">
        <v>1349.8364821042887</v>
      </c>
      <c r="E8" s="449">
        <v>1414.0588099660597</v>
      </c>
      <c r="F8" s="449">
        <v>1463.9589518358532</v>
      </c>
      <c r="G8" s="449">
        <v>1519.1269168466522</v>
      </c>
      <c r="H8" s="449">
        <v>1645.2876637149025</v>
      </c>
      <c r="I8" s="449">
        <v>1686.7906734341252</v>
      </c>
      <c r="J8" s="449">
        <v>1770.4430615550752</v>
      </c>
      <c r="K8" s="449">
        <v>1898.3934224622024</v>
      </c>
      <c r="L8" s="449">
        <v>2027.1650958963289</v>
      </c>
      <c r="M8" s="449">
        <v>2289.3469755939523</v>
      </c>
      <c r="N8" s="449">
        <v>2568.9504267818575</v>
      </c>
      <c r="O8" s="449">
        <v>2651.5132000000008</v>
      </c>
      <c r="P8" s="449">
        <v>2851.8853000000004</v>
      </c>
      <c r="Q8" s="449">
        <v>3162.0547000000001</v>
      </c>
      <c r="R8" s="449">
        <v>3561.1574500000002</v>
      </c>
      <c r="S8" s="449">
        <v>3623.1557000000003</v>
      </c>
      <c r="T8" s="449">
        <v>4477.0702499999998</v>
      </c>
      <c r="U8" s="449">
        <v>4859.2567500000014</v>
      </c>
      <c r="V8" s="449">
        <v>5140.1665500000008</v>
      </c>
      <c r="W8" s="449">
        <v>5942.6280500000012</v>
      </c>
      <c r="X8" s="449">
        <v>7019.8896999999988</v>
      </c>
      <c r="Y8" s="449">
        <v>8524.0460999999996</v>
      </c>
      <c r="Z8" s="449">
        <v>8913.8243500000008</v>
      </c>
      <c r="AA8" s="449">
        <v>9991.8140000000003</v>
      </c>
      <c r="AB8" s="449">
        <v>12445.545750000001</v>
      </c>
      <c r="AC8" s="449">
        <v>15369.32</v>
      </c>
      <c r="AD8" s="449">
        <v>17127.872149999999</v>
      </c>
      <c r="AE8" s="449">
        <v>23471.131400000002</v>
      </c>
      <c r="AF8" s="449">
        <v>33416</v>
      </c>
      <c r="AG8" s="449">
        <v>42513</v>
      </c>
      <c r="AH8" s="449">
        <v>57414</v>
      </c>
      <c r="AI8" s="449">
        <v>74671</v>
      </c>
      <c r="AJ8" s="449">
        <v>105142</v>
      </c>
      <c r="AK8" s="449">
        <v>137352</v>
      </c>
      <c r="AL8" s="449">
        <v>195758</v>
      </c>
      <c r="AM8" s="449">
        <v>233062</v>
      </c>
      <c r="AN8" s="449">
        <v>297428</v>
      </c>
      <c r="AO8" s="449">
        <v>277751</v>
      </c>
      <c r="AP8" s="449">
        <v>289288</v>
      </c>
      <c r="AQ8" s="449">
        <v>423850</v>
      </c>
      <c r="AR8" s="449">
        <v>617454</v>
      </c>
      <c r="AS8" s="449">
        <v>733154</v>
      </c>
      <c r="AT8" s="449">
        <v>940501</v>
      </c>
      <c r="AU8" s="449">
        <v>1186636</v>
      </c>
      <c r="AV8" s="449">
        <v>1132433</v>
      </c>
      <c r="AW8" s="449">
        <v>1202672</v>
      </c>
      <c r="AX8" s="450">
        <v>1337598</v>
      </c>
      <c r="AY8" s="455"/>
      <c r="AZ8" s="456"/>
    </row>
    <row r="9" spans="1:52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7">
        <v>0</v>
      </c>
      <c r="U9" s="447">
        <v>0</v>
      </c>
      <c r="V9" s="447">
        <v>0</v>
      </c>
      <c r="W9" s="447">
        <v>0</v>
      </c>
      <c r="X9" s="447">
        <v>0</v>
      </c>
      <c r="Y9" s="447">
        <v>0</v>
      </c>
      <c r="Z9" s="447">
        <v>0</v>
      </c>
      <c r="AA9" s="447">
        <v>0</v>
      </c>
      <c r="AB9" s="447">
        <v>0</v>
      </c>
      <c r="AC9" s="447">
        <v>0</v>
      </c>
      <c r="AD9" s="447">
        <v>0</v>
      </c>
      <c r="AE9" s="447">
        <v>0</v>
      </c>
      <c r="AF9" s="447">
        <v>0</v>
      </c>
      <c r="AG9" s="447">
        <v>0</v>
      </c>
      <c r="AH9" s="447">
        <v>0</v>
      </c>
      <c r="AI9" s="447">
        <v>0</v>
      </c>
      <c r="AJ9" s="447">
        <v>0</v>
      </c>
      <c r="AK9" s="447">
        <v>0</v>
      </c>
      <c r="AL9" s="447">
        <v>0</v>
      </c>
      <c r="AM9" s="447">
        <v>0</v>
      </c>
      <c r="AN9" s="447">
        <v>0</v>
      </c>
      <c r="AO9" s="447">
        <v>2</v>
      </c>
      <c r="AP9" s="447">
        <v>2</v>
      </c>
      <c r="AQ9" s="447">
        <v>2</v>
      </c>
      <c r="AR9" s="447">
        <v>3</v>
      </c>
      <c r="AS9" s="447">
        <v>36</v>
      </c>
      <c r="AT9" s="447">
        <v>41</v>
      </c>
      <c r="AU9" s="447">
        <v>40</v>
      </c>
      <c r="AV9" s="447">
        <v>34</v>
      </c>
      <c r="AW9" s="447">
        <v>0</v>
      </c>
      <c r="AX9" s="448">
        <v>0</v>
      </c>
      <c r="AY9" s="455"/>
      <c r="AZ9" s="456"/>
    </row>
    <row r="10" spans="1:52" ht="13">
      <c r="A10" s="451" t="s">
        <v>752</v>
      </c>
      <c r="B10" s="449">
        <v>2712.1348447084224</v>
      </c>
      <c r="C10" s="449">
        <v>2747.5918192224617</v>
      </c>
      <c r="D10" s="449">
        <v>3202.3278178957112</v>
      </c>
      <c r="E10" s="449">
        <v>3265.2371900339404</v>
      </c>
      <c r="F10" s="449">
        <v>3620.0113481641479</v>
      </c>
      <c r="G10" s="449">
        <v>3838.6427831533474</v>
      </c>
      <c r="H10" s="449">
        <v>3749.2018362850968</v>
      </c>
      <c r="I10" s="449">
        <v>3883.7673265658755</v>
      </c>
      <c r="J10" s="449">
        <v>4075.4954384449247</v>
      </c>
      <c r="K10" s="449">
        <v>4535.024577537798</v>
      </c>
      <c r="L10" s="449">
        <v>4980.5884041036725</v>
      </c>
      <c r="M10" s="449">
        <v>5180.4315244060463</v>
      </c>
      <c r="N10" s="449">
        <v>5451.0225732181425</v>
      </c>
      <c r="O10" s="449">
        <v>5883.6842999999999</v>
      </c>
      <c r="P10" s="449">
        <v>6873.6051999999991</v>
      </c>
      <c r="Q10" s="449">
        <v>7323.1284144000001</v>
      </c>
      <c r="R10" s="449">
        <v>7632.5921751428559</v>
      </c>
      <c r="S10" s="449">
        <v>8412.6109266666645</v>
      </c>
      <c r="T10" s="449">
        <v>9922.5536999999986</v>
      </c>
      <c r="U10" s="449">
        <v>10986.279161764711</v>
      </c>
      <c r="V10" s="449">
        <v>13775.62506111111</v>
      </c>
      <c r="W10" s="449">
        <v>15319.213750000001</v>
      </c>
      <c r="X10" s="449">
        <v>16966.599799999996</v>
      </c>
      <c r="Y10" s="449">
        <v>20881.801800000001</v>
      </c>
      <c r="Z10" s="449">
        <v>22000.62905</v>
      </c>
      <c r="AA10" s="449">
        <v>24835.802500000002</v>
      </c>
      <c r="AB10" s="449">
        <v>29694.984250000001</v>
      </c>
      <c r="AC10" s="449">
        <v>36131.46100000001</v>
      </c>
      <c r="AD10" s="449">
        <v>41794.182349999995</v>
      </c>
      <c r="AE10" s="449">
        <v>60837.617600000005</v>
      </c>
      <c r="AF10" s="449">
        <v>80958</v>
      </c>
      <c r="AG10" s="449">
        <v>95801</v>
      </c>
      <c r="AH10" s="449">
        <v>118245</v>
      </c>
      <c r="AI10" s="449">
        <v>177625</v>
      </c>
      <c r="AJ10" s="449">
        <v>217692</v>
      </c>
      <c r="AK10" s="449">
        <v>280018</v>
      </c>
      <c r="AL10" s="449">
        <v>373469.06599999999</v>
      </c>
      <c r="AM10" s="449">
        <v>438234.9</v>
      </c>
      <c r="AN10" s="449">
        <v>554663</v>
      </c>
      <c r="AO10" s="449">
        <v>726138</v>
      </c>
      <c r="AP10" s="449">
        <v>787446</v>
      </c>
      <c r="AQ10" s="449">
        <v>940114</v>
      </c>
      <c r="AR10" s="449">
        <v>1041885</v>
      </c>
      <c r="AS10" s="449">
        <v>1215754</v>
      </c>
      <c r="AT10" s="449">
        <v>1388612</v>
      </c>
      <c r="AU10" s="449">
        <v>1652714</v>
      </c>
      <c r="AV10" s="449">
        <v>1637142</v>
      </c>
      <c r="AW10" s="449">
        <v>1847742</v>
      </c>
      <c r="AX10" s="450">
        <v>1969776</v>
      </c>
      <c r="AY10" s="455"/>
      <c r="AZ10" s="456"/>
    </row>
    <row r="11" spans="1:52" ht="13">
      <c r="A11" s="446" t="s">
        <v>753</v>
      </c>
      <c r="B11" s="449">
        <v>86.252490241319308</v>
      </c>
      <c r="C11" s="449">
        <v>123.28111675416663</v>
      </c>
      <c r="D11" s="449">
        <v>184.28147369472765</v>
      </c>
      <c r="E11" s="449">
        <v>193.51707860880086</v>
      </c>
      <c r="F11" s="449">
        <v>205.45167021630991</v>
      </c>
      <c r="G11" s="449">
        <v>273.68485922520188</v>
      </c>
      <c r="H11" s="449">
        <v>326.54021785672057</v>
      </c>
      <c r="I11" s="449">
        <v>340.32651762081088</v>
      </c>
      <c r="J11" s="449">
        <v>333.09804785917402</v>
      </c>
      <c r="K11" s="449">
        <v>417.7537305938169</v>
      </c>
      <c r="L11" s="449">
        <v>429.87760266928916</v>
      </c>
      <c r="M11" s="449">
        <v>423.76437083755201</v>
      </c>
      <c r="N11" s="449">
        <v>317.09822110130301</v>
      </c>
      <c r="O11" s="449">
        <v>327.82922110130306</v>
      </c>
      <c r="P11" s="449">
        <v>422.48575073560323</v>
      </c>
      <c r="Q11" s="449">
        <v>397.86199495586379</v>
      </c>
      <c r="R11" s="449">
        <v>438.2679949558638</v>
      </c>
      <c r="S11" s="449">
        <v>766.13434972677601</v>
      </c>
      <c r="T11" s="449">
        <v>722.9993497267759</v>
      </c>
      <c r="U11" s="449">
        <v>759.51334972677591</v>
      </c>
      <c r="V11" s="449">
        <v>1090.4183497267759</v>
      </c>
      <c r="W11" s="449">
        <v>1141.1111004623792</v>
      </c>
      <c r="X11" s="449">
        <v>947.37010046237924</v>
      </c>
      <c r="Y11" s="449">
        <v>1255.2591004623791</v>
      </c>
      <c r="Z11" s="449">
        <v>1175.8061004623792</v>
      </c>
      <c r="AA11" s="449">
        <v>1557.0060000000003</v>
      </c>
      <c r="AB11" s="449">
        <v>1689.1279999999999</v>
      </c>
      <c r="AC11" s="449">
        <v>1547.1689999999999</v>
      </c>
      <c r="AD11" s="449">
        <v>1078.8470000000002</v>
      </c>
      <c r="AE11" s="449">
        <v>4116.5286870499531</v>
      </c>
      <c r="AF11" s="449">
        <v>5005.2484999999997</v>
      </c>
      <c r="AG11" s="449">
        <v>8625.1959999999999</v>
      </c>
      <c r="AH11" s="449">
        <v>16994.3675</v>
      </c>
      <c r="AI11" s="449">
        <v>10786.242000000002</v>
      </c>
      <c r="AJ11" s="449">
        <v>15479.5795</v>
      </c>
      <c r="AK11" s="449">
        <v>24993.1715</v>
      </c>
      <c r="AL11" s="449">
        <v>45904.415269671808</v>
      </c>
      <c r="AM11" s="449">
        <v>51758.134308857407</v>
      </c>
      <c r="AN11" s="449">
        <v>42138.883499999996</v>
      </c>
      <c r="AO11" s="449">
        <v>60481</v>
      </c>
      <c r="AP11" s="449">
        <v>78946</v>
      </c>
      <c r="AQ11" s="449">
        <v>83695</v>
      </c>
      <c r="AR11" s="449">
        <v>81672</v>
      </c>
      <c r="AS11" s="449">
        <v>113039</v>
      </c>
      <c r="AT11" s="449">
        <v>156143</v>
      </c>
      <c r="AU11" s="449">
        <v>252912</v>
      </c>
      <c r="AV11" s="449">
        <v>156568</v>
      </c>
      <c r="AW11" s="449">
        <v>115069</v>
      </c>
      <c r="AX11" s="450">
        <v>160467</v>
      </c>
      <c r="AY11" s="455"/>
      <c r="AZ11" s="456"/>
    </row>
    <row r="12" spans="1:52" ht="13">
      <c r="A12" s="446" t="s">
        <v>754</v>
      </c>
      <c r="B12" s="449">
        <v>119.64752413520966</v>
      </c>
      <c r="C12" s="449">
        <v>123.17406196887224</v>
      </c>
      <c r="D12" s="449">
        <v>125.2030785444106</v>
      </c>
      <c r="E12" s="449">
        <v>124.14803568575333</v>
      </c>
      <c r="F12" s="449">
        <v>131.62359266522321</v>
      </c>
      <c r="G12" s="449">
        <v>134.79184126928786</v>
      </c>
      <c r="H12" s="449">
        <v>135.65575167771632</v>
      </c>
      <c r="I12" s="449">
        <v>136.60471060135967</v>
      </c>
      <c r="J12" s="449">
        <v>142.25561782159167</v>
      </c>
      <c r="K12" s="449">
        <v>151.77824322551794</v>
      </c>
      <c r="L12" s="449">
        <v>162.55999577582247</v>
      </c>
      <c r="M12" s="449">
        <v>175.56579943974057</v>
      </c>
      <c r="N12" s="449">
        <v>187.05771880359001</v>
      </c>
      <c r="O12" s="449">
        <v>202.81867042993019</v>
      </c>
      <c r="P12" s="449">
        <v>223.64441428575651</v>
      </c>
      <c r="Q12" s="449">
        <v>244.20588118486219</v>
      </c>
      <c r="R12" s="449">
        <v>263.18213186890301</v>
      </c>
      <c r="S12" s="449">
        <v>284.91378896108091</v>
      </c>
      <c r="T12" s="449">
        <v>312.52193036218347</v>
      </c>
      <c r="U12" s="449">
        <v>347.46573046169925</v>
      </c>
      <c r="V12" s="449">
        <v>416.69957366627727</v>
      </c>
      <c r="W12" s="449">
        <v>469.80285844709425</v>
      </c>
      <c r="X12" s="449">
        <v>533.06379052699708</v>
      </c>
      <c r="Y12" s="449">
        <v>601.79153788773215</v>
      </c>
      <c r="Z12" s="449">
        <v>725.65116032656442</v>
      </c>
      <c r="AA12" s="449">
        <v>902.8211702364963</v>
      </c>
      <c r="AB12" s="449">
        <v>1064.6389468314092</v>
      </c>
      <c r="AC12" s="449">
        <v>1394.1686600082526</v>
      </c>
      <c r="AD12" s="449">
        <v>1815.6408634894269</v>
      </c>
      <c r="AE12" s="449">
        <v>2259.0877106629673</v>
      </c>
      <c r="AF12" s="449">
        <v>3184.6380322936679</v>
      </c>
      <c r="AG12" s="449">
        <v>4385.2833766734739</v>
      </c>
      <c r="AH12" s="449">
        <v>6049.0473492630672</v>
      </c>
      <c r="AI12" s="449">
        <v>8207.9407299008126</v>
      </c>
      <c r="AJ12" s="449">
        <v>11066.186709973683</v>
      </c>
      <c r="AK12" s="449">
        <v>14495.516382757487</v>
      </c>
      <c r="AL12" s="449">
        <v>19075.87961554416</v>
      </c>
      <c r="AM12" s="449">
        <v>23607.30337845593</v>
      </c>
      <c r="AN12" s="449">
        <v>28419.492519145362</v>
      </c>
      <c r="AO12" s="449">
        <v>33457.528587811044</v>
      </c>
      <c r="AP12" s="449">
        <v>37783.543230004099</v>
      </c>
      <c r="AQ12" s="449">
        <v>44281.101848582082</v>
      </c>
      <c r="AR12" s="449">
        <v>50591.868094344834</v>
      </c>
      <c r="AS12" s="449">
        <v>57786.682610481177</v>
      </c>
      <c r="AT12" s="449">
        <v>65548.492787969968</v>
      </c>
      <c r="AU12" s="449">
        <v>71520.034790742066</v>
      </c>
      <c r="AV12" s="449">
        <v>79798.615252769028</v>
      </c>
      <c r="AW12" s="449">
        <v>89046.469563976236</v>
      </c>
      <c r="AX12" s="450">
        <v>96692.955127528679</v>
      </c>
      <c r="AY12" s="455"/>
      <c r="AZ12" s="456"/>
    </row>
    <row r="13" spans="1:52" ht="13">
      <c r="A13" s="451" t="s">
        <v>755</v>
      </c>
      <c r="B13" s="449">
        <v>422.088866968834</v>
      </c>
      <c r="C13" s="449">
        <v>427.9193250295682</v>
      </c>
      <c r="D13" s="449">
        <v>474.25269700932779</v>
      </c>
      <c r="E13" s="449">
        <v>506.67051691481197</v>
      </c>
      <c r="F13" s="449">
        <v>514.55692577759078</v>
      </c>
      <c r="G13" s="449">
        <v>550.77963082346128</v>
      </c>
      <c r="H13" s="449">
        <v>573.93546354536261</v>
      </c>
      <c r="I13" s="449">
        <v>589.03592006942733</v>
      </c>
      <c r="J13" s="449">
        <v>627.42477913043717</v>
      </c>
      <c r="K13" s="449">
        <v>642.91387286039981</v>
      </c>
      <c r="L13" s="449">
        <v>688.75739414986401</v>
      </c>
      <c r="M13" s="449">
        <v>693.8916610407905</v>
      </c>
      <c r="N13" s="449">
        <v>744.65616438336735</v>
      </c>
      <c r="O13" s="449">
        <v>820.16623894083921</v>
      </c>
      <c r="P13" s="449">
        <v>917.63366135912554</v>
      </c>
      <c r="Q13" s="449">
        <v>1343.620579088843</v>
      </c>
      <c r="R13" s="449">
        <v>1189.4806594988522</v>
      </c>
      <c r="S13" s="449">
        <v>1271.5342663449892</v>
      </c>
      <c r="T13" s="449">
        <v>1626.9167734732514</v>
      </c>
      <c r="U13" s="449">
        <v>1689.4420417441663</v>
      </c>
      <c r="V13" s="449">
        <v>1403.7797626277418</v>
      </c>
      <c r="W13" s="449">
        <v>1731.0054024802891</v>
      </c>
      <c r="X13" s="449">
        <v>2091.5085957886886</v>
      </c>
      <c r="Y13" s="449">
        <v>2449.5419356811722</v>
      </c>
      <c r="Z13" s="449">
        <v>2668.4498318780584</v>
      </c>
      <c r="AA13" s="449">
        <v>3209.0121058822833</v>
      </c>
      <c r="AB13" s="449">
        <v>3595.0111729782575</v>
      </c>
      <c r="AC13" s="449">
        <v>3798.6189583560517</v>
      </c>
      <c r="AD13" s="449">
        <v>5017.4609690838461</v>
      </c>
      <c r="AE13" s="449">
        <v>6860.9248311500705</v>
      </c>
      <c r="AF13" s="449">
        <v>19719.373</v>
      </c>
      <c r="AG13" s="449">
        <v>12560.565000000002</v>
      </c>
      <c r="AH13" s="449">
        <v>10867.01</v>
      </c>
      <c r="AI13" s="449">
        <v>14555.92300000001</v>
      </c>
      <c r="AJ13" s="449">
        <v>16134.806000000011</v>
      </c>
      <c r="AK13" s="449">
        <v>22258.038</v>
      </c>
      <c r="AL13" s="449">
        <v>27958.158000000025</v>
      </c>
      <c r="AM13" s="449">
        <v>33981.657000000007</v>
      </c>
      <c r="AN13" s="449">
        <v>39711.379000000015</v>
      </c>
      <c r="AO13" s="449">
        <v>88000.1</v>
      </c>
      <c r="AP13" s="449">
        <v>128407.1</v>
      </c>
      <c r="AQ13" s="449">
        <v>135023</v>
      </c>
      <c r="AR13" s="449">
        <v>181689</v>
      </c>
      <c r="AS13" s="449">
        <v>187009</v>
      </c>
      <c r="AT13" s="449">
        <v>223744</v>
      </c>
      <c r="AU13" s="449">
        <v>269064</v>
      </c>
      <c r="AV13" s="447">
        <v>329477</v>
      </c>
      <c r="AW13" s="449">
        <v>286588</v>
      </c>
      <c r="AX13" s="448">
        <v>287918</v>
      </c>
      <c r="AY13" s="455"/>
      <c r="AZ13" s="456"/>
    </row>
    <row r="14" spans="1:52" ht="13">
      <c r="A14" s="457" t="s">
        <v>770</v>
      </c>
      <c r="B14" s="458">
        <v>11.369999999999948</v>
      </c>
      <c r="C14" s="458">
        <v>13.152999999999963</v>
      </c>
      <c r="D14" s="458">
        <v>15.01400000000001</v>
      </c>
      <c r="E14" s="458">
        <v>16.916900000000112</v>
      </c>
      <c r="F14" s="458">
        <v>18.504999999999999</v>
      </c>
      <c r="G14" s="458">
        <v>21.37299999999999</v>
      </c>
      <c r="H14" s="458">
        <v>22.77699999999993</v>
      </c>
      <c r="I14" s="458">
        <v>21.831999999999994</v>
      </c>
      <c r="J14" s="458">
        <v>21.499000000000024</v>
      </c>
      <c r="K14" s="458">
        <v>19.626999999999953</v>
      </c>
      <c r="L14" s="458">
        <v>21.999999999999886</v>
      </c>
      <c r="M14" s="458">
        <v>13.282000000000153</v>
      </c>
      <c r="N14" s="458">
        <v>21.17</v>
      </c>
      <c r="O14" s="458">
        <v>35.17</v>
      </c>
      <c r="P14" s="458">
        <v>37.532900000000154</v>
      </c>
      <c r="Q14" s="458">
        <v>29.299999999999727</v>
      </c>
      <c r="R14" s="458">
        <v>33.679000000000087</v>
      </c>
      <c r="S14" s="458">
        <v>36.838000000000193</v>
      </c>
      <c r="T14" s="458">
        <v>47.667000000000144</v>
      </c>
      <c r="U14" s="458">
        <v>65.942999999999984</v>
      </c>
      <c r="V14" s="458">
        <v>69.253999999999905</v>
      </c>
      <c r="W14" s="458">
        <v>183.31200000000013</v>
      </c>
      <c r="X14" s="458">
        <v>450.90700000000015</v>
      </c>
      <c r="Y14" s="458">
        <v>580.12699999999995</v>
      </c>
      <c r="Z14" s="458">
        <v>578.42800000000034</v>
      </c>
      <c r="AA14" s="458">
        <v>778.48700000000008</v>
      </c>
      <c r="AB14" s="458">
        <v>453.59199999999964</v>
      </c>
      <c r="AC14" s="458">
        <v>391.93800000000101</v>
      </c>
      <c r="AD14" s="458">
        <v>1471.84</v>
      </c>
      <c r="AE14" s="458">
        <v>2096.5420000000013</v>
      </c>
      <c r="AF14" s="458">
        <v>12166.296000000002</v>
      </c>
      <c r="AG14" s="458">
        <v>4987.3999999999996</v>
      </c>
      <c r="AH14" s="458">
        <v>1642.2180000000008</v>
      </c>
      <c r="AI14" s="458">
        <v>2330.038000000015</v>
      </c>
      <c r="AJ14" s="458">
        <v>1184.7670000000071</v>
      </c>
      <c r="AK14" s="458">
        <v>1819.6309999999939</v>
      </c>
      <c r="AL14" s="458">
        <v>2693.5170000000071</v>
      </c>
      <c r="AM14" s="458">
        <v>2974.6309999999939</v>
      </c>
      <c r="AN14" s="458">
        <v>3171.747000000003</v>
      </c>
      <c r="AO14" s="458">
        <v>14284</v>
      </c>
      <c r="AP14" s="458">
        <v>42228</v>
      </c>
      <c r="AQ14" s="458">
        <v>38373</v>
      </c>
      <c r="AR14" s="458">
        <v>64142</v>
      </c>
      <c r="AS14" s="458">
        <v>69943</v>
      </c>
      <c r="AT14" s="458">
        <v>80364</v>
      </c>
      <c r="AU14" s="458">
        <v>95703</v>
      </c>
      <c r="AV14" s="458">
        <v>107372</v>
      </c>
      <c r="AW14" s="458">
        <v>91008</v>
      </c>
      <c r="AX14" s="459">
        <v>104038</v>
      </c>
      <c r="AY14" s="455"/>
      <c r="AZ14" s="456"/>
    </row>
    <row r="15" spans="1:52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8"/>
      <c r="AY15" s="455"/>
      <c r="AZ15" s="456"/>
    </row>
    <row r="16" spans="1:52" ht="13">
      <c r="A16" s="446" t="s">
        <v>756</v>
      </c>
      <c r="B16" s="449">
        <v>267.85400000000004</v>
      </c>
      <c r="C16" s="449">
        <v>323.33399999999995</v>
      </c>
      <c r="D16" s="449">
        <v>260.69499999999999</v>
      </c>
      <c r="E16" s="449">
        <v>987.69199999999978</v>
      </c>
      <c r="F16" s="449">
        <v>333.76200000000006</v>
      </c>
      <c r="G16" s="449">
        <v>387.995</v>
      </c>
      <c r="H16" s="449">
        <v>328.59199999999998</v>
      </c>
      <c r="I16" s="449">
        <v>386.96199999999999</v>
      </c>
      <c r="J16" s="449">
        <v>449.05200000000002</v>
      </c>
      <c r="K16" s="449">
        <v>424.14700000000005</v>
      </c>
      <c r="L16" s="449">
        <v>408.81</v>
      </c>
      <c r="M16" s="449">
        <v>452.23900000000003</v>
      </c>
      <c r="N16" s="449">
        <v>456.84400000000005</v>
      </c>
      <c r="O16" s="449">
        <v>509.48700000000002</v>
      </c>
      <c r="P16" s="449">
        <v>512.62099999999987</v>
      </c>
      <c r="Q16" s="449">
        <v>537.28</v>
      </c>
      <c r="R16" s="449">
        <v>613.37</v>
      </c>
      <c r="S16" s="449">
        <v>584.02800000000002</v>
      </c>
      <c r="T16" s="449">
        <v>580.49</v>
      </c>
      <c r="U16" s="449">
        <v>712.41099999999994</v>
      </c>
      <c r="V16" s="449">
        <v>705.4319999999999</v>
      </c>
      <c r="W16" s="449">
        <v>651.8929999999998</v>
      </c>
      <c r="X16" s="449">
        <v>679.09899999999993</v>
      </c>
      <c r="Y16" s="449">
        <v>924.255</v>
      </c>
      <c r="Z16" s="449">
        <v>964.05499999999995</v>
      </c>
      <c r="AA16" s="449">
        <v>922.49</v>
      </c>
      <c r="AB16" s="449">
        <v>978.55600000000027</v>
      </c>
      <c r="AC16" s="449">
        <v>1244.3630000000007</v>
      </c>
      <c r="AD16" s="449">
        <v>1016.7739999999994</v>
      </c>
      <c r="AE16" s="449">
        <v>752.63900000000012</v>
      </c>
      <c r="AF16" s="460">
        <v>868.24</v>
      </c>
      <c r="AG16" s="460">
        <v>902.51699999999983</v>
      </c>
      <c r="AH16" s="447">
        <v>777.08</v>
      </c>
      <c r="AI16" s="447">
        <v>2187.5589999999993</v>
      </c>
      <c r="AJ16" s="447">
        <v>1649</v>
      </c>
      <c r="AK16" s="447">
        <v>1896</v>
      </c>
      <c r="AL16" s="447">
        <v>6240.7020000000011</v>
      </c>
      <c r="AM16" s="447">
        <v>11288.548999999999</v>
      </c>
      <c r="AN16" s="447">
        <v>12099.262000000002</v>
      </c>
      <c r="AO16" s="447">
        <v>32859</v>
      </c>
      <c r="AP16" s="447">
        <v>27161</v>
      </c>
      <c r="AQ16" s="447">
        <v>33672</v>
      </c>
      <c r="AR16" s="447">
        <v>70734</v>
      </c>
      <c r="AS16" s="447">
        <v>111408</v>
      </c>
      <c r="AT16" s="447">
        <v>137965</v>
      </c>
      <c r="AU16" s="447">
        <v>189187</v>
      </c>
      <c r="AV16" s="447">
        <v>187172</v>
      </c>
      <c r="AW16" s="447">
        <v>198786</v>
      </c>
      <c r="AX16" s="448">
        <v>233904</v>
      </c>
      <c r="AY16" s="455"/>
      <c r="AZ16" s="456"/>
    </row>
    <row r="17" spans="1:53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8"/>
      <c r="AY17" s="455"/>
      <c r="AZ17" s="456"/>
    </row>
    <row r="18" spans="1:53" ht="13">
      <c r="A18" s="446" t="s">
        <v>757</v>
      </c>
      <c r="B18" s="449">
        <v>267.85400000000004</v>
      </c>
      <c r="C18" s="449">
        <v>323.33399999999995</v>
      </c>
      <c r="D18" s="449">
        <v>260.69499999999999</v>
      </c>
      <c r="E18" s="449">
        <v>987.69199999999978</v>
      </c>
      <c r="F18" s="449">
        <v>333.76200000000006</v>
      </c>
      <c r="G18" s="449">
        <v>387.995</v>
      </c>
      <c r="H18" s="449">
        <v>328.59199999999998</v>
      </c>
      <c r="I18" s="449">
        <v>386.96199999999999</v>
      </c>
      <c r="J18" s="449">
        <v>449.05200000000002</v>
      </c>
      <c r="K18" s="449">
        <v>424.14700000000005</v>
      </c>
      <c r="L18" s="449">
        <v>408.81</v>
      </c>
      <c r="M18" s="449">
        <v>452.23900000000003</v>
      </c>
      <c r="N18" s="449">
        <v>456.84400000000005</v>
      </c>
      <c r="O18" s="449">
        <v>509.48700000000002</v>
      </c>
      <c r="P18" s="449">
        <v>512.62099999999987</v>
      </c>
      <c r="Q18" s="449">
        <v>537.28</v>
      </c>
      <c r="R18" s="449">
        <v>613.37</v>
      </c>
      <c r="S18" s="449">
        <v>584.02800000000002</v>
      </c>
      <c r="T18" s="449">
        <v>580.49</v>
      </c>
      <c r="U18" s="449">
        <v>712.41099999999994</v>
      </c>
      <c r="V18" s="449">
        <v>705.4319999999999</v>
      </c>
      <c r="W18" s="449">
        <v>651.8929999999998</v>
      </c>
      <c r="X18" s="449">
        <v>679.09899999999993</v>
      </c>
      <c r="Y18" s="449">
        <v>924.255</v>
      </c>
      <c r="Z18" s="449">
        <v>964.05499999999995</v>
      </c>
      <c r="AA18" s="449">
        <v>922.49</v>
      </c>
      <c r="AB18" s="449">
        <v>978.55600000000027</v>
      </c>
      <c r="AC18" s="449">
        <v>1244.3630000000007</v>
      </c>
      <c r="AD18" s="449">
        <v>1016.7739999999994</v>
      </c>
      <c r="AE18" s="449">
        <v>752.63900000000012</v>
      </c>
      <c r="AF18" s="449">
        <v>868.24</v>
      </c>
      <c r="AG18" s="449">
        <v>902.51699999999983</v>
      </c>
      <c r="AH18" s="449">
        <v>777.08</v>
      </c>
      <c r="AI18" s="449">
        <v>2187.5589999999993</v>
      </c>
      <c r="AJ18" s="449">
        <v>1649</v>
      </c>
      <c r="AK18" s="449">
        <v>1896</v>
      </c>
      <c r="AL18" s="449">
        <v>6240.7020000000011</v>
      </c>
      <c r="AM18" s="449">
        <v>11288.548999999999</v>
      </c>
      <c r="AN18" s="449">
        <v>12099.262000000002</v>
      </c>
      <c r="AO18" s="449">
        <v>32859</v>
      </c>
      <c r="AP18" s="449">
        <v>27161</v>
      </c>
      <c r="AQ18" s="449">
        <v>33672</v>
      </c>
      <c r="AR18" s="449">
        <v>70734</v>
      </c>
      <c r="AS18" s="449">
        <v>111408</v>
      </c>
      <c r="AT18" s="449">
        <v>137965</v>
      </c>
      <c r="AU18" s="449">
        <v>189187</v>
      </c>
      <c r="AV18" s="449">
        <v>187172</v>
      </c>
      <c r="AW18" s="449">
        <v>198786</v>
      </c>
      <c r="AX18" s="450">
        <v>233904</v>
      </c>
      <c r="AY18" s="455"/>
      <c r="AZ18" s="456"/>
    </row>
    <row r="19" spans="1:53" ht="13">
      <c r="A19" s="457" t="s">
        <v>770</v>
      </c>
      <c r="B19" s="449">
        <v>2.8421709430404007E-14</v>
      </c>
      <c r="C19" s="449">
        <v>0</v>
      </c>
      <c r="D19" s="449">
        <v>2.8421709430404007E-14</v>
      </c>
      <c r="E19" s="449">
        <v>-2.8421709430404007E-14</v>
      </c>
      <c r="F19" s="449">
        <v>0.17900000000003047</v>
      </c>
      <c r="G19" s="449">
        <v>0.21200000000001751</v>
      </c>
      <c r="H19" s="449">
        <v>0.25900000000001455</v>
      </c>
      <c r="I19" s="449">
        <v>0</v>
      </c>
      <c r="J19" s="449">
        <v>7.00000000000216E-2</v>
      </c>
      <c r="K19" s="449">
        <v>-2.8421709430404007E-14</v>
      </c>
      <c r="L19" s="449">
        <v>2.9999999999972715E-2</v>
      </c>
      <c r="M19" s="449">
        <v>9.9999999999909051E-3</v>
      </c>
      <c r="N19" s="449">
        <v>0</v>
      </c>
      <c r="O19" s="449">
        <v>1</v>
      </c>
      <c r="P19" s="449">
        <v>0</v>
      </c>
      <c r="Q19" s="449">
        <v>2</v>
      </c>
      <c r="R19" s="449">
        <v>0</v>
      </c>
      <c r="S19" s="449">
        <v>2</v>
      </c>
      <c r="T19" s="449">
        <v>1</v>
      </c>
      <c r="U19" s="449">
        <v>0</v>
      </c>
      <c r="V19" s="449">
        <v>0</v>
      </c>
      <c r="W19" s="449">
        <v>-2.2737367544323206E-13</v>
      </c>
      <c r="X19" s="449">
        <v>-2.2737367544323206E-13</v>
      </c>
      <c r="Y19" s="449">
        <v>-2.2737367544323206E-13</v>
      </c>
      <c r="Z19" s="449">
        <v>-2.2737367544323206E-13</v>
      </c>
      <c r="AA19" s="449">
        <v>1</v>
      </c>
      <c r="AB19" s="449">
        <v>4</v>
      </c>
      <c r="AC19" s="449">
        <v>1</v>
      </c>
      <c r="AD19" s="449">
        <v>0.99999999999909051</v>
      </c>
      <c r="AE19" s="449">
        <v>2</v>
      </c>
      <c r="AF19" s="449">
        <v>6.172999999998865</v>
      </c>
      <c r="AG19" s="449">
        <v>26.009000000000015</v>
      </c>
      <c r="AH19" s="449">
        <v>0</v>
      </c>
      <c r="AI19" s="449">
        <v>14</v>
      </c>
      <c r="AJ19" s="449">
        <v>137</v>
      </c>
      <c r="AK19" s="449">
        <v>188</v>
      </c>
      <c r="AL19" s="449">
        <v>39</v>
      </c>
      <c r="AM19" s="449">
        <v>50</v>
      </c>
      <c r="AN19" s="449">
        <v>23</v>
      </c>
      <c r="AO19" s="447">
        <v>4696</v>
      </c>
      <c r="AP19" s="447">
        <v>2237</v>
      </c>
      <c r="AQ19" s="447">
        <v>389</v>
      </c>
      <c r="AR19" s="447">
        <v>316</v>
      </c>
      <c r="AS19" s="447">
        <v>68</v>
      </c>
      <c r="AT19" s="447">
        <v>140</v>
      </c>
      <c r="AU19" s="447">
        <v>53</v>
      </c>
      <c r="AV19" s="447">
        <v>8497</v>
      </c>
      <c r="AW19" s="447">
        <v>7343</v>
      </c>
      <c r="AX19" s="448">
        <v>7079</v>
      </c>
      <c r="AY19" s="455"/>
      <c r="AZ19" s="456"/>
    </row>
    <row r="20" spans="1:53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  <c r="AY20" s="455"/>
      <c r="AZ20" s="456"/>
    </row>
    <row r="21" spans="1:53" ht="13">
      <c r="A21" s="446" t="s">
        <v>758</v>
      </c>
      <c r="B21" s="449">
        <v>4725.4186813453616</v>
      </c>
      <c r="C21" s="449">
        <v>4973.758103752607</v>
      </c>
      <c r="D21" s="449">
        <v>5596.5965492484656</v>
      </c>
      <c r="E21" s="449">
        <v>6491.3236312093668</v>
      </c>
      <c r="F21" s="449">
        <v>6269.3644886591246</v>
      </c>
      <c r="G21" s="449">
        <v>6705.0210313179505</v>
      </c>
      <c r="H21" s="449">
        <v>6759.2129330797989</v>
      </c>
      <c r="I21" s="449">
        <v>7023.4871482915987</v>
      </c>
      <c r="J21" s="449">
        <v>7397.7689448112023</v>
      </c>
      <c r="K21" s="449">
        <v>8070.0108466797346</v>
      </c>
      <c r="L21" s="449">
        <v>8697.7584925949759</v>
      </c>
      <c r="M21" s="449">
        <v>9215.2393313180819</v>
      </c>
      <c r="N21" s="449">
        <v>9725.6291042882585</v>
      </c>
      <c r="O21" s="449">
        <v>10395.498630472071</v>
      </c>
      <c r="P21" s="449">
        <v>11801.875326380483</v>
      </c>
      <c r="Q21" s="449">
        <v>13008.15156962957</v>
      </c>
      <c r="R21" s="449">
        <v>13698.050411466476</v>
      </c>
      <c r="S21" s="449">
        <v>14942.377031699509</v>
      </c>
      <c r="T21" s="449">
        <v>17642.55200356221</v>
      </c>
      <c r="U21" s="449">
        <v>19354.368033697352</v>
      </c>
      <c r="V21" s="449">
        <v>22532.121297131907</v>
      </c>
      <c r="W21" s="449">
        <v>25255.654161389764</v>
      </c>
      <c r="X21" s="449">
        <v>28237.53098677806</v>
      </c>
      <c r="Y21" s="449">
        <v>34636.695474031279</v>
      </c>
      <c r="Z21" s="449">
        <v>36448.415492667002</v>
      </c>
      <c r="AA21" s="449">
        <v>41418.94577611878</v>
      </c>
      <c r="AB21" s="449">
        <v>49467.864119809659</v>
      </c>
      <c r="AC21" s="449">
        <v>59485.100618364319</v>
      </c>
      <c r="AD21" s="449">
        <v>67850.777332573271</v>
      </c>
      <c r="AE21" s="449">
        <v>98297.929228862995</v>
      </c>
      <c r="AF21" s="449">
        <v>143151.49953229367</v>
      </c>
      <c r="AG21" s="449">
        <v>164787.56137667346</v>
      </c>
      <c r="AH21" s="449">
        <v>210346.50484926306</v>
      </c>
      <c r="AI21" s="449">
        <v>288033.66472990083</v>
      </c>
      <c r="AJ21" s="449">
        <v>367163.5722099737</v>
      </c>
      <c r="AK21" s="449">
        <v>481012.72588275751</v>
      </c>
      <c r="AL21" s="449">
        <v>668406.22088521603</v>
      </c>
      <c r="AM21" s="449">
        <v>791932.54368731333</v>
      </c>
      <c r="AN21" s="449">
        <v>974460.01701914531</v>
      </c>
      <c r="AO21" s="449">
        <v>1218688.6285878113</v>
      </c>
      <c r="AP21" s="449">
        <v>1349033.6432300042</v>
      </c>
      <c r="AQ21" s="449">
        <v>1660637.101848582</v>
      </c>
      <c r="AR21" s="449">
        <v>2044028.8680943449</v>
      </c>
      <c r="AS21" s="449">
        <v>2418186.682610481</v>
      </c>
      <c r="AT21" s="449">
        <v>2912554.4927879698</v>
      </c>
      <c r="AU21" s="449">
        <v>3622073.0347907422</v>
      </c>
      <c r="AV21" s="449">
        <v>3522624.6152527691</v>
      </c>
      <c r="AW21" s="449">
        <v>3739903.4695639764</v>
      </c>
      <c r="AX21" s="450">
        <v>4086355.9551275289</v>
      </c>
      <c r="AY21" s="455"/>
      <c r="AZ21" s="456"/>
    </row>
    <row r="22" spans="1:53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  <c r="AY22" s="455"/>
      <c r="AZ22" s="456"/>
    </row>
    <row r="23" spans="1:53" ht="13">
      <c r="A23" s="446" t="s">
        <v>759</v>
      </c>
      <c r="B23" s="449">
        <v>4260.4164162508805</v>
      </c>
      <c r="C23" s="449">
        <v>4351.8136433309419</v>
      </c>
      <c r="D23" s="449">
        <v>5190.3608609054227</v>
      </c>
      <c r="E23" s="449">
        <v>4715.0183245976787</v>
      </c>
      <c r="F23" s="449">
        <v>5148.7363923631838</v>
      </c>
      <c r="G23" s="449">
        <v>5293.2360469088717</v>
      </c>
      <c r="H23" s="449">
        <v>5623.012028668184</v>
      </c>
      <c r="I23" s="449">
        <v>6252.1704956157437</v>
      </c>
      <c r="J23" s="449">
        <v>6299.9332835216546</v>
      </c>
      <c r="K23" s="449">
        <v>6588.4778630650635</v>
      </c>
      <c r="L23" s="449">
        <v>7176.865049291504</v>
      </c>
      <c r="M23" s="449">
        <v>7553.5020988627484</v>
      </c>
      <c r="N23" s="449">
        <v>8154.5203119690113</v>
      </c>
      <c r="O23" s="449">
        <v>8734.8188550352643</v>
      </c>
      <c r="P23" s="449">
        <v>11299.81907243079</v>
      </c>
      <c r="Q23" s="449">
        <v>12125.354324754118</v>
      </c>
      <c r="R23" s="449">
        <v>12577.858453426255</v>
      </c>
      <c r="S23" s="449">
        <v>13545.292460188517</v>
      </c>
      <c r="T23" s="449">
        <v>15266.113563752575</v>
      </c>
      <c r="U23" s="449">
        <v>16633.888108727864</v>
      </c>
      <c r="V23" s="449">
        <v>19606.668551452414</v>
      </c>
      <c r="W23" s="449">
        <v>21906.980045842891</v>
      </c>
      <c r="X23" s="449">
        <v>23329.565939828481</v>
      </c>
      <c r="Y23" s="449">
        <v>28293.281565484751</v>
      </c>
      <c r="Z23" s="449">
        <v>30731.19456641587</v>
      </c>
      <c r="AA23" s="449">
        <v>34791.126521544371</v>
      </c>
      <c r="AB23" s="449">
        <v>39132.789374566659</v>
      </c>
      <c r="AC23" s="449">
        <v>55923.789844159168</v>
      </c>
      <c r="AD23" s="449">
        <v>75465.129151220841</v>
      </c>
      <c r="AE23" s="449">
        <v>107102.18227757279</v>
      </c>
      <c r="AF23" s="449">
        <v>146163.19002387859</v>
      </c>
      <c r="AG23" s="449">
        <v>189772.69748984787</v>
      </c>
      <c r="AH23" s="449">
        <v>240037.16807474717</v>
      </c>
      <c r="AI23" s="449">
        <v>345222.94433125568</v>
      </c>
      <c r="AJ23" s="449">
        <v>485939.45278946985</v>
      </c>
      <c r="AK23" s="449">
        <v>544513.64888112643</v>
      </c>
      <c r="AL23" s="449">
        <v>730718.93031594553</v>
      </c>
      <c r="AM23" s="449">
        <v>1037264.734958755</v>
      </c>
      <c r="AN23" s="449">
        <v>1254226.0128972854</v>
      </c>
      <c r="AO23" s="449">
        <v>1359290.4285878111</v>
      </c>
      <c r="AP23" s="449">
        <v>1502674.443230004</v>
      </c>
      <c r="AQ23" s="449">
        <v>1696705.4018485821</v>
      </c>
      <c r="AR23" s="449">
        <v>1970053.1680943449</v>
      </c>
      <c r="AS23" s="449">
        <v>2482247.7826104811</v>
      </c>
      <c r="AT23" s="449">
        <v>3093521.19278797</v>
      </c>
      <c r="AU23" s="449">
        <v>3422894.1347907423</v>
      </c>
      <c r="AV23" s="449">
        <v>3722366.3152527688</v>
      </c>
      <c r="AW23" s="449">
        <v>3959298.569563976</v>
      </c>
      <c r="AX23" s="450">
        <v>4239856.2551275287</v>
      </c>
      <c r="AY23" s="455"/>
      <c r="AZ23" s="456"/>
    </row>
    <row r="24" spans="1:53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8"/>
      <c r="AY24" s="455"/>
      <c r="AZ24" s="456"/>
    </row>
    <row r="25" spans="1:53" ht="13">
      <c r="A25" s="446" t="s">
        <v>760</v>
      </c>
      <c r="B25" s="449">
        <v>3324.9168613448846</v>
      </c>
      <c r="C25" s="449">
        <v>3428.0539228359125</v>
      </c>
      <c r="D25" s="449">
        <v>3757.7148849718242</v>
      </c>
      <c r="E25" s="449">
        <v>3664.6903542094374</v>
      </c>
      <c r="F25" s="449">
        <v>3754.6633837133782</v>
      </c>
      <c r="G25" s="449">
        <v>3719.1764498922571</v>
      </c>
      <c r="H25" s="449">
        <v>4271.2595050592363</v>
      </c>
      <c r="I25" s="449">
        <v>4930.390906540938</v>
      </c>
      <c r="J25" s="449">
        <v>5051.5219442865409</v>
      </c>
      <c r="K25" s="449">
        <v>5061.6214984166063</v>
      </c>
      <c r="L25" s="449">
        <v>5375.8817107373325</v>
      </c>
      <c r="M25" s="449">
        <v>5597.3586028300306</v>
      </c>
      <c r="N25" s="449">
        <v>6295.112066360789</v>
      </c>
      <c r="O25" s="449">
        <v>6834.2234112461538</v>
      </c>
      <c r="P25" s="449">
        <v>8927.3366910037294</v>
      </c>
      <c r="Q25" s="449">
        <v>9800.4226945471801</v>
      </c>
      <c r="R25" s="449">
        <v>10140.368911481606</v>
      </c>
      <c r="S25" s="449">
        <v>10970.237025688153</v>
      </c>
      <c r="T25" s="449">
        <v>11970.584497382755</v>
      </c>
      <c r="U25" s="449">
        <v>13207.75960647413</v>
      </c>
      <c r="V25" s="449">
        <v>15855.096589017083</v>
      </c>
      <c r="W25" s="449">
        <v>17388.821182108783</v>
      </c>
      <c r="X25" s="449">
        <v>18935.539178289004</v>
      </c>
      <c r="Y25" s="449">
        <v>22570.39003960025</v>
      </c>
      <c r="Z25" s="449">
        <v>24417.248123099238</v>
      </c>
      <c r="AA25" s="449">
        <v>27250.594854519401</v>
      </c>
      <c r="AB25" s="449">
        <v>31017.054997693856</v>
      </c>
      <c r="AC25" s="449">
        <v>40888.561497345763</v>
      </c>
      <c r="AD25" s="449">
        <v>48623.223493869613</v>
      </c>
      <c r="AE25" s="449">
        <v>54919.323006893086</v>
      </c>
      <c r="AF25" s="449">
        <v>79552.108032293661</v>
      </c>
      <c r="AG25" s="449">
        <v>99066.12337667348</v>
      </c>
      <c r="AH25" s="449">
        <v>123755.47734926306</v>
      </c>
      <c r="AI25" s="449">
        <v>164124.32072990079</v>
      </c>
      <c r="AJ25" s="449">
        <v>203072.82670997371</v>
      </c>
      <c r="AK25" s="449">
        <v>246835.25338275748</v>
      </c>
      <c r="AL25" s="449">
        <v>313621.41861554421</v>
      </c>
      <c r="AM25" s="449">
        <v>380561.80537845584</v>
      </c>
      <c r="AN25" s="449">
        <v>477122.31151914538</v>
      </c>
      <c r="AO25" s="449">
        <v>582656.52858781104</v>
      </c>
      <c r="AP25" s="449">
        <v>663712.54323000414</v>
      </c>
      <c r="AQ25" s="449">
        <v>828435.10184858204</v>
      </c>
      <c r="AR25" s="449">
        <v>1014127.8680943449</v>
      </c>
      <c r="AS25" s="449">
        <v>1235528.682610481</v>
      </c>
      <c r="AT25" s="449">
        <v>1606714.49278797</v>
      </c>
      <c r="AU25" s="449">
        <v>1810139.0347907422</v>
      </c>
      <c r="AV25" s="449">
        <v>1979304.6152527691</v>
      </c>
      <c r="AW25" s="449">
        <v>2128860.4695639759</v>
      </c>
      <c r="AX25" s="450">
        <v>2331934.9551275289</v>
      </c>
      <c r="AY25" s="455"/>
      <c r="AZ25" s="456"/>
    </row>
    <row r="26" spans="1:53" ht="13">
      <c r="A26" s="446" t="s">
        <v>761</v>
      </c>
      <c r="B26" s="449">
        <v>1883.2014124906193</v>
      </c>
      <c r="C26" s="449">
        <v>2005.5952442984164</v>
      </c>
      <c r="D26" s="449">
        <v>2320.3794313425551</v>
      </c>
      <c r="E26" s="449">
        <v>2335.4826849225906</v>
      </c>
      <c r="F26" s="449">
        <v>2384.3426322641608</v>
      </c>
      <c r="G26" s="449">
        <v>2559.3161460849346</v>
      </c>
      <c r="H26" s="449">
        <v>2649.942782759897</v>
      </c>
      <c r="I26" s="449">
        <v>2770.6198215639138</v>
      </c>
      <c r="J26" s="449">
        <v>3002.9898816685782</v>
      </c>
      <c r="K26" s="449">
        <v>3082.6458482704929</v>
      </c>
      <c r="L26" s="449">
        <v>3196.5593459166903</v>
      </c>
      <c r="M26" s="449">
        <v>3342.6489722212477</v>
      </c>
      <c r="N26" s="449">
        <v>4197.0173873610211</v>
      </c>
      <c r="O26" s="449">
        <v>4382.1946984264969</v>
      </c>
      <c r="P26" s="449">
        <v>5467.3846989027807</v>
      </c>
      <c r="Q26" s="449">
        <v>6137.8931994547211</v>
      </c>
      <c r="R26" s="449">
        <v>6461.7754224698456</v>
      </c>
      <c r="S26" s="449">
        <v>6897.8274325604061</v>
      </c>
      <c r="T26" s="449">
        <v>7151.4020420205716</v>
      </c>
      <c r="U26" s="449">
        <v>7977.5480517477281</v>
      </c>
      <c r="V26" s="449">
        <v>9521.8488542396935</v>
      </c>
      <c r="W26" s="449">
        <v>10215.825436161689</v>
      </c>
      <c r="X26" s="449">
        <v>10877.781662762007</v>
      </c>
      <c r="Y26" s="449">
        <v>13223.608146745177</v>
      </c>
      <c r="Z26" s="449">
        <v>14048.171584829235</v>
      </c>
      <c r="AA26" s="449">
        <v>17414.943420379725</v>
      </c>
      <c r="AB26" s="449">
        <v>19996.130947515459</v>
      </c>
      <c r="AC26" s="449">
        <v>23533.058881878664</v>
      </c>
      <c r="AD26" s="449">
        <v>33368.75006010395</v>
      </c>
      <c r="AE26" s="449">
        <v>41975.44088052665</v>
      </c>
      <c r="AF26" s="449">
        <v>62335.37</v>
      </c>
      <c r="AG26" s="449">
        <v>78280</v>
      </c>
      <c r="AH26" s="449">
        <v>96390</v>
      </c>
      <c r="AI26" s="449">
        <v>127174</v>
      </c>
      <c r="AJ26" s="449">
        <v>155194.323</v>
      </c>
      <c r="AK26" s="449">
        <v>188031.06099999999</v>
      </c>
      <c r="AL26" s="449">
        <v>237024</v>
      </c>
      <c r="AM26" s="449">
        <v>290107</v>
      </c>
      <c r="AN26" s="449">
        <v>362515.81599999999</v>
      </c>
      <c r="AO26" s="449">
        <v>448872</v>
      </c>
      <c r="AP26" s="449">
        <v>527606</v>
      </c>
      <c r="AQ26" s="449">
        <v>663452</v>
      </c>
      <c r="AR26" s="449">
        <v>824755.5</v>
      </c>
      <c r="AS26" s="449">
        <v>1003859</v>
      </c>
      <c r="AT26" s="449">
        <v>1259005</v>
      </c>
      <c r="AU26" s="449">
        <v>1512836</v>
      </c>
      <c r="AV26" s="449">
        <v>1651639</v>
      </c>
      <c r="AW26" s="449">
        <v>1727432</v>
      </c>
      <c r="AX26" s="450">
        <v>1885789</v>
      </c>
      <c r="AY26" s="455"/>
      <c r="AZ26" s="456"/>
    </row>
    <row r="27" spans="1:53" ht="13">
      <c r="A27" s="446" t="s">
        <v>762</v>
      </c>
      <c r="B27" s="449">
        <v>1441.7154488542653</v>
      </c>
      <c r="C27" s="449">
        <v>1422.4586785374961</v>
      </c>
      <c r="D27" s="449">
        <v>1437.3354536292691</v>
      </c>
      <c r="E27" s="449">
        <v>1329.2076692868468</v>
      </c>
      <c r="F27" s="449">
        <v>1370.3207514492174</v>
      </c>
      <c r="G27" s="449">
        <v>1159.8603038073225</v>
      </c>
      <c r="H27" s="449">
        <v>1621.3167222993393</v>
      </c>
      <c r="I27" s="449">
        <v>2159.7710849770242</v>
      </c>
      <c r="J27" s="449">
        <v>2048.5320626179628</v>
      </c>
      <c r="K27" s="449">
        <v>1978.9756501461134</v>
      </c>
      <c r="L27" s="449">
        <v>2179.3223648206422</v>
      </c>
      <c r="M27" s="449">
        <v>2254.7096306087828</v>
      </c>
      <c r="N27" s="449">
        <v>2098.0946789997679</v>
      </c>
      <c r="O27" s="449">
        <v>2452.0287128196569</v>
      </c>
      <c r="P27" s="449">
        <v>3459.9519921009487</v>
      </c>
      <c r="Q27" s="449">
        <v>3662.529495092459</v>
      </c>
      <c r="R27" s="449">
        <v>3678.5934890117605</v>
      </c>
      <c r="S27" s="449">
        <v>4072.409593127747</v>
      </c>
      <c r="T27" s="449">
        <v>4819.1824553621836</v>
      </c>
      <c r="U27" s="449">
        <v>5230.211554726402</v>
      </c>
      <c r="V27" s="449">
        <v>6333.2477347773893</v>
      </c>
      <c r="W27" s="449">
        <v>7172.9957459470934</v>
      </c>
      <c r="X27" s="449">
        <v>8057.7575155269969</v>
      </c>
      <c r="Y27" s="449">
        <v>9346.7818928550732</v>
      </c>
      <c r="Z27" s="449">
        <v>10369.076538270003</v>
      </c>
      <c r="AA27" s="449">
        <v>9835.651434139676</v>
      </c>
      <c r="AB27" s="449">
        <v>11020.924050178397</v>
      </c>
      <c r="AC27" s="449">
        <v>17355.5026154671</v>
      </c>
      <c r="AD27" s="449">
        <v>15254.473433765663</v>
      </c>
      <c r="AE27" s="449">
        <v>12943.882126366436</v>
      </c>
      <c r="AF27" s="449">
        <v>17216.738032293659</v>
      </c>
      <c r="AG27" s="449">
        <v>20786.12337667348</v>
      </c>
      <c r="AH27" s="449">
        <v>27365.477349263063</v>
      </c>
      <c r="AI27" s="449">
        <v>36950.320729900792</v>
      </c>
      <c r="AJ27" s="449">
        <v>47878.503709973709</v>
      </c>
      <c r="AK27" s="449">
        <v>58804.192382757494</v>
      </c>
      <c r="AL27" s="449">
        <v>76597.418615544215</v>
      </c>
      <c r="AM27" s="449">
        <v>90454.805378455843</v>
      </c>
      <c r="AN27" s="449">
        <v>114606.49551914539</v>
      </c>
      <c r="AO27" s="449">
        <v>133784.52858781104</v>
      </c>
      <c r="AP27" s="449">
        <v>136106.54323000414</v>
      </c>
      <c r="AQ27" s="449">
        <v>164983.10184858204</v>
      </c>
      <c r="AR27" s="449">
        <v>189372.36809434486</v>
      </c>
      <c r="AS27" s="449">
        <v>231669.68261048105</v>
      </c>
      <c r="AT27" s="449">
        <v>347709.49278797</v>
      </c>
      <c r="AU27" s="449">
        <v>297303.03479074221</v>
      </c>
      <c r="AV27" s="449">
        <v>327665.61525276909</v>
      </c>
      <c r="AW27" s="449">
        <v>401428.46956397628</v>
      </c>
      <c r="AX27" s="450">
        <v>446145.95512752869</v>
      </c>
      <c r="AY27" s="455"/>
      <c r="AZ27" s="456"/>
      <c r="BA27" s="455"/>
    </row>
    <row r="28" spans="1:53" ht="13">
      <c r="A28" s="446" t="s">
        <v>763</v>
      </c>
      <c r="B28" s="449">
        <v>305.95499999999998</v>
      </c>
      <c r="C28" s="449">
        <v>290.47800000000001</v>
      </c>
      <c r="D28" s="449">
        <v>295.79599999999999</v>
      </c>
      <c r="E28" s="449">
        <v>304.54200000000003</v>
      </c>
      <c r="F28" s="449">
        <v>327.21199999999999</v>
      </c>
      <c r="G28" s="449">
        <v>364.09399999999999</v>
      </c>
      <c r="H28" s="449">
        <v>383.2</v>
      </c>
      <c r="I28" s="449">
        <v>403.86799999999999</v>
      </c>
      <c r="J28" s="449">
        <v>423.39</v>
      </c>
      <c r="K28" s="449">
        <v>442.48500000000001</v>
      </c>
      <c r="L28" s="449">
        <v>452.66</v>
      </c>
      <c r="M28" s="449">
        <v>471.27699999999993</v>
      </c>
      <c r="N28" s="449">
        <v>443</v>
      </c>
      <c r="O28" s="449">
        <v>476</v>
      </c>
      <c r="P28" s="449">
        <v>563.29999999999995</v>
      </c>
      <c r="Q28" s="449">
        <v>588.61</v>
      </c>
      <c r="R28" s="449">
        <v>746.3130000000001</v>
      </c>
      <c r="S28" s="449">
        <v>860.92499999999995</v>
      </c>
      <c r="T28" s="449">
        <v>975.73199999999997</v>
      </c>
      <c r="U28" s="449">
        <v>1077.807</v>
      </c>
      <c r="V28" s="449">
        <v>1201.1840000000002</v>
      </c>
      <c r="W28" s="449">
        <v>1276.3530000000001</v>
      </c>
      <c r="X28" s="449">
        <v>1285.037</v>
      </c>
      <c r="Y28" s="449">
        <v>1386.49</v>
      </c>
      <c r="Z28" s="449">
        <v>1515.5540000000001</v>
      </c>
      <c r="AA28" s="449">
        <v>2023.0650000000001</v>
      </c>
      <c r="AB28" s="449">
        <v>1799.77</v>
      </c>
      <c r="AC28" s="449">
        <v>2120.0730000000003</v>
      </c>
      <c r="AD28" s="449">
        <v>3471.29</v>
      </c>
      <c r="AE28" s="449">
        <v>5564.2185247937141</v>
      </c>
      <c r="AF28" s="449">
        <v>10276.569719072644</v>
      </c>
      <c r="AG28" s="449">
        <v>20562.371691189222</v>
      </c>
      <c r="AH28" s="449">
        <v>28258.040433340131</v>
      </c>
      <c r="AI28" s="449">
        <v>38541.583817704435</v>
      </c>
      <c r="AJ28" s="449">
        <v>80568.917441902915</v>
      </c>
      <c r="AK28" s="449">
        <v>106548.60379238917</v>
      </c>
      <c r="AL28" s="449">
        <v>154790.13318570881</v>
      </c>
      <c r="AM28" s="449">
        <v>216039.66927173038</v>
      </c>
      <c r="AN28" s="449">
        <v>304479.29137814004</v>
      </c>
      <c r="AO28" s="449">
        <v>390292.9</v>
      </c>
      <c r="AP28" s="449">
        <v>440042.9</v>
      </c>
      <c r="AQ28" s="449">
        <v>457699.3</v>
      </c>
      <c r="AR28" s="449">
        <v>513958.3</v>
      </c>
      <c r="AS28" s="449">
        <v>734798.1</v>
      </c>
      <c r="AT28" s="449">
        <v>860453.7</v>
      </c>
      <c r="AU28" s="449">
        <v>881714.1</v>
      </c>
      <c r="AV28" s="449">
        <v>801566.7</v>
      </c>
      <c r="AW28" s="449">
        <v>875300.1</v>
      </c>
      <c r="AX28" s="450">
        <v>960328.3</v>
      </c>
      <c r="AY28" s="455"/>
      <c r="AZ28" s="456"/>
    </row>
    <row r="29" spans="1:53" ht="13">
      <c r="A29" s="446" t="s">
        <v>764</v>
      </c>
      <c r="B29" s="449">
        <v>249.49933251626723</v>
      </c>
      <c r="C29" s="449">
        <v>322.60566692974407</v>
      </c>
      <c r="D29" s="449">
        <v>768.81578951697361</v>
      </c>
      <c r="E29" s="449">
        <v>383.08626683798263</v>
      </c>
      <c r="F29" s="449">
        <v>667.97938800337829</v>
      </c>
      <c r="G29" s="449">
        <v>818.6895434051246</v>
      </c>
      <c r="H29" s="449">
        <v>576.55062242971781</v>
      </c>
      <c r="I29" s="449">
        <v>517.1781304715206</v>
      </c>
      <c r="J29" s="449">
        <v>380.31460052058293</v>
      </c>
      <c r="K29" s="449">
        <v>613.62367111100082</v>
      </c>
      <c r="L29" s="449">
        <v>832.54701445147475</v>
      </c>
      <c r="M29" s="449">
        <v>846.60766259149341</v>
      </c>
      <c r="N29" s="449">
        <v>650</v>
      </c>
      <c r="O29" s="449">
        <v>550</v>
      </c>
      <c r="P29" s="449">
        <v>834</v>
      </c>
      <c r="Q29" s="449">
        <v>851</v>
      </c>
      <c r="R29" s="449">
        <v>721</v>
      </c>
      <c r="S29" s="449">
        <v>681</v>
      </c>
      <c r="T29" s="449">
        <v>1279</v>
      </c>
      <c r="U29" s="449">
        <v>1317</v>
      </c>
      <c r="V29" s="449">
        <v>1466</v>
      </c>
      <c r="W29" s="449">
        <v>2048</v>
      </c>
      <c r="X29" s="449">
        <v>1797</v>
      </c>
      <c r="Y29" s="449">
        <v>2722</v>
      </c>
      <c r="Z29" s="449">
        <v>2740</v>
      </c>
      <c r="AA29" s="449">
        <v>2613</v>
      </c>
      <c r="AB29" s="449">
        <v>2837</v>
      </c>
      <c r="AC29" s="449">
        <v>7543</v>
      </c>
      <c r="AD29" s="449">
        <v>7559.9189999999999</v>
      </c>
      <c r="AE29" s="449">
        <v>17206.5</v>
      </c>
      <c r="AF29" s="449">
        <v>23783.530272512289</v>
      </c>
      <c r="AG29" s="449">
        <v>36644.511421985124</v>
      </c>
      <c r="AH29" s="449">
        <v>45970.332292143983</v>
      </c>
      <c r="AI29" s="449">
        <v>88071.768783650463</v>
      </c>
      <c r="AJ29" s="449">
        <v>135722.4016375932</v>
      </c>
      <c r="AK29" s="449">
        <v>110290.30270597978</v>
      </c>
      <c r="AL29" s="449">
        <v>156710.17351469255</v>
      </c>
      <c r="AM29" s="449">
        <v>285174.03230856871</v>
      </c>
      <c r="AN29" s="449">
        <v>282431</v>
      </c>
      <c r="AO29" s="449">
        <v>152486</v>
      </c>
      <c r="AP29" s="449">
        <v>122393.2</v>
      </c>
      <c r="AQ29" s="449">
        <v>128137.235</v>
      </c>
      <c r="AR29" s="449">
        <v>108237</v>
      </c>
      <c r="AS29" s="449">
        <v>114909</v>
      </c>
      <c r="AT29" s="449">
        <v>107933</v>
      </c>
      <c r="AU29" s="449">
        <v>117817</v>
      </c>
      <c r="AV29" s="449">
        <v>117867</v>
      </c>
      <c r="AW29" s="449">
        <v>131719</v>
      </c>
      <c r="AX29" s="450">
        <v>135913</v>
      </c>
      <c r="AY29" s="455"/>
      <c r="AZ29" s="456"/>
    </row>
    <row r="30" spans="1:53" ht="13">
      <c r="A30" s="451" t="s">
        <v>755</v>
      </c>
      <c r="B30" s="449">
        <v>380.04522238972828</v>
      </c>
      <c r="C30" s="449">
        <v>310.67605356528497</v>
      </c>
      <c r="D30" s="449">
        <v>368.03418641662495</v>
      </c>
      <c r="E30" s="449">
        <v>362.69970355025885</v>
      </c>
      <c r="F30" s="449">
        <v>398.88162064642722</v>
      </c>
      <c r="G30" s="449">
        <v>391.27605361148989</v>
      </c>
      <c r="H30" s="449">
        <v>392.00190117922978</v>
      </c>
      <c r="I30" s="449">
        <v>400.73345860328504</v>
      </c>
      <c r="J30" s="449">
        <v>444.7067387145305</v>
      </c>
      <c r="K30" s="449">
        <v>470.74769353745728</v>
      </c>
      <c r="L30" s="449">
        <v>515.77632410269666</v>
      </c>
      <c r="M30" s="449">
        <v>638.25883344122417</v>
      </c>
      <c r="N30" s="449">
        <v>766.4082456082225</v>
      </c>
      <c r="O30" s="449">
        <v>874.59544378911016</v>
      </c>
      <c r="P30" s="449">
        <v>975.18238142706116</v>
      </c>
      <c r="Q30" s="449">
        <v>885.32163020693702</v>
      </c>
      <c r="R30" s="449">
        <v>970.17654194465013</v>
      </c>
      <c r="S30" s="449">
        <v>1033.1304345003646</v>
      </c>
      <c r="T30" s="449">
        <v>1040.7970663698197</v>
      </c>
      <c r="U30" s="449">
        <v>1031.3215022537345</v>
      </c>
      <c r="V30" s="449">
        <v>1084.3879624353306</v>
      </c>
      <c r="W30" s="449">
        <v>1193.8058637341085</v>
      </c>
      <c r="X30" s="449">
        <v>1311.9897615394771</v>
      </c>
      <c r="Y30" s="449">
        <v>1614.4015258844979</v>
      </c>
      <c r="Z30" s="449">
        <v>2058.3924433166326</v>
      </c>
      <c r="AA30" s="449">
        <v>2904.4666670249708</v>
      </c>
      <c r="AB30" s="449">
        <v>3478.9643768728056</v>
      </c>
      <c r="AC30" s="449">
        <v>5372.1553468134043</v>
      </c>
      <c r="AD30" s="449">
        <v>15810.696657351231</v>
      </c>
      <c r="AE30" s="449">
        <v>29412.14074588599</v>
      </c>
      <c r="AF30" s="449">
        <v>32550.981999999996</v>
      </c>
      <c r="AG30" s="449">
        <v>33499.691000000013</v>
      </c>
      <c r="AH30" s="449">
        <v>42053.317999999999</v>
      </c>
      <c r="AI30" s="449">
        <v>54485.271000000008</v>
      </c>
      <c r="AJ30" s="449">
        <v>66575.307000000001</v>
      </c>
      <c r="AK30" s="449">
        <v>80839.489000000001</v>
      </c>
      <c r="AL30" s="449">
        <v>105597.20500000002</v>
      </c>
      <c r="AM30" s="449">
        <v>155489.228</v>
      </c>
      <c r="AN30" s="449">
        <v>190193.41</v>
      </c>
      <c r="AO30" s="449">
        <v>233855</v>
      </c>
      <c r="AP30" s="449">
        <v>276525.8</v>
      </c>
      <c r="AQ30" s="449">
        <v>282433.76500000001</v>
      </c>
      <c r="AR30" s="449">
        <v>333730</v>
      </c>
      <c r="AS30" s="449">
        <v>397012</v>
      </c>
      <c r="AT30" s="449">
        <v>518420</v>
      </c>
      <c r="AU30" s="449">
        <v>613224</v>
      </c>
      <c r="AV30" s="449">
        <v>823628</v>
      </c>
      <c r="AW30" s="449">
        <v>823419</v>
      </c>
      <c r="AX30" s="450">
        <v>811680</v>
      </c>
      <c r="AY30" s="455"/>
      <c r="AZ30" s="456"/>
    </row>
    <row r="31" spans="1:53" ht="13">
      <c r="A31" s="457" t="s">
        <v>770</v>
      </c>
      <c r="B31" s="449">
        <v>61.456480139949747</v>
      </c>
      <c r="C31" s="449">
        <v>59.790745104340317</v>
      </c>
      <c r="D31" s="449">
        <v>64.962897825488653</v>
      </c>
      <c r="E31" s="449">
        <v>65.237486903206275</v>
      </c>
      <c r="F31" s="449">
        <v>96.427886986163912</v>
      </c>
      <c r="G31" s="449">
        <v>75.756185326062621</v>
      </c>
      <c r="H31" s="449">
        <v>71.362670592608083</v>
      </c>
      <c r="I31" s="449">
        <v>71.445941913305091</v>
      </c>
      <c r="J31" s="449">
        <v>75.02893338424758</v>
      </c>
      <c r="K31" s="449">
        <v>75.791256601435407</v>
      </c>
      <c r="L31" s="449">
        <v>73.778328001434602</v>
      </c>
      <c r="M31" s="449">
        <v>164.8665325732602</v>
      </c>
      <c r="N31" s="449">
        <v>123.73640352190557</v>
      </c>
      <c r="O31" s="449">
        <v>127.99112157105913</v>
      </c>
      <c r="P31" s="449">
        <v>131.58179788312793</v>
      </c>
      <c r="Q31" s="449">
        <v>137.57216502568963</v>
      </c>
      <c r="R31" s="449">
        <v>138.98738244579795</v>
      </c>
      <c r="S31" s="449">
        <v>130.6453056553753</v>
      </c>
      <c r="T31" s="449">
        <v>96.870067896568571</v>
      </c>
      <c r="U31" s="449">
        <v>124.94437300956861</v>
      </c>
      <c r="V31" s="449">
        <v>108.13274980758888</v>
      </c>
      <c r="W31" s="449">
        <v>103.93434875381922</v>
      </c>
      <c r="X31" s="449">
        <v>124.00239075078844</v>
      </c>
      <c r="Y31" s="449">
        <v>279.2121527033255</v>
      </c>
      <c r="Z31" s="449">
        <v>396.13351143857471</v>
      </c>
      <c r="AA31" s="449">
        <v>553.54534864268817</v>
      </c>
      <c r="AB31" s="449">
        <v>798.89787889454692</v>
      </c>
      <c r="AC31" s="449">
        <v>1807.309450957353</v>
      </c>
      <c r="AD31" s="449">
        <v>4806.3266382673883</v>
      </c>
      <c r="AE31" s="449">
        <v>6084.6965147359188</v>
      </c>
      <c r="AF31" s="449">
        <v>7054.1889999999985</v>
      </c>
      <c r="AG31" s="449">
        <v>10128.703999999998</v>
      </c>
      <c r="AH31" s="449">
        <v>15854.532000000007</v>
      </c>
      <c r="AI31" s="449">
        <v>21602.602000000014</v>
      </c>
      <c r="AJ31" s="449">
        <v>24217.687999999995</v>
      </c>
      <c r="AK31" s="449">
        <v>32295.916999999987</v>
      </c>
      <c r="AL31" s="449">
        <v>46773.039000000019</v>
      </c>
      <c r="AM31" s="449">
        <v>76884.742999999988</v>
      </c>
      <c r="AN31" s="449">
        <v>91735.877000000008</v>
      </c>
      <c r="AO31" s="449">
        <v>87480</v>
      </c>
      <c r="AP31" s="449">
        <v>90041</v>
      </c>
      <c r="AQ31" s="449">
        <v>110891</v>
      </c>
      <c r="AR31" s="449">
        <v>116385</v>
      </c>
      <c r="AS31" s="449">
        <v>134810</v>
      </c>
      <c r="AT31" s="449">
        <v>168728</v>
      </c>
      <c r="AU31" s="449">
        <v>213476</v>
      </c>
      <c r="AV31" s="449">
        <v>330164</v>
      </c>
      <c r="AW31" s="449">
        <v>347574</v>
      </c>
      <c r="AX31" s="450">
        <v>302911</v>
      </c>
      <c r="AY31" s="455"/>
      <c r="AZ31" s="456"/>
    </row>
    <row r="32" spans="1:53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8"/>
      <c r="AY32" s="455"/>
      <c r="AZ32" s="456"/>
    </row>
    <row r="33" spans="1:52" ht="13">
      <c r="A33" s="446" t="s">
        <v>765</v>
      </c>
      <c r="B33" s="449">
        <v>799.68299999999999</v>
      </c>
      <c r="C33" s="449">
        <v>875.29600000000005</v>
      </c>
      <c r="D33" s="449">
        <v>871.77233333333334</v>
      </c>
      <c r="E33" s="449">
        <v>1066.9776666666667</v>
      </c>
      <c r="F33" s="449">
        <v>939.54333333333329</v>
      </c>
      <c r="G33" s="449">
        <v>984.85500000000002</v>
      </c>
      <c r="H33" s="449">
        <v>921.7385544346364</v>
      </c>
      <c r="I33" s="449">
        <v>1048.324221101303</v>
      </c>
      <c r="J33" s="449">
        <v>1110.1592211013033</v>
      </c>
      <c r="K33" s="449">
        <v>1191.7122211013034</v>
      </c>
      <c r="L33" s="449">
        <v>1321.0472211013034</v>
      </c>
      <c r="M33" s="449">
        <v>1513.7812211013031</v>
      </c>
      <c r="N33" s="449">
        <v>1393.2652211013033</v>
      </c>
      <c r="O33" s="449">
        <v>1485.313221101303</v>
      </c>
      <c r="P33" s="449">
        <v>1614.6697507356032</v>
      </c>
      <c r="Q33" s="449">
        <v>2007.1149949558635</v>
      </c>
      <c r="R33" s="449">
        <v>2482.4089949558638</v>
      </c>
      <c r="S33" s="449">
        <v>2686.8713497267759</v>
      </c>
      <c r="T33" s="449">
        <v>2565.048349726776</v>
      </c>
      <c r="U33" s="449">
        <v>2489.8373497267758</v>
      </c>
      <c r="V33" s="449">
        <v>2750.6493497267757</v>
      </c>
      <c r="W33" s="449">
        <v>3093.9551004623791</v>
      </c>
      <c r="X33" s="449">
        <v>3897.9581004623788</v>
      </c>
      <c r="Y33" s="449">
        <v>3964.6661004623793</v>
      </c>
      <c r="Z33" s="449">
        <v>4392.3451004623794</v>
      </c>
      <c r="AA33" s="449">
        <v>6263.6970000000001</v>
      </c>
      <c r="AB33" s="449">
        <v>6960.3929999999991</v>
      </c>
      <c r="AC33" s="449">
        <v>9654.1029999999992</v>
      </c>
      <c r="AD33" s="449">
        <v>16362.784</v>
      </c>
      <c r="AE33" s="449">
        <v>21380.81437175793</v>
      </c>
      <c r="AF33" s="449">
        <v>28262.157999999999</v>
      </c>
      <c r="AG33" s="449">
        <v>37998.665999999997</v>
      </c>
      <c r="AH33" s="449">
        <v>49932.547999999995</v>
      </c>
      <c r="AI33" s="449">
        <v>69160.658999999985</v>
      </c>
      <c r="AJ33" s="449">
        <v>84820.399000000005</v>
      </c>
      <c r="AK33" s="449">
        <v>102609.33900000001</v>
      </c>
      <c r="AL33" s="449">
        <v>115935.43937218566</v>
      </c>
      <c r="AM33" s="449">
        <v>117806.79601385799</v>
      </c>
      <c r="AN33" s="449">
        <v>151889.527</v>
      </c>
      <c r="AO33" s="449">
        <v>219808</v>
      </c>
      <c r="AP33" s="449">
        <v>210366</v>
      </c>
      <c r="AQ33" s="449">
        <v>250742</v>
      </c>
      <c r="AR33" s="449">
        <v>297055</v>
      </c>
      <c r="AS33" s="449">
        <v>420743</v>
      </c>
      <c r="AT33" s="449">
        <v>471639</v>
      </c>
      <c r="AU33" s="449">
        <v>606018</v>
      </c>
      <c r="AV33" s="449">
        <v>619553</v>
      </c>
      <c r="AW33" s="449">
        <v>596921.40770976804</v>
      </c>
      <c r="AX33" s="450">
        <v>692681.93906200293</v>
      </c>
      <c r="AY33" s="455"/>
      <c r="AZ33" s="456"/>
    </row>
    <row r="34" spans="1:52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50"/>
      <c r="AY34" s="455"/>
      <c r="AZ34" s="456"/>
    </row>
    <row r="35" spans="1:52" ht="13">
      <c r="A35" s="446" t="s">
        <v>766</v>
      </c>
      <c r="B35" s="449">
        <v>709.30399999999997</v>
      </c>
      <c r="C35" s="449">
        <v>726.99299999999994</v>
      </c>
      <c r="D35" s="449">
        <v>617.85433333333333</v>
      </c>
      <c r="E35" s="449">
        <v>559.00566666666668</v>
      </c>
      <c r="F35" s="449">
        <v>610.84833333333336</v>
      </c>
      <c r="G35" s="449">
        <v>703.41499999999996</v>
      </c>
      <c r="H35" s="449">
        <v>703.84755443463644</v>
      </c>
      <c r="I35" s="449">
        <v>789.71722110130315</v>
      </c>
      <c r="J35" s="449">
        <v>833.62622110130314</v>
      </c>
      <c r="K35" s="449">
        <v>923.77022110130338</v>
      </c>
      <c r="L35" s="449">
        <v>1049.1822211013034</v>
      </c>
      <c r="M35" s="449">
        <v>1260.1652211013031</v>
      </c>
      <c r="N35" s="449">
        <v>1090.9352211013031</v>
      </c>
      <c r="O35" s="449">
        <v>1184.563221101303</v>
      </c>
      <c r="P35" s="449">
        <v>1134.6197507356032</v>
      </c>
      <c r="Q35" s="449">
        <v>1610.5019949558637</v>
      </c>
      <c r="R35" s="449">
        <v>2075.1659949558639</v>
      </c>
      <c r="S35" s="449">
        <v>2126.144349726776</v>
      </c>
      <c r="T35" s="449">
        <v>1892.8493497267759</v>
      </c>
      <c r="U35" s="449">
        <v>1729.405349726776</v>
      </c>
      <c r="V35" s="449">
        <v>1979.8993497267757</v>
      </c>
      <c r="W35" s="449">
        <v>2384.169100462379</v>
      </c>
      <c r="X35" s="449">
        <v>2834.4181004623788</v>
      </c>
      <c r="Y35" s="449">
        <v>2752.5831004623792</v>
      </c>
      <c r="Z35" s="449">
        <v>2617.0901004623793</v>
      </c>
      <c r="AA35" s="449">
        <v>3352.8710000000001</v>
      </c>
      <c r="AB35" s="449">
        <v>3761.3719999999994</v>
      </c>
      <c r="AC35" s="449">
        <v>5022.375</v>
      </c>
      <c r="AD35" s="449">
        <v>6718.55</v>
      </c>
      <c r="AE35" s="449">
        <v>9813.2333717579259</v>
      </c>
      <c r="AF35" s="449">
        <v>12984.338</v>
      </c>
      <c r="AG35" s="449">
        <v>17919.781999999999</v>
      </c>
      <c r="AH35" s="449">
        <v>23394.816999999999</v>
      </c>
      <c r="AI35" s="449">
        <v>30846.220999999998</v>
      </c>
      <c r="AJ35" s="449">
        <v>49164.638999999996</v>
      </c>
      <c r="AK35" s="449">
        <v>43139.339</v>
      </c>
      <c r="AL35" s="449">
        <v>53000.587372185648</v>
      </c>
      <c r="AM35" s="449">
        <v>60784.696013857996</v>
      </c>
      <c r="AN35" s="449">
        <v>67941.540999999997</v>
      </c>
      <c r="AO35" s="449">
        <v>87393</v>
      </c>
      <c r="AP35" s="449">
        <v>112771</v>
      </c>
      <c r="AQ35" s="449">
        <v>136354</v>
      </c>
      <c r="AR35" s="449">
        <v>137335</v>
      </c>
      <c r="AS35" s="449">
        <v>176810</v>
      </c>
      <c r="AT35" s="449">
        <v>191945</v>
      </c>
      <c r="AU35" s="449">
        <v>263919</v>
      </c>
      <c r="AV35" s="449">
        <v>279118</v>
      </c>
      <c r="AW35" s="449">
        <v>303716.40770976798</v>
      </c>
      <c r="AX35" s="450">
        <v>355072.93906200293</v>
      </c>
      <c r="AY35" s="455"/>
      <c r="AZ35" s="456"/>
    </row>
    <row r="36" spans="1:52" ht="13">
      <c r="A36" s="446" t="s">
        <v>757</v>
      </c>
      <c r="B36" s="449">
        <v>90.379000000000019</v>
      </c>
      <c r="C36" s="449">
        <v>148.30300000000005</v>
      </c>
      <c r="D36" s="449">
        <v>253.91800000000003</v>
      </c>
      <c r="E36" s="449">
        <v>507.97199999999998</v>
      </c>
      <c r="F36" s="449">
        <v>328.69499999999999</v>
      </c>
      <c r="G36" s="449">
        <v>281.44</v>
      </c>
      <c r="H36" s="449">
        <v>217.89100000000002</v>
      </c>
      <c r="I36" s="449">
        <v>258.60699999999997</v>
      </c>
      <c r="J36" s="449">
        <v>276.53300000000013</v>
      </c>
      <c r="K36" s="449">
        <v>267.94200000000001</v>
      </c>
      <c r="L36" s="449">
        <v>271.86500000000001</v>
      </c>
      <c r="M36" s="449">
        <v>253.6159999999999</v>
      </c>
      <c r="N36" s="449">
        <v>302.33</v>
      </c>
      <c r="O36" s="449">
        <v>300.75</v>
      </c>
      <c r="P36" s="449">
        <v>480.05</v>
      </c>
      <c r="Q36" s="449">
        <v>396.61299999999994</v>
      </c>
      <c r="R36" s="449">
        <v>407.24299999999999</v>
      </c>
      <c r="S36" s="449">
        <v>560.72699999999986</v>
      </c>
      <c r="T36" s="449">
        <v>672.19899999999984</v>
      </c>
      <c r="U36" s="449">
        <v>760.4319999999999</v>
      </c>
      <c r="V36" s="449">
        <v>770.75</v>
      </c>
      <c r="W36" s="449">
        <v>709.78599999999983</v>
      </c>
      <c r="X36" s="449">
        <v>1063.54</v>
      </c>
      <c r="Y36" s="449">
        <v>1212.0830000000003</v>
      </c>
      <c r="Z36" s="449">
        <v>1775.2550000000001</v>
      </c>
      <c r="AA36" s="449">
        <v>2910.826</v>
      </c>
      <c r="AB36" s="449">
        <v>3199.0209999999997</v>
      </c>
      <c r="AC36" s="449">
        <v>4631.7279999999992</v>
      </c>
      <c r="AD36" s="449">
        <v>9644.2340000000004</v>
      </c>
      <c r="AE36" s="449">
        <v>11567.581000000002</v>
      </c>
      <c r="AF36" s="449">
        <v>15277.82</v>
      </c>
      <c r="AG36" s="449">
        <v>20078.883999999998</v>
      </c>
      <c r="AH36" s="449">
        <v>26537.730999999996</v>
      </c>
      <c r="AI36" s="449">
        <v>38314.437999999995</v>
      </c>
      <c r="AJ36" s="449">
        <v>35655.760000000002</v>
      </c>
      <c r="AK36" s="449">
        <v>59470</v>
      </c>
      <c r="AL36" s="449">
        <v>62934.852000000014</v>
      </c>
      <c r="AM36" s="449">
        <v>57022.1</v>
      </c>
      <c r="AN36" s="449">
        <v>83947.986000000004</v>
      </c>
      <c r="AO36" s="449">
        <v>132415</v>
      </c>
      <c r="AP36" s="449">
        <v>97595</v>
      </c>
      <c r="AQ36" s="449">
        <v>114388</v>
      </c>
      <c r="AR36" s="449">
        <v>159720</v>
      </c>
      <c r="AS36" s="449">
        <v>243933</v>
      </c>
      <c r="AT36" s="449">
        <v>279694</v>
      </c>
      <c r="AU36" s="449">
        <v>342099</v>
      </c>
      <c r="AV36" s="449">
        <v>340435</v>
      </c>
      <c r="AW36" s="449">
        <v>293205</v>
      </c>
      <c r="AX36" s="450">
        <v>337609</v>
      </c>
      <c r="AY36" s="455"/>
      <c r="AZ36" s="456"/>
    </row>
    <row r="37" spans="1:52" ht="13">
      <c r="A37" s="457" t="s">
        <v>770</v>
      </c>
      <c r="B37" s="449">
        <v>84.905000000000001</v>
      </c>
      <c r="C37" s="449">
        <v>129.94799999999998</v>
      </c>
      <c r="D37" s="449">
        <v>215.917</v>
      </c>
      <c r="E37" s="449">
        <v>148.56399999999999</v>
      </c>
      <c r="F37" s="449">
        <v>137.19600000000003</v>
      </c>
      <c r="G37" s="449">
        <v>168.07299999999998</v>
      </c>
      <c r="H37" s="449">
        <v>160.25599999999997</v>
      </c>
      <c r="I37" s="449">
        <v>196.84599999999992</v>
      </c>
      <c r="J37" s="449">
        <v>217.15700000000007</v>
      </c>
      <c r="K37" s="449">
        <v>216.45099999999994</v>
      </c>
      <c r="L37" s="449">
        <v>223.22800000000001</v>
      </c>
      <c r="M37" s="449">
        <v>217.05899999999994</v>
      </c>
      <c r="N37" s="449">
        <v>258.13</v>
      </c>
      <c r="O37" s="449">
        <v>281.75</v>
      </c>
      <c r="P37" s="449">
        <v>328.15</v>
      </c>
      <c r="Q37" s="449">
        <v>319.14999999999998</v>
      </c>
      <c r="R37" s="449">
        <v>320.14999999999998</v>
      </c>
      <c r="S37" s="449">
        <v>391.75</v>
      </c>
      <c r="T37" s="449">
        <v>416.35</v>
      </c>
      <c r="U37" s="449">
        <v>495.95</v>
      </c>
      <c r="V37" s="449">
        <v>538.65</v>
      </c>
      <c r="W37" s="449">
        <v>496.9</v>
      </c>
      <c r="X37" s="449">
        <v>562.625</v>
      </c>
      <c r="Y37" s="449">
        <v>639.4</v>
      </c>
      <c r="Z37" s="449">
        <v>701.6</v>
      </c>
      <c r="AA37" s="449">
        <v>950.56500000000005</v>
      </c>
      <c r="AB37" s="449">
        <v>1358.05</v>
      </c>
      <c r="AC37" s="449">
        <v>1330.4289999999996</v>
      </c>
      <c r="AD37" s="449">
        <v>3776.5659999999998</v>
      </c>
      <c r="AE37" s="449">
        <v>4480</v>
      </c>
      <c r="AF37" s="449">
        <v>7130.1270000000004</v>
      </c>
      <c r="AG37" s="449">
        <v>8842.1130000000012</v>
      </c>
      <c r="AH37" s="449">
        <v>17088.62</v>
      </c>
      <c r="AI37" s="449">
        <v>26714.116999999998</v>
      </c>
      <c r="AJ37" s="449">
        <v>31777.345999999998</v>
      </c>
      <c r="AK37" s="449">
        <v>30496.383999999995</v>
      </c>
      <c r="AL37" s="449">
        <v>32017.027999999998</v>
      </c>
      <c r="AM37" s="449">
        <v>31415.214999999997</v>
      </c>
      <c r="AN37" s="449">
        <v>37118.638999999996</v>
      </c>
      <c r="AO37" s="447">
        <v>56199</v>
      </c>
      <c r="AP37" s="447">
        <v>54226</v>
      </c>
      <c r="AQ37" s="447">
        <v>57720</v>
      </c>
      <c r="AR37" s="447">
        <v>53559</v>
      </c>
      <c r="AS37" s="447">
        <v>79300</v>
      </c>
      <c r="AT37" s="447">
        <v>92159</v>
      </c>
      <c r="AU37" s="447">
        <v>106614</v>
      </c>
      <c r="AV37" s="447">
        <v>116154</v>
      </c>
      <c r="AW37" s="447">
        <v>124958</v>
      </c>
      <c r="AX37" s="448">
        <v>136489</v>
      </c>
      <c r="AY37" s="455"/>
      <c r="AZ37" s="456"/>
    </row>
    <row r="38" spans="1:52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8"/>
      <c r="AY38" s="455"/>
      <c r="AZ38" s="456"/>
    </row>
    <row r="39" spans="1:52" ht="13">
      <c r="A39" s="446" t="s">
        <v>767</v>
      </c>
      <c r="B39" s="449">
        <v>5060.0994162508805</v>
      </c>
      <c r="C39" s="449">
        <v>5227.1096433309422</v>
      </c>
      <c r="D39" s="449">
        <v>6062.133194238756</v>
      </c>
      <c r="E39" s="449">
        <v>5781.9959912643453</v>
      </c>
      <c r="F39" s="449">
        <v>6088.2797256965168</v>
      </c>
      <c r="G39" s="449">
        <v>6278.0910469088722</v>
      </c>
      <c r="H39" s="449">
        <v>6544.7505831028202</v>
      </c>
      <c r="I39" s="449">
        <v>7300.4947167170467</v>
      </c>
      <c r="J39" s="449">
        <v>7410.0925046229577</v>
      </c>
      <c r="K39" s="449">
        <v>7780.1900841663664</v>
      </c>
      <c r="L39" s="449">
        <v>8497.9122703928078</v>
      </c>
      <c r="M39" s="449">
        <v>9067.2833199640518</v>
      </c>
      <c r="N39" s="449">
        <v>9547.7855330703151</v>
      </c>
      <c r="O39" s="449">
        <v>10220.132076136568</v>
      </c>
      <c r="P39" s="449">
        <v>12914.488823166394</v>
      </c>
      <c r="Q39" s="449">
        <v>14132.469319709982</v>
      </c>
      <c r="R39" s="449">
        <v>15060.267448382119</v>
      </c>
      <c r="S39" s="449">
        <v>16232.163809915293</v>
      </c>
      <c r="T39" s="449">
        <v>17831.161913479351</v>
      </c>
      <c r="U39" s="449">
        <v>19123.725458454639</v>
      </c>
      <c r="V39" s="449">
        <v>22357.317901179191</v>
      </c>
      <c r="W39" s="449">
        <v>25000.93514630527</v>
      </c>
      <c r="X39" s="449">
        <v>27227.52404029086</v>
      </c>
      <c r="Y39" s="449">
        <v>32257.947665947129</v>
      </c>
      <c r="Z39" s="449">
        <v>35123.539666878249</v>
      </c>
      <c r="AA39" s="449">
        <v>41054.823521544371</v>
      </c>
      <c r="AB39" s="449">
        <v>46093.182374566655</v>
      </c>
      <c r="AC39" s="449">
        <v>65577.892844159171</v>
      </c>
      <c r="AD39" s="449">
        <v>91827.913151220841</v>
      </c>
      <c r="AE39" s="449">
        <v>128482.99664933071</v>
      </c>
      <c r="AF39" s="449">
        <v>174425.34802387859</v>
      </c>
      <c r="AG39" s="449">
        <v>227771.36348984786</v>
      </c>
      <c r="AH39" s="449">
        <v>289969.71607474715</v>
      </c>
      <c r="AI39" s="449">
        <v>414383.60333125567</v>
      </c>
      <c r="AJ39" s="449">
        <v>570759.85178946983</v>
      </c>
      <c r="AK39" s="449">
        <v>647122.98788112646</v>
      </c>
      <c r="AL39" s="449">
        <v>846654.36968813115</v>
      </c>
      <c r="AM39" s="449">
        <v>1155071.530972613</v>
      </c>
      <c r="AN39" s="449">
        <v>1406115.5398972854</v>
      </c>
      <c r="AO39" s="449">
        <v>1579098.4285878111</v>
      </c>
      <c r="AP39" s="449">
        <v>1713040.443230004</v>
      </c>
      <c r="AQ39" s="449">
        <v>1947447.4018485821</v>
      </c>
      <c r="AR39" s="449">
        <v>2267108.1680943449</v>
      </c>
      <c r="AS39" s="449">
        <v>2902990.7826104811</v>
      </c>
      <c r="AT39" s="449">
        <v>3565160.19278797</v>
      </c>
      <c r="AU39" s="449">
        <v>4028912.1347907423</v>
      </c>
      <c r="AV39" s="449">
        <v>4341919.3152527688</v>
      </c>
      <c r="AW39" s="449">
        <v>4556219.9772737436</v>
      </c>
      <c r="AX39" s="450">
        <v>4932538.1941895317</v>
      </c>
      <c r="AY39" s="455"/>
      <c r="AZ39" s="456"/>
    </row>
    <row r="40" spans="1:52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8"/>
      <c r="AY40" s="455"/>
      <c r="AZ40" s="456"/>
    </row>
    <row r="41" spans="1:52" ht="13.5" thickBot="1">
      <c r="A41" s="452" t="s">
        <v>768</v>
      </c>
      <c r="B41" s="453">
        <v>-334.68073490551888</v>
      </c>
      <c r="C41" s="453">
        <v>-253.35153957833518</v>
      </c>
      <c r="D41" s="453">
        <v>-465.53664499029037</v>
      </c>
      <c r="E41" s="453">
        <v>709.32763994502147</v>
      </c>
      <c r="F41" s="453">
        <v>181.08476296260778</v>
      </c>
      <c r="G41" s="453">
        <v>426.92998440907832</v>
      </c>
      <c r="H41" s="453">
        <v>214.46234997697866</v>
      </c>
      <c r="I41" s="453">
        <v>-277.00756842544797</v>
      </c>
      <c r="J41" s="453">
        <v>-12.323559811755331</v>
      </c>
      <c r="K41" s="453">
        <v>289.82076251336821</v>
      </c>
      <c r="L41" s="453">
        <v>199.84622220216806</v>
      </c>
      <c r="M41" s="453">
        <v>147.95601135403012</v>
      </c>
      <c r="N41" s="453">
        <v>177.84357121794346</v>
      </c>
      <c r="O41" s="453">
        <v>175.36655433550368</v>
      </c>
      <c r="P41" s="453">
        <v>-1112.6134967859107</v>
      </c>
      <c r="Q41" s="453">
        <v>-1124.3177500804122</v>
      </c>
      <c r="R41" s="453">
        <v>-1362.2170369156429</v>
      </c>
      <c r="S41" s="453">
        <v>-1289.7867782157846</v>
      </c>
      <c r="T41" s="453">
        <v>-188.60990991714061</v>
      </c>
      <c r="U41" s="453">
        <v>230.64257524271306</v>
      </c>
      <c r="V41" s="453">
        <v>174.80339595271653</v>
      </c>
      <c r="W41" s="453">
        <v>254.71901508449446</v>
      </c>
      <c r="X41" s="453">
        <v>1010.0069464871995</v>
      </c>
      <c r="Y41" s="453">
        <v>2378.7478080841502</v>
      </c>
      <c r="Z41" s="453">
        <v>1324.875825788753</v>
      </c>
      <c r="AA41" s="453">
        <v>364.12225457440945</v>
      </c>
      <c r="AB41" s="453">
        <v>3374.6817452430041</v>
      </c>
      <c r="AC41" s="453">
        <v>-6092.7922257948521</v>
      </c>
      <c r="AD41" s="453">
        <v>-23977.13581864757</v>
      </c>
      <c r="AE41" s="453">
        <v>-30185.06742046772</v>
      </c>
      <c r="AF41" s="453">
        <v>-31273.848491584911</v>
      </c>
      <c r="AG41" s="453">
        <v>-62983.802113174403</v>
      </c>
      <c r="AH41" s="453">
        <v>-79623.21122548409</v>
      </c>
      <c r="AI41" s="453">
        <v>-126349.93860135484</v>
      </c>
      <c r="AJ41" s="453">
        <v>-203596.27957949613</v>
      </c>
      <c r="AK41" s="453">
        <v>-166110.26199836895</v>
      </c>
      <c r="AL41" s="453">
        <v>-178248.14880291512</v>
      </c>
      <c r="AM41" s="453">
        <v>-363138.98728529969</v>
      </c>
      <c r="AN41" s="453">
        <v>-431655.52287814009</v>
      </c>
      <c r="AO41" s="453">
        <v>-360409.8</v>
      </c>
      <c r="AP41" s="453">
        <v>-364006.8</v>
      </c>
      <c r="AQ41" s="453">
        <v>-286810.3</v>
      </c>
      <c r="AR41" s="453">
        <v>-223079.3</v>
      </c>
      <c r="AS41" s="453">
        <v>-484804.1</v>
      </c>
      <c r="AT41" s="453">
        <v>-652605.69999999995</v>
      </c>
      <c r="AU41" s="453">
        <v>-406839.1</v>
      </c>
      <c r="AV41" s="453">
        <v>-819294.7</v>
      </c>
      <c r="AW41" s="453">
        <v>-816316.50770976802</v>
      </c>
      <c r="AX41" s="454">
        <v>-846182.23906200344</v>
      </c>
      <c r="AY41" s="455"/>
      <c r="AZ41" s="456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3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DF92-9BBE-48A0-90F4-82E3EE4B3692}">
  <sheetPr codeName="Sheet12">
    <pageSetUpPr fitToPage="1"/>
  </sheetPr>
  <dimension ref="A1:AZ4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7" sqref="B7"/>
    </sheetView>
  </sheetViews>
  <sheetFormatPr defaultRowHeight="12.5"/>
  <cols>
    <col min="1" max="1" width="50.7265625" style="396" customWidth="1"/>
    <col min="2" max="29" width="5.26953125" style="396" customWidth="1"/>
    <col min="30" max="30" width="5.81640625" style="396" customWidth="1"/>
    <col min="31" max="34" width="6.1796875" style="396" customWidth="1"/>
    <col min="35" max="39" width="6.7265625" style="396" customWidth="1"/>
    <col min="40" max="42" width="7" style="396" customWidth="1"/>
    <col min="43" max="47" width="7.26953125" style="396" customWidth="1"/>
    <col min="48" max="50" width="10.7265625" style="396" customWidth="1"/>
    <col min="51" max="256" width="8.7265625" style="396"/>
    <col min="257" max="257" width="50.7265625" style="396" customWidth="1"/>
    <col min="258" max="285" width="5.26953125" style="396" customWidth="1"/>
    <col min="286" max="286" width="5.81640625" style="396" customWidth="1"/>
    <col min="287" max="290" width="6.1796875" style="396" customWidth="1"/>
    <col min="291" max="295" width="6.7265625" style="396" customWidth="1"/>
    <col min="296" max="298" width="7" style="396" customWidth="1"/>
    <col min="299" max="303" width="7.26953125" style="396" customWidth="1"/>
    <col min="304" max="306" width="10.7265625" style="396" customWidth="1"/>
    <col min="307" max="512" width="8.7265625" style="396"/>
    <col min="513" max="513" width="50.7265625" style="396" customWidth="1"/>
    <col min="514" max="541" width="5.26953125" style="396" customWidth="1"/>
    <col min="542" max="542" width="5.81640625" style="396" customWidth="1"/>
    <col min="543" max="546" width="6.1796875" style="396" customWidth="1"/>
    <col min="547" max="551" width="6.7265625" style="396" customWidth="1"/>
    <col min="552" max="554" width="7" style="396" customWidth="1"/>
    <col min="555" max="559" width="7.26953125" style="396" customWidth="1"/>
    <col min="560" max="562" width="10.7265625" style="396" customWidth="1"/>
    <col min="563" max="768" width="8.7265625" style="396"/>
    <col min="769" max="769" width="50.7265625" style="396" customWidth="1"/>
    <col min="770" max="797" width="5.26953125" style="396" customWidth="1"/>
    <col min="798" max="798" width="5.81640625" style="396" customWidth="1"/>
    <col min="799" max="802" width="6.1796875" style="396" customWidth="1"/>
    <col min="803" max="807" width="6.7265625" style="396" customWidth="1"/>
    <col min="808" max="810" width="7" style="396" customWidth="1"/>
    <col min="811" max="815" width="7.26953125" style="396" customWidth="1"/>
    <col min="816" max="818" width="10.7265625" style="396" customWidth="1"/>
    <col min="819" max="1024" width="8.7265625" style="396"/>
    <col min="1025" max="1025" width="50.7265625" style="396" customWidth="1"/>
    <col min="1026" max="1053" width="5.26953125" style="396" customWidth="1"/>
    <col min="1054" max="1054" width="5.81640625" style="396" customWidth="1"/>
    <col min="1055" max="1058" width="6.1796875" style="396" customWidth="1"/>
    <col min="1059" max="1063" width="6.7265625" style="396" customWidth="1"/>
    <col min="1064" max="1066" width="7" style="396" customWidth="1"/>
    <col min="1067" max="1071" width="7.26953125" style="396" customWidth="1"/>
    <col min="1072" max="1074" width="10.7265625" style="396" customWidth="1"/>
    <col min="1075" max="1280" width="8.7265625" style="396"/>
    <col min="1281" max="1281" width="50.7265625" style="396" customWidth="1"/>
    <col min="1282" max="1309" width="5.26953125" style="396" customWidth="1"/>
    <col min="1310" max="1310" width="5.81640625" style="396" customWidth="1"/>
    <col min="1311" max="1314" width="6.1796875" style="396" customWidth="1"/>
    <col min="1315" max="1319" width="6.7265625" style="396" customWidth="1"/>
    <col min="1320" max="1322" width="7" style="396" customWidth="1"/>
    <col min="1323" max="1327" width="7.26953125" style="396" customWidth="1"/>
    <col min="1328" max="1330" width="10.7265625" style="396" customWidth="1"/>
    <col min="1331" max="1536" width="8.7265625" style="396"/>
    <col min="1537" max="1537" width="50.7265625" style="396" customWidth="1"/>
    <col min="1538" max="1565" width="5.26953125" style="396" customWidth="1"/>
    <col min="1566" max="1566" width="5.81640625" style="396" customWidth="1"/>
    <col min="1567" max="1570" width="6.1796875" style="396" customWidth="1"/>
    <col min="1571" max="1575" width="6.7265625" style="396" customWidth="1"/>
    <col min="1576" max="1578" width="7" style="396" customWidth="1"/>
    <col min="1579" max="1583" width="7.26953125" style="396" customWidth="1"/>
    <col min="1584" max="1586" width="10.7265625" style="396" customWidth="1"/>
    <col min="1587" max="1792" width="8.7265625" style="396"/>
    <col min="1793" max="1793" width="50.7265625" style="396" customWidth="1"/>
    <col min="1794" max="1821" width="5.26953125" style="396" customWidth="1"/>
    <col min="1822" max="1822" width="5.81640625" style="396" customWidth="1"/>
    <col min="1823" max="1826" width="6.1796875" style="396" customWidth="1"/>
    <col min="1827" max="1831" width="6.7265625" style="396" customWidth="1"/>
    <col min="1832" max="1834" width="7" style="396" customWidth="1"/>
    <col min="1835" max="1839" width="7.26953125" style="396" customWidth="1"/>
    <col min="1840" max="1842" width="10.7265625" style="396" customWidth="1"/>
    <col min="1843" max="2048" width="8.7265625" style="396"/>
    <col min="2049" max="2049" width="50.7265625" style="396" customWidth="1"/>
    <col min="2050" max="2077" width="5.26953125" style="396" customWidth="1"/>
    <col min="2078" max="2078" width="5.81640625" style="396" customWidth="1"/>
    <col min="2079" max="2082" width="6.1796875" style="396" customWidth="1"/>
    <col min="2083" max="2087" width="6.7265625" style="396" customWidth="1"/>
    <col min="2088" max="2090" width="7" style="396" customWidth="1"/>
    <col min="2091" max="2095" width="7.26953125" style="396" customWidth="1"/>
    <col min="2096" max="2098" width="10.7265625" style="396" customWidth="1"/>
    <col min="2099" max="2304" width="8.7265625" style="396"/>
    <col min="2305" max="2305" width="50.7265625" style="396" customWidth="1"/>
    <col min="2306" max="2333" width="5.26953125" style="396" customWidth="1"/>
    <col min="2334" max="2334" width="5.81640625" style="396" customWidth="1"/>
    <col min="2335" max="2338" width="6.1796875" style="396" customWidth="1"/>
    <col min="2339" max="2343" width="6.7265625" style="396" customWidth="1"/>
    <col min="2344" max="2346" width="7" style="396" customWidth="1"/>
    <col min="2347" max="2351" width="7.26953125" style="396" customWidth="1"/>
    <col min="2352" max="2354" width="10.7265625" style="396" customWidth="1"/>
    <col min="2355" max="2560" width="8.7265625" style="396"/>
    <col min="2561" max="2561" width="50.7265625" style="396" customWidth="1"/>
    <col min="2562" max="2589" width="5.26953125" style="396" customWidth="1"/>
    <col min="2590" max="2590" width="5.81640625" style="396" customWidth="1"/>
    <col min="2591" max="2594" width="6.1796875" style="396" customWidth="1"/>
    <col min="2595" max="2599" width="6.7265625" style="396" customWidth="1"/>
    <col min="2600" max="2602" width="7" style="396" customWidth="1"/>
    <col min="2603" max="2607" width="7.26953125" style="396" customWidth="1"/>
    <col min="2608" max="2610" width="10.7265625" style="396" customWidth="1"/>
    <col min="2611" max="2816" width="8.7265625" style="396"/>
    <col min="2817" max="2817" width="50.7265625" style="396" customWidth="1"/>
    <col min="2818" max="2845" width="5.26953125" style="396" customWidth="1"/>
    <col min="2846" max="2846" width="5.81640625" style="396" customWidth="1"/>
    <col min="2847" max="2850" width="6.1796875" style="396" customWidth="1"/>
    <col min="2851" max="2855" width="6.7265625" style="396" customWidth="1"/>
    <col min="2856" max="2858" width="7" style="396" customWidth="1"/>
    <col min="2859" max="2863" width="7.26953125" style="396" customWidth="1"/>
    <col min="2864" max="2866" width="10.7265625" style="396" customWidth="1"/>
    <col min="2867" max="3072" width="8.7265625" style="396"/>
    <col min="3073" max="3073" width="50.7265625" style="396" customWidth="1"/>
    <col min="3074" max="3101" width="5.26953125" style="396" customWidth="1"/>
    <col min="3102" max="3102" width="5.81640625" style="396" customWidth="1"/>
    <col min="3103" max="3106" width="6.1796875" style="396" customWidth="1"/>
    <col min="3107" max="3111" width="6.7265625" style="396" customWidth="1"/>
    <col min="3112" max="3114" width="7" style="396" customWidth="1"/>
    <col min="3115" max="3119" width="7.26953125" style="396" customWidth="1"/>
    <col min="3120" max="3122" width="10.7265625" style="396" customWidth="1"/>
    <col min="3123" max="3328" width="8.7265625" style="396"/>
    <col min="3329" max="3329" width="50.7265625" style="396" customWidth="1"/>
    <col min="3330" max="3357" width="5.26953125" style="396" customWidth="1"/>
    <col min="3358" max="3358" width="5.81640625" style="396" customWidth="1"/>
    <col min="3359" max="3362" width="6.1796875" style="396" customWidth="1"/>
    <col min="3363" max="3367" width="6.7265625" style="396" customWidth="1"/>
    <col min="3368" max="3370" width="7" style="396" customWidth="1"/>
    <col min="3371" max="3375" width="7.26953125" style="396" customWidth="1"/>
    <col min="3376" max="3378" width="10.7265625" style="396" customWidth="1"/>
    <col min="3379" max="3584" width="8.7265625" style="396"/>
    <col min="3585" max="3585" width="50.7265625" style="396" customWidth="1"/>
    <col min="3586" max="3613" width="5.26953125" style="396" customWidth="1"/>
    <col min="3614" max="3614" width="5.81640625" style="396" customWidth="1"/>
    <col min="3615" max="3618" width="6.1796875" style="396" customWidth="1"/>
    <col min="3619" max="3623" width="6.7265625" style="396" customWidth="1"/>
    <col min="3624" max="3626" width="7" style="396" customWidth="1"/>
    <col min="3627" max="3631" width="7.26953125" style="396" customWidth="1"/>
    <col min="3632" max="3634" width="10.7265625" style="396" customWidth="1"/>
    <col min="3635" max="3840" width="8.7265625" style="396"/>
    <col min="3841" max="3841" width="50.7265625" style="396" customWidth="1"/>
    <col min="3842" max="3869" width="5.26953125" style="396" customWidth="1"/>
    <col min="3870" max="3870" width="5.81640625" style="396" customWidth="1"/>
    <col min="3871" max="3874" width="6.1796875" style="396" customWidth="1"/>
    <col min="3875" max="3879" width="6.7265625" style="396" customWidth="1"/>
    <col min="3880" max="3882" width="7" style="396" customWidth="1"/>
    <col min="3883" max="3887" width="7.26953125" style="396" customWidth="1"/>
    <col min="3888" max="3890" width="10.7265625" style="396" customWidth="1"/>
    <col min="3891" max="4096" width="8.7265625" style="396"/>
    <col min="4097" max="4097" width="50.7265625" style="396" customWidth="1"/>
    <col min="4098" max="4125" width="5.26953125" style="396" customWidth="1"/>
    <col min="4126" max="4126" width="5.81640625" style="396" customWidth="1"/>
    <col min="4127" max="4130" width="6.1796875" style="396" customWidth="1"/>
    <col min="4131" max="4135" width="6.7265625" style="396" customWidth="1"/>
    <col min="4136" max="4138" width="7" style="396" customWidth="1"/>
    <col min="4139" max="4143" width="7.26953125" style="396" customWidth="1"/>
    <col min="4144" max="4146" width="10.7265625" style="396" customWidth="1"/>
    <col min="4147" max="4352" width="8.7265625" style="396"/>
    <col min="4353" max="4353" width="50.7265625" style="396" customWidth="1"/>
    <col min="4354" max="4381" width="5.26953125" style="396" customWidth="1"/>
    <col min="4382" max="4382" width="5.81640625" style="396" customWidth="1"/>
    <col min="4383" max="4386" width="6.1796875" style="396" customWidth="1"/>
    <col min="4387" max="4391" width="6.7265625" style="396" customWidth="1"/>
    <col min="4392" max="4394" width="7" style="396" customWidth="1"/>
    <col min="4395" max="4399" width="7.26953125" style="396" customWidth="1"/>
    <col min="4400" max="4402" width="10.7265625" style="396" customWidth="1"/>
    <col min="4403" max="4608" width="8.7265625" style="396"/>
    <col min="4609" max="4609" width="50.7265625" style="396" customWidth="1"/>
    <col min="4610" max="4637" width="5.26953125" style="396" customWidth="1"/>
    <col min="4638" max="4638" width="5.81640625" style="396" customWidth="1"/>
    <col min="4639" max="4642" width="6.1796875" style="396" customWidth="1"/>
    <col min="4643" max="4647" width="6.7265625" style="396" customWidth="1"/>
    <col min="4648" max="4650" width="7" style="396" customWidth="1"/>
    <col min="4651" max="4655" width="7.26953125" style="396" customWidth="1"/>
    <col min="4656" max="4658" width="10.7265625" style="396" customWidth="1"/>
    <col min="4659" max="4864" width="8.7265625" style="396"/>
    <col min="4865" max="4865" width="50.7265625" style="396" customWidth="1"/>
    <col min="4866" max="4893" width="5.26953125" style="396" customWidth="1"/>
    <col min="4894" max="4894" width="5.81640625" style="396" customWidth="1"/>
    <col min="4895" max="4898" width="6.1796875" style="396" customWidth="1"/>
    <col min="4899" max="4903" width="6.7265625" style="396" customWidth="1"/>
    <col min="4904" max="4906" width="7" style="396" customWidth="1"/>
    <col min="4907" max="4911" width="7.26953125" style="396" customWidth="1"/>
    <col min="4912" max="4914" width="10.7265625" style="396" customWidth="1"/>
    <col min="4915" max="5120" width="8.7265625" style="396"/>
    <col min="5121" max="5121" width="50.7265625" style="396" customWidth="1"/>
    <col min="5122" max="5149" width="5.26953125" style="396" customWidth="1"/>
    <col min="5150" max="5150" width="5.81640625" style="396" customWidth="1"/>
    <col min="5151" max="5154" width="6.1796875" style="396" customWidth="1"/>
    <col min="5155" max="5159" width="6.7265625" style="396" customWidth="1"/>
    <col min="5160" max="5162" width="7" style="396" customWidth="1"/>
    <col min="5163" max="5167" width="7.26953125" style="396" customWidth="1"/>
    <col min="5168" max="5170" width="10.7265625" style="396" customWidth="1"/>
    <col min="5171" max="5376" width="8.7265625" style="396"/>
    <col min="5377" max="5377" width="50.7265625" style="396" customWidth="1"/>
    <col min="5378" max="5405" width="5.26953125" style="396" customWidth="1"/>
    <col min="5406" max="5406" width="5.81640625" style="396" customWidth="1"/>
    <col min="5407" max="5410" width="6.1796875" style="396" customWidth="1"/>
    <col min="5411" max="5415" width="6.7265625" style="396" customWidth="1"/>
    <col min="5416" max="5418" width="7" style="396" customWidth="1"/>
    <col min="5419" max="5423" width="7.26953125" style="396" customWidth="1"/>
    <col min="5424" max="5426" width="10.7265625" style="396" customWidth="1"/>
    <col min="5427" max="5632" width="8.7265625" style="396"/>
    <col min="5633" max="5633" width="50.7265625" style="396" customWidth="1"/>
    <col min="5634" max="5661" width="5.26953125" style="396" customWidth="1"/>
    <col min="5662" max="5662" width="5.81640625" style="396" customWidth="1"/>
    <col min="5663" max="5666" width="6.1796875" style="396" customWidth="1"/>
    <col min="5667" max="5671" width="6.7265625" style="396" customWidth="1"/>
    <col min="5672" max="5674" width="7" style="396" customWidth="1"/>
    <col min="5675" max="5679" width="7.26953125" style="396" customWidth="1"/>
    <col min="5680" max="5682" width="10.7265625" style="396" customWidth="1"/>
    <col min="5683" max="5888" width="8.7265625" style="396"/>
    <col min="5889" max="5889" width="50.7265625" style="396" customWidth="1"/>
    <col min="5890" max="5917" width="5.26953125" style="396" customWidth="1"/>
    <col min="5918" max="5918" width="5.81640625" style="396" customWidth="1"/>
    <col min="5919" max="5922" width="6.1796875" style="396" customWidth="1"/>
    <col min="5923" max="5927" width="6.7265625" style="396" customWidth="1"/>
    <col min="5928" max="5930" width="7" style="396" customWidth="1"/>
    <col min="5931" max="5935" width="7.26953125" style="396" customWidth="1"/>
    <col min="5936" max="5938" width="10.7265625" style="396" customWidth="1"/>
    <col min="5939" max="6144" width="8.7265625" style="396"/>
    <col min="6145" max="6145" width="50.7265625" style="396" customWidth="1"/>
    <col min="6146" max="6173" width="5.26953125" style="396" customWidth="1"/>
    <col min="6174" max="6174" width="5.81640625" style="396" customWidth="1"/>
    <col min="6175" max="6178" width="6.1796875" style="396" customWidth="1"/>
    <col min="6179" max="6183" width="6.7265625" style="396" customWidth="1"/>
    <col min="6184" max="6186" width="7" style="396" customWidth="1"/>
    <col min="6187" max="6191" width="7.26953125" style="396" customWidth="1"/>
    <col min="6192" max="6194" width="10.7265625" style="396" customWidth="1"/>
    <col min="6195" max="6400" width="8.7265625" style="396"/>
    <col min="6401" max="6401" width="50.7265625" style="396" customWidth="1"/>
    <col min="6402" max="6429" width="5.26953125" style="396" customWidth="1"/>
    <col min="6430" max="6430" width="5.81640625" style="396" customWidth="1"/>
    <col min="6431" max="6434" width="6.1796875" style="396" customWidth="1"/>
    <col min="6435" max="6439" width="6.7265625" style="396" customWidth="1"/>
    <col min="6440" max="6442" width="7" style="396" customWidth="1"/>
    <col min="6443" max="6447" width="7.26953125" style="396" customWidth="1"/>
    <col min="6448" max="6450" width="10.7265625" style="396" customWidth="1"/>
    <col min="6451" max="6656" width="8.7265625" style="396"/>
    <col min="6657" max="6657" width="50.7265625" style="396" customWidth="1"/>
    <col min="6658" max="6685" width="5.26953125" style="396" customWidth="1"/>
    <col min="6686" max="6686" width="5.81640625" style="396" customWidth="1"/>
    <col min="6687" max="6690" width="6.1796875" style="396" customWidth="1"/>
    <col min="6691" max="6695" width="6.7265625" style="396" customWidth="1"/>
    <col min="6696" max="6698" width="7" style="396" customWidth="1"/>
    <col min="6699" max="6703" width="7.26953125" style="396" customWidth="1"/>
    <col min="6704" max="6706" width="10.7265625" style="396" customWidth="1"/>
    <col min="6707" max="6912" width="8.7265625" style="396"/>
    <col min="6913" max="6913" width="50.7265625" style="396" customWidth="1"/>
    <col min="6914" max="6941" width="5.26953125" style="396" customWidth="1"/>
    <col min="6942" max="6942" width="5.81640625" style="396" customWidth="1"/>
    <col min="6943" max="6946" width="6.1796875" style="396" customWidth="1"/>
    <col min="6947" max="6951" width="6.7265625" style="396" customWidth="1"/>
    <col min="6952" max="6954" width="7" style="396" customWidth="1"/>
    <col min="6955" max="6959" width="7.26953125" style="396" customWidth="1"/>
    <col min="6960" max="6962" width="10.7265625" style="396" customWidth="1"/>
    <col min="6963" max="7168" width="8.7265625" style="396"/>
    <col min="7169" max="7169" width="50.7265625" style="396" customWidth="1"/>
    <col min="7170" max="7197" width="5.26953125" style="396" customWidth="1"/>
    <col min="7198" max="7198" width="5.81640625" style="396" customWidth="1"/>
    <col min="7199" max="7202" width="6.1796875" style="396" customWidth="1"/>
    <col min="7203" max="7207" width="6.7265625" style="396" customWidth="1"/>
    <col min="7208" max="7210" width="7" style="396" customWidth="1"/>
    <col min="7211" max="7215" width="7.26953125" style="396" customWidth="1"/>
    <col min="7216" max="7218" width="10.7265625" style="396" customWidth="1"/>
    <col min="7219" max="7424" width="8.7265625" style="396"/>
    <col min="7425" max="7425" width="50.7265625" style="396" customWidth="1"/>
    <col min="7426" max="7453" width="5.26953125" style="396" customWidth="1"/>
    <col min="7454" max="7454" width="5.81640625" style="396" customWidth="1"/>
    <col min="7455" max="7458" width="6.1796875" style="396" customWidth="1"/>
    <col min="7459" max="7463" width="6.7265625" style="396" customWidth="1"/>
    <col min="7464" max="7466" width="7" style="396" customWidth="1"/>
    <col min="7467" max="7471" width="7.26953125" style="396" customWidth="1"/>
    <col min="7472" max="7474" width="10.7265625" style="396" customWidth="1"/>
    <col min="7475" max="7680" width="8.7265625" style="396"/>
    <col min="7681" max="7681" width="50.7265625" style="396" customWidth="1"/>
    <col min="7682" max="7709" width="5.26953125" style="396" customWidth="1"/>
    <col min="7710" max="7710" width="5.81640625" style="396" customWidth="1"/>
    <col min="7711" max="7714" width="6.1796875" style="396" customWidth="1"/>
    <col min="7715" max="7719" width="6.7265625" style="396" customWidth="1"/>
    <col min="7720" max="7722" width="7" style="396" customWidth="1"/>
    <col min="7723" max="7727" width="7.26953125" style="396" customWidth="1"/>
    <col min="7728" max="7730" width="10.7265625" style="396" customWidth="1"/>
    <col min="7731" max="7936" width="8.7265625" style="396"/>
    <col min="7937" max="7937" width="50.7265625" style="396" customWidth="1"/>
    <col min="7938" max="7965" width="5.26953125" style="396" customWidth="1"/>
    <col min="7966" max="7966" width="5.81640625" style="396" customWidth="1"/>
    <col min="7967" max="7970" width="6.1796875" style="396" customWidth="1"/>
    <col min="7971" max="7975" width="6.7265625" style="396" customWidth="1"/>
    <col min="7976" max="7978" width="7" style="396" customWidth="1"/>
    <col min="7979" max="7983" width="7.26953125" style="396" customWidth="1"/>
    <col min="7984" max="7986" width="10.7265625" style="396" customWidth="1"/>
    <col min="7987" max="8192" width="8.7265625" style="396"/>
    <col min="8193" max="8193" width="50.7265625" style="396" customWidth="1"/>
    <col min="8194" max="8221" width="5.26953125" style="396" customWidth="1"/>
    <col min="8222" max="8222" width="5.81640625" style="396" customWidth="1"/>
    <col min="8223" max="8226" width="6.1796875" style="396" customWidth="1"/>
    <col min="8227" max="8231" width="6.7265625" style="396" customWidth="1"/>
    <col min="8232" max="8234" width="7" style="396" customWidth="1"/>
    <col min="8235" max="8239" width="7.26953125" style="396" customWidth="1"/>
    <col min="8240" max="8242" width="10.7265625" style="396" customWidth="1"/>
    <col min="8243" max="8448" width="8.7265625" style="396"/>
    <col min="8449" max="8449" width="50.7265625" style="396" customWidth="1"/>
    <col min="8450" max="8477" width="5.26953125" style="396" customWidth="1"/>
    <col min="8478" max="8478" width="5.81640625" style="396" customWidth="1"/>
    <col min="8479" max="8482" width="6.1796875" style="396" customWidth="1"/>
    <col min="8483" max="8487" width="6.7265625" style="396" customWidth="1"/>
    <col min="8488" max="8490" width="7" style="396" customWidth="1"/>
    <col min="8491" max="8495" width="7.26953125" style="396" customWidth="1"/>
    <col min="8496" max="8498" width="10.7265625" style="396" customWidth="1"/>
    <col min="8499" max="8704" width="8.7265625" style="396"/>
    <col min="8705" max="8705" width="50.7265625" style="396" customWidth="1"/>
    <col min="8706" max="8733" width="5.26953125" style="396" customWidth="1"/>
    <col min="8734" max="8734" width="5.81640625" style="396" customWidth="1"/>
    <col min="8735" max="8738" width="6.1796875" style="396" customWidth="1"/>
    <col min="8739" max="8743" width="6.7265625" style="396" customWidth="1"/>
    <col min="8744" max="8746" width="7" style="396" customWidth="1"/>
    <col min="8747" max="8751" width="7.26953125" style="396" customWidth="1"/>
    <col min="8752" max="8754" width="10.7265625" style="396" customWidth="1"/>
    <col min="8755" max="8960" width="8.7265625" style="396"/>
    <col min="8961" max="8961" width="50.7265625" style="396" customWidth="1"/>
    <col min="8962" max="8989" width="5.26953125" style="396" customWidth="1"/>
    <col min="8990" max="8990" width="5.81640625" style="396" customWidth="1"/>
    <col min="8991" max="8994" width="6.1796875" style="396" customWidth="1"/>
    <col min="8995" max="8999" width="6.7265625" style="396" customWidth="1"/>
    <col min="9000" max="9002" width="7" style="396" customWidth="1"/>
    <col min="9003" max="9007" width="7.26953125" style="396" customWidth="1"/>
    <col min="9008" max="9010" width="10.7265625" style="396" customWidth="1"/>
    <col min="9011" max="9216" width="8.7265625" style="396"/>
    <col min="9217" max="9217" width="50.7265625" style="396" customWidth="1"/>
    <col min="9218" max="9245" width="5.26953125" style="396" customWidth="1"/>
    <col min="9246" max="9246" width="5.81640625" style="396" customWidth="1"/>
    <col min="9247" max="9250" width="6.1796875" style="396" customWidth="1"/>
    <col min="9251" max="9255" width="6.7265625" style="396" customWidth="1"/>
    <col min="9256" max="9258" width="7" style="396" customWidth="1"/>
    <col min="9259" max="9263" width="7.26953125" style="396" customWidth="1"/>
    <col min="9264" max="9266" width="10.7265625" style="396" customWidth="1"/>
    <col min="9267" max="9472" width="8.7265625" style="396"/>
    <col min="9473" max="9473" width="50.7265625" style="396" customWidth="1"/>
    <col min="9474" max="9501" width="5.26953125" style="396" customWidth="1"/>
    <col min="9502" max="9502" width="5.81640625" style="396" customWidth="1"/>
    <col min="9503" max="9506" width="6.1796875" style="396" customWidth="1"/>
    <col min="9507" max="9511" width="6.7265625" style="396" customWidth="1"/>
    <col min="9512" max="9514" width="7" style="396" customWidth="1"/>
    <col min="9515" max="9519" width="7.26953125" style="396" customWidth="1"/>
    <col min="9520" max="9522" width="10.7265625" style="396" customWidth="1"/>
    <col min="9523" max="9728" width="8.7265625" style="396"/>
    <col min="9729" max="9729" width="50.7265625" style="396" customWidth="1"/>
    <col min="9730" max="9757" width="5.26953125" style="396" customWidth="1"/>
    <col min="9758" max="9758" width="5.81640625" style="396" customWidth="1"/>
    <col min="9759" max="9762" width="6.1796875" style="396" customWidth="1"/>
    <col min="9763" max="9767" width="6.7265625" style="396" customWidth="1"/>
    <col min="9768" max="9770" width="7" style="396" customWidth="1"/>
    <col min="9771" max="9775" width="7.26953125" style="396" customWidth="1"/>
    <col min="9776" max="9778" width="10.7265625" style="396" customWidth="1"/>
    <col min="9779" max="9984" width="8.7265625" style="396"/>
    <col min="9985" max="9985" width="50.7265625" style="396" customWidth="1"/>
    <col min="9986" max="10013" width="5.26953125" style="396" customWidth="1"/>
    <col min="10014" max="10014" width="5.81640625" style="396" customWidth="1"/>
    <col min="10015" max="10018" width="6.1796875" style="396" customWidth="1"/>
    <col min="10019" max="10023" width="6.7265625" style="396" customWidth="1"/>
    <col min="10024" max="10026" width="7" style="396" customWidth="1"/>
    <col min="10027" max="10031" width="7.26953125" style="396" customWidth="1"/>
    <col min="10032" max="10034" width="10.7265625" style="396" customWidth="1"/>
    <col min="10035" max="10240" width="8.7265625" style="396"/>
    <col min="10241" max="10241" width="50.7265625" style="396" customWidth="1"/>
    <col min="10242" max="10269" width="5.26953125" style="396" customWidth="1"/>
    <col min="10270" max="10270" width="5.81640625" style="396" customWidth="1"/>
    <col min="10271" max="10274" width="6.1796875" style="396" customWidth="1"/>
    <col min="10275" max="10279" width="6.7265625" style="396" customWidth="1"/>
    <col min="10280" max="10282" width="7" style="396" customWidth="1"/>
    <col min="10283" max="10287" width="7.26953125" style="396" customWidth="1"/>
    <col min="10288" max="10290" width="10.7265625" style="396" customWidth="1"/>
    <col min="10291" max="10496" width="8.7265625" style="396"/>
    <col min="10497" max="10497" width="50.7265625" style="396" customWidth="1"/>
    <col min="10498" max="10525" width="5.26953125" style="396" customWidth="1"/>
    <col min="10526" max="10526" width="5.81640625" style="396" customWidth="1"/>
    <col min="10527" max="10530" width="6.1796875" style="396" customWidth="1"/>
    <col min="10531" max="10535" width="6.7265625" style="396" customWidth="1"/>
    <col min="10536" max="10538" width="7" style="396" customWidth="1"/>
    <col min="10539" max="10543" width="7.26953125" style="396" customWidth="1"/>
    <col min="10544" max="10546" width="10.7265625" style="396" customWidth="1"/>
    <col min="10547" max="10752" width="8.7265625" style="396"/>
    <col min="10753" max="10753" width="50.7265625" style="396" customWidth="1"/>
    <col min="10754" max="10781" width="5.26953125" style="396" customWidth="1"/>
    <col min="10782" max="10782" width="5.81640625" style="396" customWidth="1"/>
    <col min="10783" max="10786" width="6.1796875" style="396" customWidth="1"/>
    <col min="10787" max="10791" width="6.7265625" style="396" customWidth="1"/>
    <col min="10792" max="10794" width="7" style="396" customWidth="1"/>
    <col min="10795" max="10799" width="7.26953125" style="396" customWidth="1"/>
    <col min="10800" max="10802" width="10.7265625" style="396" customWidth="1"/>
    <col min="10803" max="11008" width="8.7265625" style="396"/>
    <col min="11009" max="11009" width="50.7265625" style="396" customWidth="1"/>
    <col min="11010" max="11037" width="5.26953125" style="396" customWidth="1"/>
    <col min="11038" max="11038" width="5.81640625" style="396" customWidth="1"/>
    <col min="11039" max="11042" width="6.1796875" style="396" customWidth="1"/>
    <col min="11043" max="11047" width="6.7265625" style="396" customWidth="1"/>
    <col min="11048" max="11050" width="7" style="396" customWidth="1"/>
    <col min="11051" max="11055" width="7.26953125" style="396" customWidth="1"/>
    <col min="11056" max="11058" width="10.7265625" style="396" customWidth="1"/>
    <col min="11059" max="11264" width="8.7265625" style="396"/>
    <col min="11265" max="11265" width="50.7265625" style="396" customWidth="1"/>
    <col min="11266" max="11293" width="5.26953125" style="396" customWidth="1"/>
    <col min="11294" max="11294" width="5.81640625" style="396" customWidth="1"/>
    <col min="11295" max="11298" width="6.1796875" style="396" customWidth="1"/>
    <col min="11299" max="11303" width="6.7265625" style="396" customWidth="1"/>
    <col min="11304" max="11306" width="7" style="396" customWidth="1"/>
    <col min="11307" max="11311" width="7.26953125" style="396" customWidth="1"/>
    <col min="11312" max="11314" width="10.7265625" style="396" customWidth="1"/>
    <col min="11315" max="11520" width="8.7265625" style="396"/>
    <col min="11521" max="11521" width="50.7265625" style="396" customWidth="1"/>
    <col min="11522" max="11549" width="5.26953125" style="396" customWidth="1"/>
    <col min="11550" max="11550" width="5.81640625" style="396" customWidth="1"/>
    <col min="11551" max="11554" width="6.1796875" style="396" customWidth="1"/>
    <col min="11555" max="11559" width="6.7265625" style="396" customWidth="1"/>
    <col min="11560" max="11562" width="7" style="396" customWidth="1"/>
    <col min="11563" max="11567" width="7.26953125" style="396" customWidth="1"/>
    <col min="11568" max="11570" width="10.7265625" style="396" customWidth="1"/>
    <col min="11571" max="11776" width="8.7265625" style="396"/>
    <col min="11777" max="11777" width="50.7265625" style="396" customWidth="1"/>
    <col min="11778" max="11805" width="5.26953125" style="396" customWidth="1"/>
    <col min="11806" max="11806" width="5.81640625" style="396" customWidth="1"/>
    <col min="11807" max="11810" width="6.1796875" style="396" customWidth="1"/>
    <col min="11811" max="11815" width="6.7265625" style="396" customWidth="1"/>
    <col min="11816" max="11818" width="7" style="396" customWidth="1"/>
    <col min="11819" max="11823" width="7.26953125" style="396" customWidth="1"/>
    <col min="11824" max="11826" width="10.7265625" style="396" customWidth="1"/>
    <col min="11827" max="12032" width="8.7265625" style="396"/>
    <col min="12033" max="12033" width="50.7265625" style="396" customWidth="1"/>
    <col min="12034" max="12061" width="5.26953125" style="396" customWidth="1"/>
    <col min="12062" max="12062" width="5.81640625" style="396" customWidth="1"/>
    <col min="12063" max="12066" width="6.1796875" style="396" customWidth="1"/>
    <col min="12067" max="12071" width="6.7265625" style="396" customWidth="1"/>
    <col min="12072" max="12074" width="7" style="396" customWidth="1"/>
    <col min="12075" max="12079" width="7.26953125" style="396" customWidth="1"/>
    <col min="12080" max="12082" width="10.7265625" style="396" customWidth="1"/>
    <col min="12083" max="12288" width="8.7265625" style="396"/>
    <col min="12289" max="12289" width="50.7265625" style="396" customWidth="1"/>
    <col min="12290" max="12317" width="5.26953125" style="396" customWidth="1"/>
    <col min="12318" max="12318" width="5.81640625" style="396" customWidth="1"/>
    <col min="12319" max="12322" width="6.1796875" style="396" customWidth="1"/>
    <col min="12323" max="12327" width="6.7265625" style="396" customWidth="1"/>
    <col min="12328" max="12330" width="7" style="396" customWidth="1"/>
    <col min="12331" max="12335" width="7.26953125" style="396" customWidth="1"/>
    <col min="12336" max="12338" width="10.7265625" style="396" customWidth="1"/>
    <col min="12339" max="12544" width="8.7265625" style="396"/>
    <col min="12545" max="12545" width="50.7265625" style="396" customWidth="1"/>
    <col min="12546" max="12573" width="5.26953125" style="396" customWidth="1"/>
    <col min="12574" max="12574" width="5.81640625" style="396" customWidth="1"/>
    <col min="12575" max="12578" width="6.1796875" style="396" customWidth="1"/>
    <col min="12579" max="12583" width="6.7265625" style="396" customWidth="1"/>
    <col min="12584" max="12586" width="7" style="396" customWidth="1"/>
    <col min="12587" max="12591" width="7.26953125" style="396" customWidth="1"/>
    <col min="12592" max="12594" width="10.7265625" style="396" customWidth="1"/>
    <col min="12595" max="12800" width="8.7265625" style="396"/>
    <col min="12801" max="12801" width="50.7265625" style="396" customWidth="1"/>
    <col min="12802" max="12829" width="5.26953125" style="396" customWidth="1"/>
    <col min="12830" max="12830" width="5.81640625" style="396" customWidth="1"/>
    <col min="12831" max="12834" width="6.1796875" style="396" customWidth="1"/>
    <col min="12835" max="12839" width="6.7265625" style="396" customWidth="1"/>
    <col min="12840" max="12842" width="7" style="396" customWidth="1"/>
    <col min="12843" max="12847" width="7.26953125" style="396" customWidth="1"/>
    <col min="12848" max="12850" width="10.7265625" style="396" customWidth="1"/>
    <col min="12851" max="13056" width="8.7265625" style="396"/>
    <col min="13057" max="13057" width="50.7265625" style="396" customWidth="1"/>
    <col min="13058" max="13085" width="5.26953125" style="396" customWidth="1"/>
    <col min="13086" max="13086" width="5.81640625" style="396" customWidth="1"/>
    <col min="13087" max="13090" width="6.1796875" style="396" customWidth="1"/>
    <col min="13091" max="13095" width="6.7265625" style="396" customWidth="1"/>
    <col min="13096" max="13098" width="7" style="396" customWidth="1"/>
    <col min="13099" max="13103" width="7.26953125" style="396" customWidth="1"/>
    <col min="13104" max="13106" width="10.7265625" style="396" customWidth="1"/>
    <col min="13107" max="13312" width="8.7265625" style="396"/>
    <col min="13313" max="13313" width="50.7265625" style="396" customWidth="1"/>
    <col min="13314" max="13341" width="5.26953125" style="396" customWidth="1"/>
    <col min="13342" max="13342" width="5.81640625" style="396" customWidth="1"/>
    <col min="13343" max="13346" width="6.1796875" style="396" customWidth="1"/>
    <col min="13347" max="13351" width="6.7265625" style="396" customWidth="1"/>
    <col min="13352" max="13354" width="7" style="396" customWidth="1"/>
    <col min="13355" max="13359" width="7.26953125" style="396" customWidth="1"/>
    <col min="13360" max="13362" width="10.7265625" style="396" customWidth="1"/>
    <col min="13363" max="13568" width="8.7265625" style="396"/>
    <col min="13569" max="13569" width="50.7265625" style="396" customWidth="1"/>
    <col min="13570" max="13597" width="5.26953125" style="396" customWidth="1"/>
    <col min="13598" max="13598" width="5.81640625" style="396" customWidth="1"/>
    <col min="13599" max="13602" width="6.1796875" style="396" customWidth="1"/>
    <col min="13603" max="13607" width="6.7265625" style="396" customWidth="1"/>
    <col min="13608" max="13610" width="7" style="396" customWidth="1"/>
    <col min="13611" max="13615" width="7.26953125" style="396" customWidth="1"/>
    <col min="13616" max="13618" width="10.7265625" style="396" customWidth="1"/>
    <col min="13619" max="13824" width="8.7265625" style="396"/>
    <col min="13825" max="13825" width="50.7265625" style="396" customWidth="1"/>
    <col min="13826" max="13853" width="5.26953125" style="396" customWidth="1"/>
    <col min="13854" max="13854" width="5.81640625" style="396" customWidth="1"/>
    <col min="13855" max="13858" width="6.1796875" style="396" customWidth="1"/>
    <col min="13859" max="13863" width="6.7265625" style="396" customWidth="1"/>
    <col min="13864" max="13866" width="7" style="396" customWidth="1"/>
    <col min="13867" max="13871" width="7.26953125" style="396" customWidth="1"/>
    <col min="13872" max="13874" width="10.7265625" style="396" customWidth="1"/>
    <col min="13875" max="14080" width="8.7265625" style="396"/>
    <col min="14081" max="14081" width="50.7265625" style="396" customWidth="1"/>
    <col min="14082" max="14109" width="5.26953125" style="396" customWidth="1"/>
    <col min="14110" max="14110" width="5.81640625" style="396" customWidth="1"/>
    <col min="14111" max="14114" width="6.1796875" style="396" customWidth="1"/>
    <col min="14115" max="14119" width="6.7265625" style="396" customWidth="1"/>
    <col min="14120" max="14122" width="7" style="396" customWidth="1"/>
    <col min="14123" max="14127" width="7.26953125" style="396" customWidth="1"/>
    <col min="14128" max="14130" width="10.7265625" style="396" customWidth="1"/>
    <col min="14131" max="14336" width="8.7265625" style="396"/>
    <col min="14337" max="14337" width="50.7265625" style="396" customWidth="1"/>
    <col min="14338" max="14365" width="5.26953125" style="396" customWidth="1"/>
    <col min="14366" max="14366" width="5.81640625" style="396" customWidth="1"/>
    <col min="14367" max="14370" width="6.1796875" style="396" customWidth="1"/>
    <col min="14371" max="14375" width="6.7265625" style="396" customWidth="1"/>
    <col min="14376" max="14378" width="7" style="396" customWidth="1"/>
    <col min="14379" max="14383" width="7.26953125" style="396" customWidth="1"/>
    <col min="14384" max="14386" width="10.7265625" style="396" customWidth="1"/>
    <col min="14387" max="14592" width="8.7265625" style="396"/>
    <col min="14593" max="14593" width="50.7265625" style="396" customWidth="1"/>
    <col min="14594" max="14621" width="5.26953125" style="396" customWidth="1"/>
    <col min="14622" max="14622" width="5.81640625" style="396" customWidth="1"/>
    <col min="14623" max="14626" width="6.1796875" style="396" customWidth="1"/>
    <col min="14627" max="14631" width="6.7265625" style="396" customWidth="1"/>
    <col min="14632" max="14634" width="7" style="396" customWidth="1"/>
    <col min="14635" max="14639" width="7.26953125" style="396" customWidth="1"/>
    <col min="14640" max="14642" width="10.7265625" style="396" customWidth="1"/>
    <col min="14643" max="14848" width="8.7265625" style="396"/>
    <col min="14849" max="14849" width="50.7265625" style="396" customWidth="1"/>
    <col min="14850" max="14877" width="5.26953125" style="396" customWidth="1"/>
    <col min="14878" max="14878" width="5.81640625" style="396" customWidth="1"/>
    <col min="14879" max="14882" width="6.1796875" style="396" customWidth="1"/>
    <col min="14883" max="14887" width="6.7265625" style="396" customWidth="1"/>
    <col min="14888" max="14890" width="7" style="396" customWidth="1"/>
    <col min="14891" max="14895" width="7.26953125" style="396" customWidth="1"/>
    <col min="14896" max="14898" width="10.7265625" style="396" customWidth="1"/>
    <col min="14899" max="15104" width="8.7265625" style="396"/>
    <col min="15105" max="15105" width="50.7265625" style="396" customWidth="1"/>
    <col min="15106" max="15133" width="5.26953125" style="396" customWidth="1"/>
    <col min="15134" max="15134" width="5.81640625" style="396" customWidth="1"/>
    <col min="15135" max="15138" width="6.1796875" style="396" customWidth="1"/>
    <col min="15139" max="15143" width="6.7265625" style="396" customWidth="1"/>
    <col min="15144" max="15146" width="7" style="396" customWidth="1"/>
    <col min="15147" max="15151" width="7.26953125" style="396" customWidth="1"/>
    <col min="15152" max="15154" width="10.7265625" style="396" customWidth="1"/>
    <col min="15155" max="15360" width="8.7265625" style="396"/>
    <col min="15361" max="15361" width="50.7265625" style="396" customWidth="1"/>
    <col min="15362" max="15389" width="5.26953125" style="396" customWidth="1"/>
    <col min="15390" max="15390" width="5.81640625" style="396" customWidth="1"/>
    <col min="15391" max="15394" width="6.1796875" style="396" customWidth="1"/>
    <col min="15395" max="15399" width="6.7265625" style="396" customWidth="1"/>
    <col min="15400" max="15402" width="7" style="396" customWidth="1"/>
    <col min="15403" max="15407" width="7.26953125" style="396" customWidth="1"/>
    <col min="15408" max="15410" width="10.7265625" style="396" customWidth="1"/>
    <col min="15411" max="15616" width="8.7265625" style="396"/>
    <col min="15617" max="15617" width="50.7265625" style="396" customWidth="1"/>
    <col min="15618" max="15645" width="5.26953125" style="396" customWidth="1"/>
    <col min="15646" max="15646" width="5.81640625" style="396" customWidth="1"/>
    <col min="15647" max="15650" width="6.1796875" style="396" customWidth="1"/>
    <col min="15651" max="15655" width="6.7265625" style="396" customWidth="1"/>
    <col min="15656" max="15658" width="7" style="396" customWidth="1"/>
    <col min="15659" max="15663" width="7.26953125" style="396" customWidth="1"/>
    <col min="15664" max="15666" width="10.7265625" style="396" customWidth="1"/>
    <col min="15667" max="15872" width="8.7265625" style="396"/>
    <col min="15873" max="15873" width="50.7265625" style="396" customWidth="1"/>
    <col min="15874" max="15901" width="5.26953125" style="396" customWidth="1"/>
    <col min="15902" max="15902" width="5.81640625" style="396" customWidth="1"/>
    <col min="15903" max="15906" width="6.1796875" style="396" customWidth="1"/>
    <col min="15907" max="15911" width="6.7265625" style="396" customWidth="1"/>
    <col min="15912" max="15914" width="7" style="396" customWidth="1"/>
    <col min="15915" max="15919" width="7.26953125" style="396" customWidth="1"/>
    <col min="15920" max="15922" width="10.7265625" style="396" customWidth="1"/>
    <col min="15923" max="16128" width="8.7265625" style="396"/>
    <col min="16129" max="16129" width="50.7265625" style="396" customWidth="1"/>
    <col min="16130" max="16157" width="5.26953125" style="396" customWidth="1"/>
    <col min="16158" max="16158" width="5.81640625" style="396" customWidth="1"/>
    <col min="16159" max="16162" width="6.1796875" style="396" customWidth="1"/>
    <col min="16163" max="16167" width="6.7265625" style="396" customWidth="1"/>
    <col min="16168" max="16170" width="7" style="396" customWidth="1"/>
    <col min="16171" max="16175" width="7.26953125" style="396" customWidth="1"/>
    <col min="16176" max="16178" width="10.7265625" style="396" customWidth="1"/>
    <col min="16179" max="16384" width="8.7265625" style="396"/>
  </cols>
  <sheetData>
    <row r="1" spans="1:52" ht="13">
      <c r="A1" s="440" t="s">
        <v>771</v>
      </c>
    </row>
    <row r="2" spans="1:52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52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</row>
    <row r="4" spans="1:52" ht="13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2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2" ht="13">
      <c r="A6" s="446" t="s">
        <v>749</v>
      </c>
      <c r="B6" s="449">
        <v>3862.4030973792073</v>
      </c>
      <c r="C6" s="449">
        <v>3969.4996926546037</v>
      </c>
      <c r="D6" s="449">
        <v>4372.1125368245494</v>
      </c>
      <c r="E6" s="449">
        <v>4517.9046422895281</v>
      </c>
      <c r="F6" s="449">
        <v>5068.4854440884956</v>
      </c>
      <c r="G6" s="449">
        <v>5370.8998483168962</v>
      </c>
      <c r="H6" s="449">
        <v>5506.7016281445076</v>
      </c>
      <c r="I6" s="449">
        <v>5710.315482309602</v>
      </c>
      <c r="J6" s="449">
        <v>6089.393283429954</v>
      </c>
      <c r="K6" s="449">
        <v>6532.1192997514709</v>
      </c>
      <c r="L6" s="449">
        <v>6955.2555889221421</v>
      </c>
      <c r="M6" s="449">
        <v>7457.4889206160851</v>
      </c>
      <c r="N6" s="449">
        <v>7955.4213642215891</v>
      </c>
      <c r="O6" s="449">
        <v>8634.5718915076995</v>
      </c>
      <c r="P6" s="449">
        <v>9535.7723543112897</v>
      </c>
      <c r="Q6" s="449">
        <v>10519.911995224298</v>
      </c>
      <c r="R6" s="449">
        <v>11118.800224838984</v>
      </c>
      <c r="S6" s="449">
        <v>11904.537886929145</v>
      </c>
      <c r="T6" s="449">
        <v>14016.875755228122</v>
      </c>
      <c r="U6" s="449">
        <v>15221.602019816732</v>
      </c>
      <c r="V6" s="449">
        <v>17662.410571587901</v>
      </c>
      <c r="W6" s="449">
        <v>19536.079977818747</v>
      </c>
      <c r="X6" s="449">
        <v>21930.844056553786</v>
      </c>
      <c r="Y6" s="449">
        <v>26684.536611296273</v>
      </c>
      <c r="Z6" s="449">
        <v>28884.119239036419</v>
      </c>
      <c r="AA6" s="449">
        <v>32717.399761253982</v>
      </c>
      <c r="AB6" s="449">
        <v>39415.703574453517</v>
      </c>
      <c r="AC6" s="449">
        <v>46685.367420422095</v>
      </c>
      <c r="AD6" s="449">
        <v>51282.980325844503</v>
      </c>
      <c r="AE6" s="449">
        <v>74538.862812392807</v>
      </c>
      <c r="AF6" s="449">
        <v>102946.25347012386</v>
      </c>
      <c r="AG6" s="449">
        <v>126995.70255166128</v>
      </c>
      <c r="AH6" s="449">
        <v>166459.11265480582</v>
      </c>
      <c r="AI6" s="449">
        <v>218495.57977348103</v>
      </c>
      <c r="AJ6" s="449">
        <v>289032.30857615813</v>
      </c>
      <c r="AK6" s="449">
        <v>372300.64979097457</v>
      </c>
      <c r="AL6" s="449">
        <v>507495.05990984011</v>
      </c>
      <c r="AM6" s="449">
        <v>589072.77307661832</v>
      </c>
      <c r="AN6" s="449">
        <v>705450.58314728877</v>
      </c>
      <c r="AO6" s="449">
        <v>876040.63859941426</v>
      </c>
      <c r="AP6" s="449">
        <v>1172637.9001092669</v>
      </c>
      <c r="AQ6" s="449">
        <v>1470420.7081675478</v>
      </c>
      <c r="AR6" s="449">
        <v>1790525.1672168921</v>
      </c>
      <c r="AS6" s="449">
        <v>2074534.8134429096</v>
      </c>
      <c r="AT6" s="449">
        <v>2540936.9098718287</v>
      </c>
      <c r="AU6" s="449">
        <v>3161096.614781911</v>
      </c>
      <c r="AV6" s="449">
        <v>3020615.4643012509</v>
      </c>
      <c r="AW6" s="449">
        <v>3254680.751933109</v>
      </c>
      <c r="AX6" s="450">
        <v>3552798.8221807983</v>
      </c>
      <c r="AZ6" s="455"/>
    </row>
    <row r="7" spans="1:52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2" ht="13">
      <c r="A8" s="451" t="s">
        <v>750</v>
      </c>
      <c r="B8" s="449">
        <v>1050.2206552915763</v>
      </c>
      <c r="C8" s="449">
        <v>1157.6761807775379</v>
      </c>
      <c r="D8" s="449">
        <v>1278.9056821042886</v>
      </c>
      <c r="E8" s="449">
        <v>1343.4758099660596</v>
      </c>
      <c r="F8" s="449">
        <v>1389.2811518358533</v>
      </c>
      <c r="G8" s="449">
        <v>1439.4432168466521</v>
      </c>
      <c r="H8" s="449">
        <v>1566.6186637149024</v>
      </c>
      <c r="I8" s="449">
        <v>1604.6056734341253</v>
      </c>
      <c r="J8" s="449">
        <v>1685.4020615550753</v>
      </c>
      <c r="K8" s="449">
        <v>1804.8924224622024</v>
      </c>
      <c r="L8" s="449">
        <v>1925.374095896329</v>
      </c>
      <c r="M8" s="449">
        <v>2182.8719755939524</v>
      </c>
      <c r="N8" s="449">
        <v>2326.1094267818576</v>
      </c>
      <c r="O8" s="449">
        <v>2392.5612000000006</v>
      </c>
      <c r="P8" s="449">
        <v>2568.8223000000003</v>
      </c>
      <c r="Q8" s="449">
        <v>2852.2027000000003</v>
      </c>
      <c r="R8" s="449">
        <v>3166.1824500000002</v>
      </c>
      <c r="S8" s="449">
        <v>3172.9117000000001</v>
      </c>
      <c r="T8" s="449">
        <v>3900.2232499999996</v>
      </c>
      <c r="U8" s="449">
        <v>4199.7967500000013</v>
      </c>
      <c r="V8" s="449">
        <v>4633.5775500000009</v>
      </c>
      <c r="W8" s="449">
        <v>5371.6220500000009</v>
      </c>
      <c r="X8" s="449">
        <v>6364.0786999999991</v>
      </c>
      <c r="Y8" s="449">
        <v>7702.7390999999998</v>
      </c>
      <c r="Z8" s="449">
        <v>7870.9273500000008</v>
      </c>
      <c r="AA8" s="449">
        <v>8961.69</v>
      </c>
      <c r="AB8" s="449">
        <v>11200.349750000001</v>
      </c>
      <c r="AC8" s="449">
        <v>13723.358000000004</v>
      </c>
      <c r="AD8" s="449">
        <v>14231.96415</v>
      </c>
      <c r="AE8" s="449">
        <v>19412.1774</v>
      </c>
      <c r="AF8" s="449">
        <v>28062</v>
      </c>
      <c r="AG8" s="449">
        <v>36516</v>
      </c>
      <c r="AH8" s="449">
        <v>50042</v>
      </c>
      <c r="AI8" s="449">
        <v>64618</v>
      </c>
      <c r="AJ8" s="449">
        <v>93185</v>
      </c>
      <c r="AK8" s="449">
        <v>121708</v>
      </c>
      <c r="AL8" s="449">
        <v>174449</v>
      </c>
      <c r="AM8" s="449">
        <v>205565</v>
      </c>
      <c r="AN8" s="449">
        <v>265429</v>
      </c>
      <c r="AO8" s="449">
        <v>275207</v>
      </c>
      <c r="AP8" s="449">
        <v>289288</v>
      </c>
      <c r="AQ8" s="449">
        <v>423850</v>
      </c>
      <c r="AR8" s="449">
        <v>617454</v>
      </c>
      <c r="AS8" s="449">
        <v>725968</v>
      </c>
      <c r="AT8" s="449">
        <v>940383</v>
      </c>
      <c r="AU8" s="449">
        <v>1186549</v>
      </c>
      <c r="AV8" s="449">
        <v>1132346</v>
      </c>
      <c r="AW8" s="449">
        <v>1202672</v>
      </c>
      <c r="AX8" s="450">
        <v>1337597</v>
      </c>
    </row>
    <row r="9" spans="1:52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7">
        <v>0</v>
      </c>
      <c r="U9" s="447">
        <v>0</v>
      </c>
      <c r="V9" s="447">
        <v>0</v>
      </c>
      <c r="W9" s="447">
        <v>0</v>
      </c>
      <c r="X9" s="447">
        <v>0</v>
      </c>
      <c r="Y9" s="447">
        <v>0</v>
      </c>
      <c r="Z9" s="447">
        <v>0</v>
      </c>
      <c r="AA9" s="447">
        <v>0</v>
      </c>
      <c r="AB9" s="447">
        <v>0</v>
      </c>
      <c r="AC9" s="447">
        <v>0</v>
      </c>
      <c r="AD9" s="447">
        <v>0</v>
      </c>
      <c r="AE9" s="447">
        <v>0</v>
      </c>
      <c r="AF9" s="447">
        <v>0</v>
      </c>
      <c r="AG9" s="447">
        <v>0</v>
      </c>
      <c r="AH9" s="447">
        <v>0</v>
      </c>
      <c r="AI9" s="447">
        <v>0</v>
      </c>
      <c r="AJ9" s="447">
        <v>0</v>
      </c>
      <c r="AK9" s="447">
        <v>0</v>
      </c>
      <c r="AL9" s="447">
        <v>0</v>
      </c>
      <c r="AM9" s="447">
        <v>0</v>
      </c>
      <c r="AN9" s="447">
        <v>0</v>
      </c>
      <c r="AO9" s="447">
        <v>0</v>
      </c>
      <c r="AP9" s="447">
        <v>0</v>
      </c>
      <c r="AQ9" s="447">
        <v>0</v>
      </c>
      <c r="AR9" s="447">
        <v>0</v>
      </c>
      <c r="AS9" s="447">
        <v>0</v>
      </c>
      <c r="AT9" s="447">
        <v>0</v>
      </c>
      <c r="AU9" s="447">
        <v>0</v>
      </c>
      <c r="AV9" s="447">
        <v>0</v>
      </c>
      <c r="AW9" s="447">
        <v>0</v>
      </c>
      <c r="AX9" s="448">
        <v>0</v>
      </c>
    </row>
    <row r="10" spans="1:52" ht="13">
      <c r="A10" s="451" t="s">
        <v>752</v>
      </c>
      <c r="B10" s="449">
        <v>2300.1348447084224</v>
      </c>
      <c r="C10" s="449">
        <v>2269.5918192224617</v>
      </c>
      <c r="D10" s="449">
        <v>2420.3278178957112</v>
      </c>
      <c r="E10" s="449">
        <v>2490.2371900339404</v>
      </c>
      <c r="F10" s="449">
        <v>2985.0113481641479</v>
      </c>
      <c r="G10" s="449">
        <v>3173.6427831533474</v>
      </c>
      <c r="H10" s="449">
        <v>3135.2018362850968</v>
      </c>
      <c r="I10" s="449">
        <v>3261.7673265658755</v>
      </c>
      <c r="J10" s="449">
        <v>3531.4954384449247</v>
      </c>
      <c r="K10" s="449">
        <v>3775.024577537798</v>
      </c>
      <c r="L10" s="449">
        <v>4014.5884041036725</v>
      </c>
      <c r="M10" s="449">
        <v>4241.4315244060463</v>
      </c>
      <c r="N10" s="449">
        <v>4502.0705732181423</v>
      </c>
      <c r="O10" s="449">
        <v>5046.6352999999999</v>
      </c>
      <c r="P10" s="449">
        <v>5644.5131999999994</v>
      </c>
      <c r="Q10" s="449">
        <v>5925.1120000000001</v>
      </c>
      <c r="R10" s="449">
        <v>6288.1625499999991</v>
      </c>
      <c r="S10" s="449">
        <v>6670.6512999999986</v>
      </c>
      <c r="T10" s="449">
        <v>7811.463749999999</v>
      </c>
      <c r="U10" s="449">
        <v>8697.8657500000045</v>
      </c>
      <c r="V10" s="449">
        <v>10736.283949999999</v>
      </c>
      <c r="W10" s="449">
        <v>11699.060750000001</v>
      </c>
      <c r="X10" s="449">
        <v>13160.079799999998</v>
      </c>
      <c r="Y10" s="449">
        <v>15944.2058</v>
      </c>
      <c r="Z10" s="449">
        <v>17737.12905</v>
      </c>
      <c r="AA10" s="449">
        <v>19706.6715</v>
      </c>
      <c r="AB10" s="449">
        <v>23279.579250000003</v>
      </c>
      <c r="AC10" s="449">
        <v>27648.901000000005</v>
      </c>
      <c r="AD10" s="449">
        <v>31575.182349999995</v>
      </c>
      <c r="AE10" s="449">
        <v>45455.617600000005</v>
      </c>
      <c r="AF10" s="449">
        <v>60934.400000000001</v>
      </c>
      <c r="AG10" s="449">
        <v>72128.600000000006</v>
      </c>
      <c r="AH10" s="449">
        <v>87727.6</v>
      </c>
      <c r="AI10" s="449">
        <v>125424.6</v>
      </c>
      <c r="AJ10" s="449">
        <v>160073</v>
      </c>
      <c r="AK10" s="449">
        <v>198067</v>
      </c>
      <c r="AL10" s="449">
        <v>252495.6</v>
      </c>
      <c r="AM10" s="449">
        <v>297415.2</v>
      </c>
      <c r="AN10" s="449">
        <v>354766.2</v>
      </c>
      <c r="AO10" s="449">
        <v>466091</v>
      </c>
      <c r="AP10" s="449">
        <v>719781</v>
      </c>
      <c r="AQ10" s="449">
        <v>861797</v>
      </c>
      <c r="AR10" s="449">
        <v>968073</v>
      </c>
      <c r="AS10" s="449">
        <v>1130531</v>
      </c>
      <c r="AT10" s="449">
        <v>1324745</v>
      </c>
      <c r="AU10" s="449">
        <v>1582594</v>
      </c>
      <c r="AV10" s="449">
        <v>1584157</v>
      </c>
      <c r="AW10" s="449">
        <v>1797005</v>
      </c>
      <c r="AX10" s="450">
        <v>1915427</v>
      </c>
    </row>
    <row r="11" spans="1:52" ht="13">
      <c r="A11" s="446" t="s">
        <v>753</v>
      </c>
      <c r="B11" s="449">
        <v>81.124000000000024</v>
      </c>
      <c r="C11" s="449">
        <v>115.429</v>
      </c>
      <c r="D11" s="449">
        <v>177.37899999999999</v>
      </c>
      <c r="E11" s="449">
        <v>185.46</v>
      </c>
      <c r="F11" s="449">
        <v>183.35499999999999</v>
      </c>
      <c r="G11" s="449">
        <v>213.08199999999999</v>
      </c>
      <c r="H11" s="449">
        <v>255.32199999999997</v>
      </c>
      <c r="I11" s="449">
        <v>263.94600000000003</v>
      </c>
      <c r="J11" s="449">
        <v>260.952</v>
      </c>
      <c r="K11" s="449">
        <v>319.22800000000001</v>
      </c>
      <c r="L11" s="449">
        <v>331.54599999999999</v>
      </c>
      <c r="M11" s="449">
        <v>318.36500000000001</v>
      </c>
      <c r="N11" s="449">
        <v>346.03099999999995</v>
      </c>
      <c r="O11" s="449">
        <v>353.774</v>
      </c>
      <c r="P11" s="449">
        <v>377.73200000000003</v>
      </c>
      <c r="Q11" s="449">
        <v>357.654</v>
      </c>
      <c r="R11" s="449">
        <v>404.18599999999998</v>
      </c>
      <c r="S11" s="449">
        <v>710.82500000000005</v>
      </c>
      <c r="T11" s="449">
        <v>674.67499999999995</v>
      </c>
      <c r="U11" s="449">
        <v>696.08399999999995</v>
      </c>
      <c r="V11" s="449">
        <v>929.2</v>
      </c>
      <c r="W11" s="449">
        <v>933.72500000000002</v>
      </c>
      <c r="X11" s="449">
        <v>738.62700000000007</v>
      </c>
      <c r="Y11" s="449">
        <v>1141.559</v>
      </c>
      <c r="Z11" s="449">
        <v>1033.616</v>
      </c>
      <c r="AA11" s="449">
        <v>1380.0780000000002</v>
      </c>
      <c r="AB11" s="449">
        <v>1096.664</v>
      </c>
      <c r="AC11" s="449">
        <v>917.93200000000002</v>
      </c>
      <c r="AD11" s="449">
        <v>608.7890000000001</v>
      </c>
      <c r="AE11" s="449">
        <v>3634.4420000000005</v>
      </c>
      <c r="AF11" s="449">
        <v>4558.9319999999998</v>
      </c>
      <c r="AG11" s="449">
        <v>7537.47</v>
      </c>
      <c r="AH11" s="449">
        <v>14543.727000000001</v>
      </c>
      <c r="AI11" s="449">
        <v>8659.7810000000009</v>
      </c>
      <c r="AJ11" s="449">
        <v>12147.164000000001</v>
      </c>
      <c r="AK11" s="449">
        <v>21131.235000000001</v>
      </c>
      <c r="AL11" s="449">
        <v>41457.404999999999</v>
      </c>
      <c r="AM11" s="449">
        <v>37897.256999999998</v>
      </c>
      <c r="AN11" s="449">
        <v>27972.350999999999</v>
      </c>
      <c r="AO11" s="449">
        <v>45948</v>
      </c>
      <c r="AP11" s="449">
        <v>57005</v>
      </c>
      <c r="AQ11" s="449">
        <v>65823</v>
      </c>
      <c r="AR11" s="449">
        <v>62080</v>
      </c>
      <c r="AS11" s="449">
        <v>71385</v>
      </c>
      <c r="AT11" s="449">
        <v>115043</v>
      </c>
      <c r="AU11" s="449">
        <v>209302</v>
      </c>
      <c r="AV11" s="449">
        <v>110746</v>
      </c>
      <c r="AW11" s="449">
        <v>71218</v>
      </c>
      <c r="AX11" s="450">
        <v>113830</v>
      </c>
    </row>
    <row r="12" spans="1:52" ht="13">
      <c r="A12" s="446" t="s">
        <v>754</v>
      </c>
      <c r="B12" s="449">
        <v>114.93197266015353</v>
      </c>
      <c r="C12" s="449">
        <v>118.28967608598069</v>
      </c>
      <c r="D12" s="449">
        <v>119.94362840635866</v>
      </c>
      <c r="E12" s="449">
        <v>118.77884202176847</v>
      </c>
      <c r="F12" s="449">
        <v>125.15575197116823</v>
      </c>
      <c r="G12" s="449">
        <v>127.4850857788627</v>
      </c>
      <c r="H12" s="449">
        <v>127.07439518576716</v>
      </c>
      <c r="I12" s="449">
        <v>126.7845789301538</v>
      </c>
      <c r="J12" s="449">
        <v>130.86830962979926</v>
      </c>
      <c r="K12" s="449">
        <v>138.40836382709233</v>
      </c>
      <c r="L12" s="449">
        <v>146.94069087353861</v>
      </c>
      <c r="M12" s="449">
        <v>158.39306044326088</v>
      </c>
      <c r="N12" s="449">
        <v>168.36754192453785</v>
      </c>
      <c r="O12" s="449">
        <v>182.30347478491041</v>
      </c>
      <c r="P12" s="449">
        <v>197.0649264960997</v>
      </c>
      <c r="Q12" s="449">
        <v>205.86258131670235</v>
      </c>
      <c r="R12" s="449">
        <v>216.12836483898548</v>
      </c>
      <c r="S12" s="449">
        <v>222.82635342914813</v>
      </c>
      <c r="T12" s="449">
        <v>232.65013022812502</v>
      </c>
      <c r="U12" s="449">
        <v>239.18007731672577</v>
      </c>
      <c r="V12" s="449">
        <v>269.96332158789954</v>
      </c>
      <c r="W12" s="449">
        <v>291.2242903187481</v>
      </c>
      <c r="X12" s="449">
        <v>322.0538315537874</v>
      </c>
      <c r="Y12" s="449">
        <v>356.0942547962718</v>
      </c>
      <c r="Z12" s="449">
        <v>428.4227310364156</v>
      </c>
      <c r="AA12" s="449">
        <v>555.06297375398094</v>
      </c>
      <c r="AB12" s="449">
        <v>669.36489945351491</v>
      </c>
      <c r="AC12" s="449">
        <v>908.98635792208995</v>
      </c>
      <c r="AD12" s="449">
        <v>1214.7098758445163</v>
      </c>
      <c r="AE12" s="449">
        <v>1542.8442123927894</v>
      </c>
      <c r="AF12" s="449">
        <v>2267.6484701238687</v>
      </c>
      <c r="AG12" s="449">
        <v>3207.3375516612778</v>
      </c>
      <c r="AH12" s="449">
        <v>4548.5676548058018</v>
      </c>
      <c r="AI12" s="449">
        <v>6267.8477734810367</v>
      </c>
      <c r="AJ12" s="449">
        <v>8478.6235761581174</v>
      </c>
      <c r="AK12" s="449">
        <v>11157.312790974569</v>
      </c>
      <c r="AL12" s="449">
        <v>14742.743909840116</v>
      </c>
      <c r="AM12" s="449">
        <v>18195.966076618268</v>
      </c>
      <c r="AN12" s="449">
        <v>21846.666147288699</v>
      </c>
      <c r="AO12" s="449">
        <v>25366.538599414242</v>
      </c>
      <c r="AP12" s="449">
        <v>28152.800109266704</v>
      </c>
      <c r="AQ12" s="449">
        <v>31954.708167547713</v>
      </c>
      <c r="AR12" s="449">
        <v>35610.16721689215</v>
      </c>
      <c r="AS12" s="449">
        <v>39355.813442909537</v>
      </c>
      <c r="AT12" s="449">
        <v>43334.909871828837</v>
      </c>
      <c r="AU12" s="449">
        <v>45957.614781910816</v>
      </c>
      <c r="AV12" s="449">
        <v>49947.464301251071</v>
      </c>
      <c r="AW12" s="449">
        <v>54756.751933108942</v>
      </c>
      <c r="AX12" s="450">
        <v>59047.822180798452</v>
      </c>
    </row>
    <row r="13" spans="1:52" ht="13">
      <c r="A13" s="451" t="s">
        <v>755</v>
      </c>
      <c r="B13" s="449">
        <v>315.99162471905549</v>
      </c>
      <c r="C13" s="449">
        <v>308.51301656862347</v>
      </c>
      <c r="D13" s="449">
        <v>375.55640841819138</v>
      </c>
      <c r="E13" s="449">
        <v>379.95280026775936</v>
      </c>
      <c r="F13" s="449">
        <v>385.68219211732725</v>
      </c>
      <c r="G13" s="449">
        <v>417.24676253803403</v>
      </c>
      <c r="H13" s="449">
        <v>422.48473295874078</v>
      </c>
      <c r="I13" s="449">
        <v>453.21190337944756</v>
      </c>
      <c r="J13" s="449">
        <v>480.67547380015424</v>
      </c>
      <c r="K13" s="449">
        <v>494.56593592437832</v>
      </c>
      <c r="L13" s="449">
        <v>536.80639804860243</v>
      </c>
      <c r="M13" s="449">
        <v>556.42736017282652</v>
      </c>
      <c r="N13" s="449">
        <v>612.84282229705059</v>
      </c>
      <c r="O13" s="449">
        <v>659.29791672278793</v>
      </c>
      <c r="P13" s="449">
        <v>747.63992781519198</v>
      </c>
      <c r="Q13" s="449">
        <v>1179.080713907596</v>
      </c>
      <c r="R13" s="449">
        <v>1044.14086</v>
      </c>
      <c r="S13" s="449">
        <v>1127.3235334999999</v>
      </c>
      <c r="T13" s="449">
        <v>1397.863625</v>
      </c>
      <c r="U13" s="449">
        <v>1388.6754424999999</v>
      </c>
      <c r="V13" s="449">
        <v>1093.3857499999999</v>
      </c>
      <c r="W13" s="449">
        <v>1240.4478874999998</v>
      </c>
      <c r="X13" s="449">
        <v>1346.0047249999998</v>
      </c>
      <c r="Y13" s="449">
        <v>1539.9384565</v>
      </c>
      <c r="Z13" s="449">
        <v>1814.0241080000001</v>
      </c>
      <c r="AA13" s="449">
        <v>2113.8972874999999</v>
      </c>
      <c r="AB13" s="449">
        <v>3169.7456750000001</v>
      </c>
      <c r="AC13" s="449">
        <v>3486.1900625000003</v>
      </c>
      <c r="AD13" s="449">
        <v>3652.3349500000004</v>
      </c>
      <c r="AE13" s="449">
        <v>4493.7815999999993</v>
      </c>
      <c r="AF13" s="449">
        <v>7123.2730000000001</v>
      </c>
      <c r="AG13" s="449">
        <v>7606.2950000000001</v>
      </c>
      <c r="AH13" s="449">
        <v>9597.2180000000008</v>
      </c>
      <c r="AI13" s="449">
        <v>13525.351000000001</v>
      </c>
      <c r="AJ13" s="449">
        <v>15148.521000000001</v>
      </c>
      <c r="AK13" s="449">
        <v>20237.101999999999</v>
      </c>
      <c r="AL13" s="449">
        <v>24350.311000000002</v>
      </c>
      <c r="AM13" s="449">
        <v>29999.35</v>
      </c>
      <c r="AN13" s="449">
        <v>35436.366000000002</v>
      </c>
      <c r="AO13" s="449">
        <v>63428.1</v>
      </c>
      <c r="AP13" s="449">
        <v>78411.100000000006</v>
      </c>
      <c r="AQ13" s="449">
        <v>86996</v>
      </c>
      <c r="AR13" s="449">
        <v>107308</v>
      </c>
      <c r="AS13" s="449">
        <v>107295</v>
      </c>
      <c r="AT13" s="449">
        <v>117431</v>
      </c>
      <c r="AU13" s="449">
        <v>136694</v>
      </c>
      <c r="AV13" s="447">
        <v>143419</v>
      </c>
      <c r="AW13" s="447">
        <v>129029</v>
      </c>
      <c r="AX13" s="448">
        <v>126897</v>
      </c>
    </row>
    <row r="14" spans="1:52" ht="13">
      <c r="A14" s="457" t="s">
        <v>770</v>
      </c>
      <c r="B14" s="458">
        <v>6.3949999999999996</v>
      </c>
      <c r="C14" s="458">
        <v>8.0050000000000008</v>
      </c>
      <c r="D14" s="458">
        <v>36.156999999999996</v>
      </c>
      <c r="E14" s="458">
        <v>31.236999999999998</v>
      </c>
      <c r="F14" s="458">
        <v>39.698999999999998</v>
      </c>
      <c r="G14" s="458">
        <v>42.721000000000004</v>
      </c>
      <c r="H14" s="458">
        <v>39.127999999999993</v>
      </c>
      <c r="I14" s="458">
        <v>41.99</v>
      </c>
      <c r="J14" s="458">
        <v>45.575999999999993</v>
      </c>
      <c r="K14" s="458">
        <v>50.814999999999998</v>
      </c>
      <c r="L14" s="458">
        <v>68.198999999999998</v>
      </c>
      <c r="M14" s="458">
        <v>50.306999999999995</v>
      </c>
      <c r="N14" s="458">
        <v>74.912999999999997</v>
      </c>
      <c r="O14" s="458">
        <v>77.701999999999998</v>
      </c>
      <c r="P14" s="458">
        <v>48.522999999999996</v>
      </c>
      <c r="Q14" s="458">
        <v>69.5</v>
      </c>
      <c r="R14" s="458">
        <v>76.247</v>
      </c>
      <c r="S14" s="458">
        <v>113.06200000000001</v>
      </c>
      <c r="T14" s="458">
        <v>120.26100000000001</v>
      </c>
      <c r="U14" s="458">
        <v>138.30000000000001</v>
      </c>
      <c r="V14" s="458">
        <v>161.023</v>
      </c>
      <c r="W14" s="458">
        <v>195.251</v>
      </c>
      <c r="X14" s="458">
        <v>278.11599999999999</v>
      </c>
      <c r="Y14" s="458">
        <v>299.68700000000001</v>
      </c>
      <c r="Z14" s="458">
        <v>377.59400000000005</v>
      </c>
      <c r="AA14" s="458">
        <v>303.529</v>
      </c>
      <c r="AB14" s="458">
        <v>767.55799999999999</v>
      </c>
      <c r="AC14" s="458">
        <v>912.99700000000007</v>
      </c>
      <c r="AD14" s="458">
        <v>825.69</v>
      </c>
      <c r="AE14" s="458">
        <v>645.96699999999998</v>
      </c>
      <c r="AF14" s="458">
        <v>1533.173</v>
      </c>
      <c r="AG14" s="458">
        <v>992.13</v>
      </c>
      <c r="AH14" s="458">
        <v>1608.4260000000002</v>
      </c>
      <c r="AI14" s="458">
        <v>3111.2090000000003</v>
      </c>
      <c r="AJ14" s="458">
        <v>1796.41</v>
      </c>
      <c r="AK14" s="458">
        <v>1680.1020000000001</v>
      </c>
      <c r="AL14" s="458">
        <v>1026.499</v>
      </c>
      <c r="AM14" s="458">
        <v>1539.1379999999999</v>
      </c>
      <c r="AN14" s="458">
        <v>2401.2959999999998</v>
      </c>
      <c r="AO14" s="458">
        <v>2608</v>
      </c>
      <c r="AP14" s="458">
        <v>2609</v>
      </c>
      <c r="AQ14" s="458">
        <v>5261</v>
      </c>
      <c r="AR14" s="458">
        <v>5878</v>
      </c>
      <c r="AS14" s="458">
        <v>10747</v>
      </c>
      <c r="AT14" s="458">
        <v>8998</v>
      </c>
      <c r="AU14" s="458">
        <v>4009</v>
      </c>
      <c r="AV14" s="458">
        <v>5947</v>
      </c>
      <c r="AW14" s="458">
        <v>6732</v>
      </c>
      <c r="AX14" s="459">
        <v>6145</v>
      </c>
    </row>
    <row r="15" spans="1:52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8"/>
    </row>
    <row r="16" spans="1:52" ht="13">
      <c r="A16" s="446" t="s">
        <v>756</v>
      </c>
      <c r="B16" s="449">
        <v>267.83199999999999</v>
      </c>
      <c r="C16" s="449">
        <v>323.18399999999997</v>
      </c>
      <c r="D16" s="449">
        <v>260.60399999999998</v>
      </c>
      <c r="E16" s="449">
        <v>268.90699999999998</v>
      </c>
      <c r="F16" s="449">
        <v>327.37900000000002</v>
      </c>
      <c r="G16" s="449">
        <v>311.36</v>
      </c>
      <c r="H16" s="449">
        <v>328.27300000000002</v>
      </c>
      <c r="I16" s="449">
        <v>367.26300000000003</v>
      </c>
      <c r="J16" s="449">
        <v>374.43</v>
      </c>
      <c r="K16" s="449">
        <v>413.255</v>
      </c>
      <c r="L16" s="449">
        <v>407.07</v>
      </c>
      <c r="M16" s="449">
        <v>452.22899999999998</v>
      </c>
      <c r="N16" s="449">
        <v>456.84399999999999</v>
      </c>
      <c r="O16" s="449">
        <v>508.48700000000002</v>
      </c>
      <c r="P16" s="449">
        <v>527.62099999999998</v>
      </c>
      <c r="Q16" s="449">
        <v>552.28</v>
      </c>
      <c r="R16" s="449">
        <v>638.37</v>
      </c>
      <c r="S16" s="449">
        <v>616.02800000000002</v>
      </c>
      <c r="T16" s="449">
        <v>581.49</v>
      </c>
      <c r="U16" s="449">
        <v>714.41100000000006</v>
      </c>
      <c r="V16" s="449">
        <v>707.4319999999999</v>
      </c>
      <c r="W16" s="449">
        <v>982.89300000000003</v>
      </c>
      <c r="X16" s="449">
        <v>1034.0990000000002</v>
      </c>
      <c r="Y16" s="449">
        <v>1375.2550000000001</v>
      </c>
      <c r="Z16" s="449">
        <v>1449.0550000000001</v>
      </c>
      <c r="AA16" s="449">
        <v>1820.49</v>
      </c>
      <c r="AB16" s="449">
        <v>1424.556</v>
      </c>
      <c r="AC16" s="449">
        <v>2005.3630000000003</v>
      </c>
      <c r="AD16" s="449">
        <v>3996.7739999999999</v>
      </c>
      <c r="AE16" s="449">
        <v>2736.6390000000001</v>
      </c>
      <c r="AF16" s="460">
        <v>5741.1729999999998</v>
      </c>
      <c r="AG16" s="460">
        <v>2787.009</v>
      </c>
      <c r="AH16" s="447">
        <v>2214</v>
      </c>
      <c r="AI16" s="447">
        <v>6997</v>
      </c>
      <c r="AJ16" s="447">
        <v>8809</v>
      </c>
      <c r="AK16" s="447">
        <v>9187</v>
      </c>
      <c r="AL16" s="447">
        <v>13906</v>
      </c>
      <c r="AM16" s="447">
        <v>25022</v>
      </c>
      <c r="AN16" s="447">
        <v>21427</v>
      </c>
      <c r="AO16" s="447">
        <v>68460</v>
      </c>
      <c r="AP16" s="447">
        <v>40448</v>
      </c>
      <c r="AQ16" s="447">
        <v>28378</v>
      </c>
      <c r="AR16" s="447">
        <v>21900</v>
      </c>
      <c r="AS16" s="447">
        <v>46417</v>
      </c>
      <c r="AT16" s="447">
        <v>44805</v>
      </c>
      <c r="AU16" s="447">
        <v>58915</v>
      </c>
      <c r="AV16" s="447">
        <v>62322</v>
      </c>
      <c r="AW16" s="447">
        <v>36233</v>
      </c>
      <c r="AX16" s="448">
        <v>70851</v>
      </c>
    </row>
    <row r="17" spans="1:50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8"/>
    </row>
    <row r="18" spans="1:50" ht="13">
      <c r="A18" s="446" t="s">
        <v>772</v>
      </c>
      <c r="B18" s="449">
        <v>267.83199999999999</v>
      </c>
      <c r="C18" s="449">
        <v>323.18399999999997</v>
      </c>
      <c r="D18" s="449">
        <v>260.60399999999998</v>
      </c>
      <c r="E18" s="449">
        <v>268.90699999999998</v>
      </c>
      <c r="F18" s="449">
        <v>327.37900000000002</v>
      </c>
      <c r="G18" s="449">
        <v>311.36</v>
      </c>
      <c r="H18" s="449">
        <v>328.27300000000002</v>
      </c>
      <c r="I18" s="449">
        <v>367.26300000000003</v>
      </c>
      <c r="J18" s="449">
        <v>374.43</v>
      </c>
      <c r="K18" s="449">
        <v>413.255</v>
      </c>
      <c r="L18" s="449">
        <v>407.07</v>
      </c>
      <c r="M18" s="449">
        <v>452.22899999999998</v>
      </c>
      <c r="N18" s="449">
        <v>456.84399999999999</v>
      </c>
      <c r="O18" s="449">
        <v>508.48700000000002</v>
      </c>
      <c r="P18" s="449">
        <v>527.62099999999998</v>
      </c>
      <c r="Q18" s="449">
        <v>552.28</v>
      </c>
      <c r="R18" s="449">
        <v>638.37</v>
      </c>
      <c r="S18" s="449">
        <v>616.02800000000002</v>
      </c>
      <c r="T18" s="449">
        <v>581.49</v>
      </c>
      <c r="U18" s="449">
        <v>714.41100000000006</v>
      </c>
      <c r="V18" s="449">
        <v>707.4319999999999</v>
      </c>
      <c r="W18" s="449">
        <v>982.89300000000003</v>
      </c>
      <c r="X18" s="449">
        <v>1034.0990000000002</v>
      </c>
      <c r="Y18" s="449">
        <v>1375.2550000000001</v>
      </c>
      <c r="Z18" s="449">
        <v>1449.0550000000001</v>
      </c>
      <c r="AA18" s="449">
        <v>1820.49</v>
      </c>
      <c r="AB18" s="449">
        <v>1424.556</v>
      </c>
      <c r="AC18" s="449">
        <v>2005.3630000000003</v>
      </c>
      <c r="AD18" s="449">
        <v>3996.7739999999999</v>
      </c>
      <c r="AE18" s="449">
        <v>2736.6390000000001</v>
      </c>
      <c r="AF18" s="449">
        <v>5741.1729999999998</v>
      </c>
      <c r="AG18" s="449">
        <v>2787.009</v>
      </c>
      <c r="AH18" s="449">
        <v>2214</v>
      </c>
      <c r="AI18" s="449">
        <v>6997</v>
      </c>
      <c r="AJ18" s="449">
        <v>8809</v>
      </c>
      <c r="AK18" s="449">
        <v>9187</v>
      </c>
      <c r="AL18" s="449">
        <v>13906</v>
      </c>
      <c r="AM18" s="449">
        <v>25022</v>
      </c>
      <c r="AN18" s="449">
        <v>21427</v>
      </c>
      <c r="AO18" s="449">
        <v>68460</v>
      </c>
      <c r="AP18" s="449">
        <v>40448</v>
      </c>
      <c r="AQ18" s="449">
        <v>28378</v>
      </c>
      <c r="AR18" s="449">
        <v>21900</v>
      </c>
      <c r="AS18" s="449">
        <v>46417</v>
      </c>
      <c r="AT18" s="449">
        <v>44805</v>
      </c>
      <c r="AU18" s="449">
        <v>58915</v>
      </c>
      <c r="AV18" s="449">
        <v>62322</v>
      </c>
      <c r="AW18" s="449">
        <v>36233</v>
      </c>
      <c r="AX18" s="450">
        <v>70851</v>
      </c>
    </row>
    <row r="19" spans="1:50" ht="13">
      <c r="A19" s="457" t="s">
        <v>770</v>
      </c>
      <c r="B19" s="449">
        <v>0</v>
      </c>
      <c r="C19" s="449">
        <v>0</v>
      </c>
      <c r="D19" s="449">
        <v>0</v>
      </c>
      <c r="E19" s="449">
        <v>0</v>
      </c>
      <c r="F19" s="449">
        <v>0</v>
      </c>
      <c r="G19" s="449">
        <v>0</v>
      </c>
      <c r="H19" s="449">
        <v>0</v>
      </c>
      <c r="I19" s="449">
        <v>0</v>
      </c>
      <c r="J19" s="449">
        <v>0</v>
      </c>
      <c r="K19" s="449">
        <v>0</v>
      </c>
      <c r="L19" s="449">
        <v>0</v>
      </c>
      <c r="M19" s="449">
        <v>0</v>
      </c>
      <c r="N19" s="449">
        <v>0</v>
      </c>
      <c r="O19" s="449">
        <v>0</v>
      </c>
      <c r="P19" s="449">
        <v>15</v>
      </c>
      <c r="Q19" s="449">
        <v>17</v>
      </c>
      <c r="R19" s="449">
        <v>29</v>
      </c>
      <c r="S19" s="449">
        <v>38</v>
      </c>
      <c r="T19" s="449">
        <v>6</v>
      </c>
      <c r="U19" s="449">
        <v>3</v>
      </c>
      <c r="V19" s="449">
        <v>3</v>
      </c>
      <c r="W19" s="449">
        <v>332</v>
      </c>
      <c r="X19" s="449">
        <v>365</v>
      </c>
      <c r="Y19" s="449">
        <v>505</v>
      </c>
      <c r="Z19" s="449">
        <v>515</v>
      </c>
      <c r="AA19" s="449">
        <v>900</v>
      </c>
      <c r="AB19" s="449">
        <v>452</v>
      </c>
      <c r="AC19" s="449">
        <v>762</v>
      </c>
      <c r="AD19" s="449">
        <v>2992</v>
      </c>
      <c r="AE19" s="449">
        <v>2015</v>
      </c>
      <c r="AF19" s="449">
        <v>4899.1729999999998</v>
      </c>
      <c r="AG19" s="449">
        <v>2047.009</v>
      </c>
      <c r="AH19" s="449">
        <v>1452</v>
      </c>
      <c r="AI19" s="449">
        <v>6007</v>
      </c>
      <c r="AJ19" s="449">
        <v>7365</v>
      </c>
      <c r="AK19" s="449">
        <v>7502</v>
      </c>
      <c r="AL19" s="449">
        <v>8870</v>
      </c>
      <c r="AM19" s="449">
        <v>16527</v>
      </c>
      <c r="AN19" s="449">
        <v>10721</v>
      </c>
      <c r="AO19" s="447">
        <v>44441</v>
      </c>
      <c r="AP19" s="447">
        <v>21039</v>
      </c>
      <c r="AQ19" s="447">
        <v>757</v>
      </c>
      <c r="AR19" s="447">
        <v>2073</v>
      </c>
      <c r="AS19" s="447">
        <v>1728</v>
      </c>
      <c r="AT19" s="447">
        <v>72</v>
      </c>
      <c r="AU19" s="447">
        <v>6</v>
      </c>
      <c r="AV19" s="447">
        <v>8372</v>
      </c>
      <c r="AW19" s="447">
        <v>3048</v>
      </c>
      <c r="AX19" s="448">
        <v>2089</v>
      </c>
    </row>
    <row r="20" spans="1:5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0" ht="13">
      <c r="A21" s="446" t="s">
        <v>758</v>
      </c>
      <c r="B21" s="449">
        <v>4130.2350973792072</v>
      </c>
      <c r="C21" s="449">
        <v>4292.6836926546039</v>
      </c>
      <c r="D21" s="449">
        <v>4632.7165368245496</v>
      </c>
      <c r="E21" s="449">
        <v>4786.8116422895282</v>
      </c>
      <c r="F21" s="449">
        <v>5395.8644440884955</v>
      </c>
      <c r="G21" s="449">
        <v>5682.2598483168958</v>
      </c>
      <c r="H21" s="449">
        <v>5834.9746281445077</v>
      </c>
      <c r="I21" s="449">
        <v>6077.5784823096019</v>
      </c>
      <c r="J21" s="449">
        <v>6463.8232834299542</v>
      </c>
      <c r="K21" s="449">
        <v>6945.374299751471</v>
      </c>
      <c r="L21" s="449">
        <v>7362.3255889221418</v>
      </c>
      <c r="M21" s="449">
        <v>7909.7179206160854</v>
      </c>
      <c r="N21" s="449">
        <v>8412.2653642215882</v>
      </c>
      <c r="O21" s="449">
        <v>9143.0588915076987</v>
      </c>
      <c r="P21" s="449">
        <v>10063.393354311289</v>
      </c>
      <c r="Q21" s="449">
        <v>11072.191995224299</v>
      </c>
      <c r="R21" s="449">
        <v>11757.170224838985</v>
      </c>
      <c r="S21" s="449">
        <v>12520.565886929146</v>
      </c>
      <c r="T21" s="449">
        <v>14598.365755228122</v>
      </c>
      <c r="U21" s="449">
        <v>15936.013019816732</v>
      </c>
      <c r="V21" s="449">
        <v>18369.842571587902</v>
      </c>
      <c r="W21" s="449">
        <v>20518.972977818747</v>
      </c>
      <c r="X21" s="449">
        <v>22964.943056553784</v>
      </c>
      <c r="Y21" s="449">
        <v>28059.791611296274</v>
      </c>
      <c r="Z21" s="449">
        <v>30333.17423903642</v>
      </c>
      <c r="AA21" s="449">
        <v>34537.88976125398</v>
      </c>
      <c r="AB21" s="449">
        <v>40840.259574453514</v>
      </c>
      <c r="AC21" s="449">
        <v>48690.730420422093</v>
      </c>
      <c r="AD21" s="449">
        <v>55279.7543258445</v>
      </c>
      <c r="AE21" s="449">
        <v>77275.501812392802</v>
      </c>
      <c r="AF21" s="449">
        <v>108687.42647012386</v>
      </c>
      <c r="AG21" s="449">
        <v>129782.71155166128</v>
      </c>
      <c r="AH21" s="449">
        <v>168673.11265480582</v>
      </c>
      <c r="AI21" s="449">
        <v>225492.57977348103</v>
      </c>
      <c r="AJ21" s="449">
        <v>297841.30857615813</v>
      </c>
      <c r="AK21" s="449">
        <v>381487.64979097457</v>
      </c>
      <c r="AL21" s="449">
        <v>521401.05990984011</v>
      </c>
      <c r="AM21" s="449">
        <v>614094.77307661832</v>
      </c>
      <c r="AN21" s="449">
        <v>726877.58314728877</v>
      </c>
      <c r="AO21" s="449">
        <v>944500.63859941426</v>
      </c>
      <c r="AP21" s="449">
        <v>1213085.9001092669</v>
      </c>
      <c r="AQ21" s="449">
        <v>1498798.7081675478</v>
      </c>
      <c r="AR21" s="449">
        <v>1812425.1672168921</v>
      </c>
      <c r="AS21" s="449">
        <v>2120951.8134429096</v>
      </c>
      <c r="AT21" s="449">
        <v>2585741.9098718287</v>
      </c>
      <c r="AU21" s="449">
        <v>3220011.614781911</v>
      </c>
      <c r="AV21" s="449">
        <v>3082937.4643012509</v>
      </c>
      <c r="AW21" s="449">
        <v>3290913.751933109</v>
      </c>
      <c r="AX21" s="450">
        <v>3623649.8221807983</v>
      </c>
    </row>
    <row r="22" spans="1:5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</row>
    <row r="23" spans="1:50" ht="13">
      <c r="A23" s="446" t="s">
        <v>759</v>
      </c>
      <c r="B23" s="449">
        <v>3987.6283225260454</v>
      </c>
      <c r="C23" s="449">
        <v>3961.5233489871052</v>
      </c>
      <c r="D23" s="449">
        <v>4273.4673221762341</v>
      </c>
      <c r="E23" s="449">
        <v>4207.2514142866412</v>
      </c>
      <c r="F23" s="449">
        <v>4313.3780180088652</v>
      </c>
      <c r="G23" s="449">
        <v>4291.7647231330193</v>
      </c>
      <c r="H23" s="449">
        <v>4840.4369415896144</v>
      </c>
      <c r="I23" s="449">
        <v>5512.5603472545581</v>
      </c>
      <c r="J23" s="449">
        <v>5733.8846699995784</v>
      </c>
      <c r="K23" s="449">
        <v>5777.1380467306162</v>
      </c>
      <c r="L23" s="449">
        <v>6118.2967482879585</v>
      </c>
      <c r="M23" s="449">
        <v>6328.2740589983059</v>
      </c>
      <c r="N23" s="449">
        <v>7294.4425064611705</v>
      </c>
      <c r="O23" s="449">
        <v>7951.3090802480847</v>
      </c>
      <c r="P23" s="449">
        <v>10338.259601833177</v>
      </c>
      <c r="Q23" s="449">
        <v>11115.736250675662</v>
      </c>
      <c r="R23" s="449">
        <v>11631.258784696936</v>
      </c>
      <c r="S23" s="449">
        <v>12696.472462715232</v>
      </c>
      <c r="T23" s="449">
        <v>13658.670546619822</v>
      </c>
      <c r="U23" s="449">
        <v>14606.404977358427</v>
      </c>
      <c r="V23" s="449">
        <v>17194.78969701696</v>
      </c>
      <c r="W23" s="449">
        <v>18920.591293581398</v>
      </c>
      <c r="X23" s="449">
        <v>20332.165738824249</v>
      </c>
      <c r="Y23" s="449">
        <v>23989.606121481684</v>
      </c>
      <c r="Z23" s="449">
        <v>26903.635749878184</v>
      </c>
      <c r="AA23" s="449">
        <v>30223.289955134016</v>
      </c>
      <c r="AB23" s="449">
        <v>34775.59735539637</v>
      </c>
      <c r="AC23" s="449">
        <v>46300.797511215744</v>
      </c>
      <c r="AD23" s="449">
        <v>67215.484526314816</v>
      </c>
      <c r="AE23" s="449">
        <v>93217.285356249078</v>
      </c>
      <c r="AF23" s="449">
        <v>121037.79846170881</v>
      </c>
      <c r="AG23" s="449">
        <v>162723.9206648356</v>
      </c>
      <c r="AH23" s="449">
        <v>211951.48238028993</v>
      </c>
      <c r="AI23" s="449">
        <v>268945.94137483591</v>
      </c>
      <c r="AJ23" s="449">
        <v>375648.63865565427</v>
      </c>
      <c r="AK23" s="449">
        <v>457041.12128934357</v>
      </c>
      <c r="AL23" s="449">
        <v>596491.00561024144</v>
      </c>
      <c r="AM23" s="449">
        <v>768123.61765691731</v>
      </c>
      <c r="AN23" s="449">
        <v>994986.70752542885</v>
      </c>
      <c r="AO23" s="449">
        <v>1212290.4385994142</v>
      </c>
      <c r="AP23" s="449">
        <v>1427169.7001092667</v>
      </c>
      <c r="AQ23" s="449">
        <v>1640984.0081675476</v>
      </c>
      <c r="AR23" s="449">
        <v>1858135.4672168922</v>
      </c>
      <c r="AS23" s="449">
        <v>2315998.9134429097</v>
      </c>
      <c r="AT23" s="449">
        <v>2874288.6098718289</v>
      </c>
      <c r="AU23" s="449">
        <v>3205612.7147819106</v>
      </c>
      <c r="AV23" s="449">
        <v>3473975.1643012511</v>
      </c>
      <c r="AW23" s="449">
        <v>3703894.8519331091</v>
      </c>
      <c r="AX23" s="450">
        <v>3949193.1221807986</v>
      </c>
    </row>
    <row r="24" spans="1:50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8"/>
    </row>
    <row r="25" spans="1:50" ht="13">
      <c r="A25" s="446" t="s">
        <v>760</v>
      </c>
      <c r="B25" s="449">
        <v>2967.6184881125655</v>
      </c>
      <c r="C25" s="449">
        <v>3014.602711225556</v>
      </c>
      <c r="D25" s="449">
        <v>3275.3795817675455</v>
      </c>
      <c r="E25" s="449">
        <v>3186.7684012947984</v>
      </c>
      <c r="F25" s="449">
        <v>3252.488316277304</v>
      </c>
      <c r="G25" s="449">
        <v>3195.4460213058192</v>
      </c>
      <c r="H25" s="449">
        <v>3709.0835140180525</v>
      </c>
      <c r="I25" s="449">
        <v>4318.3457531598897</v>
      </c>
      <c r="J25" s="449">
        <v>4398.6925073126968</v>
      </c>
      <c r="K25" s="449">
        <v>4340.4757414672185</v>
      </c>
      <c r="L25" s="449">
        <v>4600.3670733756262</v>
      </c>
      <c r="M25" s="449">
        <v>4736.2573959898018</v>
      </c>
      <c r="N25" s="449">
        <v>5265.1683642215885</v>
      </c>
      <c r="O25" s="449">
        <v>5759.8428915076984</v>
      </c>
      <c r="P25" s="449">
        <v>7930.0050043112915</v>
      </c>
      <c r="Q25" s="449">
        <v>8714.5631952242984</v>
      </c>
      <c r="R25" s="449">
        <v>8970.7163648389869</v>
      </c>
      <c r="S25" s="449">
        <v>9891.1314909291486</v>
      </c>
      <c r="T25" s="449">
        <v>10666.362405228125</v>
      </c>
      <c r="U25" s="449">
        <v>11534.534489816724</v>
      </c>
      <c r="V25" s="449">
        <v>13882.6898715879</v>
      </c>
      <c r="W25" s="449">
        <v>15202.459177818748</v>
      </c>
      <c r="X25" s="449">
        <v>16483.073056553789</v>
      </c>
      <c r="Y25" s="449">
        <v>19604.667817296271</v>
      </c>
      <c r="Z25" s="449">
        <v>21345.457631036414</v>
      </c>
      <c r="AA25" s="449">
        <v>23767.036261253983</v>
      </c>
      <c r="AB25" s="449">
        <v>26967.356574453515</v>
      </c>
      <c r="AC25" s="449">
        <v>34706.426420422082</v>
      </c>
      <c r="AD25" s="449">
        <v>39679.000325844514</v>
      </c>
      <c r="AE25" s="449">
        <v>45467.606904296255</v>
      </c>
      <c r="AF25" s="449">
        <v>59942.274720123867</v>
      </c>
      <c r="AG25" s="449">
        <v>73558.687551661278</v>
      </c>
      <c r="AH25" s="449">
        <v>93216.117654805799</v>
      </c>
      <c r="AI25" s="449">
        <v>122352.89777348103</v>
      </c>
      <c r="AJ25" s="449">
        <v>150242.32557615812</v>
      </c>
      <c r="AK25" s="449">
        <v>181904.63679097456</v>
      </c>
      <c r="AL25" s="449">
        <v>230203.94390984011</v>
      </c>
      <c r="AM25" s="449">
        <v>273687.41607661825</v>
      </c>
      <c r="AN25" s="449">
        <v>342430.7091472887</v>
      </c>
      <c r="AO25" s="449">
        <v>422492.53859941423</v>
      </c>
      <c r="AP25" s="449">
        <v>479450.80010926671</v>
      </c>
      <c r="AQ25" s="449">
        <v>586583.70816754771</v>
      </c>
      <c r="AR25" s="449">
        <v>701593.16721689212</v>
      </c>
      <c r="AS25" s="449">
        <v>826406.81344290951</v>
      </c>
      <c r="AT25" s="449">
        <v>1077213.9098718287</v>
      </c>
      <c r="AU25" s="449">
        <v>1206632.6147819108</v>
      </c>
      <c r="AV25" s="449">
        <v>1306186.4643012511</v>
      </c>
      <c r="AW25" s="449">
        <v>1379588.751933109</v>
      </c>
      <c r="AX25" s="450">
        <v>1508113.8221807985</v>
      </c>
    </row>
    <row r="26" spans="1:50" ht="13">
      <c r="A26" s="446" t="s">
        <v>761</v>
      </c>
      <c r="B26" s="449">
        <v>1676.9373907333566</v>
      </c>
      <c r="C26" s="449">
        <v>1786.2650185709517</v>
      </c>
      <c r="D26" s="449">
        <v>2012.3543782763286</v>
      </c>
      <c r="E26" s="449">
        <v>2035.1284256719368</v>
      </c>
      <c r="F26" s="449">
        <v>2062.5592055221418</v>
      </c>
      <c r="G26" s="449">
        <v>2216.6941729889222</v>
      </c>
      <c r="H26" s="449">
        <v>2287.7976482106615</v>
      </c>
      <c r="I26" s="449">
        <v>2403.4172998540712</v>
      </c>
      <c r="J26" s="449">
        <v>2596.6222528865269</v>
      </c>
      <c r="K26" s="449">
        <v>2654.5474707195308</v>
      </c>
      <c r="L26" s="449">
        <v>2739.253013457268</v>
      </c>
      <c r="M26" s="449">
        <v>2865.4945043774983</v>
      </c>
      <c r="N26" s="449">
        <v>3616.9366486433451</v>
      </c>
      <c r="O26" s="449">
        <v>3760.3666312571695</v>
      </c>
      <c r="P26" s="449">
        <v>4814.1162492640224</v>
      </c>
      <c r="Q26" s="449">
        <v>5460.5099090290487</v>
      </c>
      <c r="R26" s="449">
        <v>5716.2552450576941</v>
      </c>
      <c r="S26" s="449">
        <v>6149.833162429697</v>
      </c>
      <c r="T26" s="449">
        <v>6373.3723185254421</v>
      </c>
      <c r="U26" s="449">
        <v>7108.5094672155947</v>
      </c>
      <c r="V26" s="449">
        <v>8466.5254786182213</v>
      </c>
      <c r="W26" s="449">
        <v>9025.4856691528603</v>
      </c>
      <c r="X26" s="449">
        <v>9609.7363712423339</v>
      </c>
      <c r="Y26" s="449">
        <v>11559.259681730431</v>
      </c>
      <c r="Z26" s="449">
        <v>12258.497663369481</v>
      </c>
      <c r="AA26" s="449">
        <v>15329.252551545558</v>
      </c>
      <c r="AB26" s="449">
        <v>17359.293473814145</v>
      </c>
      <c r="AC26" s="449">
        <v>19898.98453580121</v>
      </c>
      <c r="AD26" s="449">
        <v>27963.894602577275</v>
      </c>
      <c r="AE26" s="449">
        <v>35367.374968103468</v>
      </c>
      <c r="AF26" s="449">
        <v>47910</v>
      </c>
      <c r="AG26" s="449">
        <v>59885.75</v>
      </c>
      <c r="AH26" s="449">
        <v>74277.75</v>
      </c>
      <c r="AI26" s="449">
        <v>97473.5</v>
      </c>
      <c r="AJ26" s="449">
        <v>118087.5</v>
      </c>
      <c r="AK26" s="449">
        <v>142252.25</v>
      </c>
      <c r="AL26" s="449">
        <v>180645.25</v>
      </c>
      <c r="AM26" s="449">
        <v>216553.25</v>
      </c>
      <c r="AN26" s="449">
        <v>270017.5</v>
      </c>
      <c r="AO26" s="449">
        <v>330709</v>
      </c>
      <c r="AP26" s="449">
        <v>383636</v>
      </c>
      <c r="AQ26" s="449">
        <v>468851</v>
      </c>
      <c r="AR26" s="449">
        <v>592467.5</v>
      </c>
      <c r="AS26" s="449">
        <v>688081</v>
      </c>
      <c r="AT26" s="449">
        <v>865357</v>
      </c>
      <c r="AU26" s="449">
        <v>1051211</v>
      </c>
      <c r="AV26" s="449">
        <v>1137601</v>
      </c>
      <c r="AW26" s="449">
        <v>1171321</v>
      </c>
      <c r="AX26" s="450">
        <v>1270510</v>
      </c>
    </row>
    <row r="27" spans="1:50" ht="13">
      <c r="A27" s="446" t="s">
        <v>762</v>
      </c>
      <c r="B27" s="449">
        <v>1290.6810973792089</v>
      </c>
      <c r="C27" s="449">
        <v>1228.3376926546043</v>
      </c>
      <c r="D27" s="449">
        <v>1263.0252034912169</v>
      </c>
      <c r="E27" s="449">
        <v>1151.6399756228616</v>
      </c>
      <c r="F27" s="449">
        <v>1189.9291107551621</v>
      </c>
      <c r="G27" s="449">
        <v>978.75184831689694</v>
      </c>
      <c r="H27" s="449">
        <v>1421.285865807391</v>
      </c>
      <c r="I27" s="449">
        <v>1914.9284533058185</v>
      </c>
      <c r="J27" s="449">
        <v>1802.0702544261699</v>
      </c>
      <c r="K27" s="449">
        <v>1685.9282707476877</v>
      </c>
      <c r="L27" s="449">
        <v>1861.1140599183582</v>
      </c>
      <c r="M27" s="449">
        <v>1870.7628916123035</v>
      </c>
      <c r="N27" s="449">
        <v>1648.2317155782434</v>
      </c>
      <c r="O27" s="449">
        <v>1999.4762602505289</v>
      </c>
      <c r="P27" s="449">
        <v>3115.8887550472691</v>
      </c>
      <c r="Q27" s="449">
        <v>3254.0532861952497</v>
      </c>
      <c r="R27" s="449">
        <v>3254.4611197812928</v>
      </c>
      <c r="S27" s="449">
        <v>3741.2983284994516</v>
      </c>
      <c r="T27" s="449">
        <v>4292.9900867026827</v>
      </c>
      <c r="U27" s="449">
        <v>4426.0250226011294</v>
      </c>
      <c r="V27" s="449">
        <v>5416.1643929696784</v>
      </c>
      <c r="W27" s="449">
        <v>6176.9735086658875</v>
      </c>
      <c r="X27" s="449">
        <v>6873.3366853114549</v>
      </c>
      <c r="Y27" s="449">
        <v>8045.40813556584</v>
      </c>
      <c r="Z27" s="449">
        <v>9086.9599676669332</v>
      </c>
      <c r="AA27" s="449">
        <v>8437.7837097084248</v>
      </c>
      <c r="AB27" s="449">
        <v>9608.0631006393705</v>
      </c>
      <c r="AC27" s="449">
        <v>14807.441884620872</v>
      </c>
      <c r="AD27" s="449">
        <v>11715.105723267239</v>
      </c>
      <c r="AE27" s="449">
        <v>10100.231936192788</v>
      </c>
      <c r="AF27" s="449">
        <v>12032.274720123867</v>
      </c>
      <c r="AG27" s="449">
        <v>13672.937551661278</v>
      </c>
      <c r="AH27" s="449">
        <v>18938.367654805799</v>
      </c>
      <c r="AI27" s="449">
        <v>24879.397773481032</v>
      </c>
      <c r="AJ27" s="449">
        <v>32154.825576158124</v>
      </c>
      <c r="AK27" s="449">
        <v>39652.38679097456</v>
      </c>
      <c r="AL27" s="449">
        <v>49558.693909840105</v>
      </c>
      <c r="AM27" s="449">
        <v>57134.166076618247</v>
      </c>
      <c r="AN27" s="449">
        <v>72413.209147288697</v>
      </c>
      <c r="AO27" s="449">
        <v>91783.538599414227</v>
      </c>
      <c r="AP27" s="449">
        <v>95814.800109266711</v>
      </c>
      <c r="AQ27" s="449">
        <v>117732.70816754771</v>
      </c>
      <c r="AR27" s="449">
        <v>109125.66721689212</v>
      </c>
      <c r="AS27" s="449">
        <v>138325.81344290951</v>
      </c>
      <c r="AT27" s="449">
        <v>211856.90987182874</v>
      </c>
      <c r="AU27" s="449">
        <v>155421.61478191079</v>
      </c>
      <c r="AV27" s="449">
        <v>168585.46430125111</v>
      </c>
      <c r="AW27" s="449">
        <v>208267.75193310896</v>
      </c>
      <c r="AX27" s="450">
        <v>237603.82218079845</v>
      </c>
    </row>
    <row r="28" spans="1:50" ht="13">
      <c r="A28" s="446" t="s">
        <v>763</v>
      </c>
      <c r="B28" s="449">
        <v>307.74599999999998</v>
      </c>
      <c r="C28" s="449">
        <v>292.58699999999999</v>
      </c>
      <c r="D28" s="449">
        <v>298.13799999999998</v>
      </c>
      <c r="E28" s="449">
        <v>304.28800000000001</v>
      </c>
      <c r="F28" s="449">
        <v>316.69900000000001</v>
      </c>
      <c r="G28" s="449">
        <v>330.00099999999998</v>
      </c>
      <c r="H28" s="449">
        <v>344.68099999999998</v>
      </c>
      <c r="I28" s="449">
        <v>351.35700000000003</v>
      </c>
      <c r="J28" s="449">
        <v>373.81799999999998</v>
      </c>
      <c r="K28" s="449">
        <v>391.2</v>
      </c>
      <c r="L28" s="449">
        <v>404.30100000000004</v>
      </c>
      <c r="M28" s="449">
        <v>417.6</v>
      </c>
      <c r="N28" s="449">
        <v>432</v>
      </c>
      <c r="O28" s="449">
        <v>469</v>
      </c>
      <c r="P28" s="449">
        <v>538.29999999999995</v>
      </c>
      <c r="Q28" s="449">
        <v>577.61</v>
      </c>
      <c r="R28" s="449">
        <v>734.3130000000001</v>
      </c>
      <c r="S28" s="449">
        <v>834.92499999999995</v>
      </c>
      <c r="T28" s="449">
        <v>941.73199999999997</v>
      </c>
      <c r="U28" s="449">
        <v>1010.807</v>
      </c>
      <c r="V28" s="449">
        <v>1091.1840000000002</v>
      </c>
      <c r="W28" s="449">
        <v>1228.3530000000001</v>
      </c>
      <c r="X28" s="449">
        <v>1224.037</v>
      </c>
      <c r="Y28" s="449">
        <v>1306.49</v>
      </c>
      <c r="Z28" s="449">
        <v>1383.5540000000001</v>
      </c>
      <c r="AA28" s="449">
        <v>1874.0650000000001</v>
      </c>
      <c r="AB28" s="449">
        <v>1590.77</v>
      </c>
      <c r="AC28" s="449">
        <v>1878.0730000000001</v>
      </c>
      <c r="AD28" s="449">
        <v>3257.29</v>
      </c>
      <c r="AE28" s="449">
        <v>5304.2185247937141</v>
      </c>
      <c r="AF28" s="449">
        <v>9891.5697190726441</v>
      </c>
      <c r="AG28" s="449">
        <v>19732.371691189222</v>
      </c>
      <c r="AH28" s="449">
        <v>27367.60443334013</v>
      </c>
      <c r="AI28" s="449">
        <v>37233.583817704435</v>
      </c>
      <c r="AJ28" s="449">
        <v>78775.096441902919</v>
      </c>
      <c r="AK28" s="449">
        <v>100268.67379238918</v>
      </c>
      <c r="AL28" s="449">
        <v>145894.13318570881</v>
      </c>
      <c r="AM28" s="449">
        <v>205262.66927173038</v>
      </c>
      <c r="AN28" s="449">
        <v>293355.19137814007</v>
      </c>
      <c r="AO28" s="449">
        <v>352861.9</v>
      </c>
      <c r="AP28" s="449">
        <v>437225.9</v>
      </c>
      <c r="AQ28" s="449">
        <v>449085.3</v>
      </c>
      <c r="AR28" s="449">
        <v>508689.3</v>
      </c>
      <c r="AS28" s="449">
        <v>728230.1</v>
      </c>
      <c r="AT28" s="449">
        <v>855470.7</v>
      </c>
      <c r="AU28" s="449">
        <v>877863.1</v>
      </c>
      <c r="AV28" s="449">
        <v>796136.7</v>
      </c>
      <c r="AW28" s="449">
        <v>872036.1</v>
      </c>
      <c r="AX28" s="450">
        <v>956571.3</v>
      </c>
    </row>
    <row r="29" spans="1:50" ht="13">
      <c r="A29" s="446" t="s">
        <v>764</v>
      </c>
      <c r="B29" s="449">
        <v>96.499332516267231</v>
      </c>
      <c r="C29" s="449">
        <v>58.605666929744046</v>
      </c>
      <c r="D29" s="449">
        <v>56.815789516973652</v>
      </c>
      <c r="E29" s="449">
        <v>57.086266837982656</v>
      </c>
      <c r="F29" s="449">
        <v>51.97938800337824</v>
      </c>
      <c r="G29" s="449">
        <v>59.68954340512456</v>
      </c>
      <c r="H29" s="449">
        <v>53.550622429717862</v>
      </c>
      <c r="I29" s="449">
        <v>59.178130471520582</v>
      </c>
      <c r="J29" s="449">
        <v>72.314600520582928</v>
      </c>
      <c r="K29" s="449">
        <v>69.623671111000817</v>
      </c>
      <c r="L29" s="449">
        <v>74.547014451474737</v>
      </c>
      <c r="M29" s="449">
        <v>67.607662591493437</v>
      </c>
      <c r="N29" s="449">
        <v>85</v>
      </c>
      <c r="O29" s="449">
        <v>95</v>
      </c>
      <c r="P29" s="449">
        <v>92</v>
      </c>
      <c r="Q29" s="449">
        <v>126</v>
      </c>
      <c r="R29" s="449">
        <v>89</v>
      </c>
      <c r="S29" s="449">
        <v>78</v>
      </c>
      <c r="T29" s="449">
        <v>128</v>
      </c>
      <c r="U29" s="449">
        <v>82</v>
      </c>
      <c r="V29" s="449">
        <v>91</v>
      </c>
      <c r="W29" s="449">
        <v>95</v>
      </c>
      <c r="X29" s="449">
        <v>100</v>
      </c>
      <c r="Y29" s="449">
        <v>125</v>
      </c>
      <c r="Z29" s="449">
        <v>399</v>
      </c>
      <c r="AA29" s="449">
        <v>199</v>
      </c>
      <c r="AB29" s="449">
        <v>328</v>
      </c>
      <c r="AC29" s="449">
        <v>1579</v>
      </c>
      <c r="AD29" s="449">
        <v>3240.9190000000003</v>
      </c>
      <c r="AE29" s="449">
        <v>6301.5</v>
      </c>
      <c r="AF29" s="449">
        <v>10459.530272512289</v>
      </c>
      <c r="AG29" s="449">
        <v>14116.611421985121</v>
      </c>
      <c r="AH29" s="449">
        <v>20017.760292143983</v>
      </c>
      <c r="AI29" s="449">
        <v>16131.459783650458</v>
      </c>
      <c r="AJ29" s="449">
        <v>23741.268637593195</v>
      </c>
      <c r="AK29" s="449">
        <v>31734.13470597977</v>
      </c>
      <c r="AL29" s="449">
        <v>41258.928514692554</v>
      </c>
      <c r="AM29" s="449">
        <v>60229.73230856868</v>
      </c>
      <c r="AN29" s="449">
        <v>76401</v>
      </c>
      <c r="AO29" s="449">
        <v>64835</v>
      </c>
      <c r="AP29" s="449">
        <v>74890.2</v>
      </c>
      <c r="AQ29" s="449">
        <v>79806.235000000001</v>
      </c>
      <c r="AR29" s="449">
        <v>59335</v>
      </c>
      <c r="AS29" s="449">
        <v>72711</v>
      </c>
      <c r="AT29" s="449">
        <v>70687</v>
      </c>
      <c r="AU29" s="449">
        <v>83088</v>
      </c>
      <c r="AV29" s="449">
        <v>94882</v>
      </c>
      <c r="AW29" s="449">
        <v>96553</v>
      </c>
      <c r="AX29" s="450">
        <v>97949</v>
      </c>
    </row>
    <row r="30" spans="1:50" ht="13">
      <c r="A30" s="451" t="s">
        <v>755</v>
      </c>
      <c r="B30" s="449">
        <v>615.76450189721265</v>
      </c>
      <c r="C30" s="449">
        <v>595.72797083180512</v>
      </c>
      <c r="D30" s="449">
        <v>643.13395089171513</v>
      </c>
      <c r="E30" s="449">
        <v>659.10874615386024</v>
      </c>
      <c r="F30" s="449">
        <v>692.21131372818309</v>
      </c>
      <c r="G30" s="449">
        <v>706.62815842207522</v>
      </c>
      <c r="H30" s="449">
        <v>733.12180514184331</v>
      </c>
      <c r="I30" s="449">
        <v>783.67946362314774</v>
      </c>
      <c r="J30" s="449">
        <v>889.05956216629897</v>
      </c>
      <c r="K30" s="449">
        <v>975.8386341523975</v>
      </c>
      <c r="L30" s="449">
        <v>1039.0816604608572</v>
      </c>
      <c r="M30" s="449">
        <v>1106.8090004170094</v>
      </c>
      <c r="N30" s="449">
        <v>1512.2741422395818</v>
      </c>
      <c r="O30" s="449">
        <v>1627.4661887403861</v>
      </c>
      <c r="P30" s="449">
        <v>1777.9545975218859</v>
      </c>
      <c r="Q30" s="449">
        <v>1697.5630554513632</v>
      </c>
      <c r="R30" s="449">
        <v>1837.2294198579498</v>
      </c>
      <c r="S30" s="449">
        <v>1892.4159717860839</v>
      </c>
      <c r="T30" s="449">
        <v>1922.5761413916978</v>
      </c>
      <c r="U30" s="449">
        <v>1979.0634875417015</v>
      </c>
      <c r="V30" s="449">
        <v>2129.915825429061</v>
      </c>
      <c r="W30" s="449">
        <v>2394.7791157626493</v>
      </c>
      <c r="X30" s="449">
        <v>2525.0556822704616</v>
      </c>
      <c r="Y30" s="449">
        <v>2953.4483041854105</v>
      </c>
      <c r="Z30" s="449">
        <v>3775.6241188417703</v>
      </c>
      <c r="AA30" s="449">
        <v>4383.1886938800335</v>
      </c>
      <c r="AB30" s="449">
        <v>5889.4707809428528</v>
      </c>
      <c r="AC30" s="449">
        <v>8137.2980907936635</v>
      </c>
      <c r="AD30" s="449">
        <v>21038.275200470303</v>
      </c>
      <c r="AE30" s="449">
        <v>36143.959927159107</v>
      </c>
      <c r="AF30" s="449">
        <v>40744.423750000002</v>
      </c>
      <c r="AG30" s="449">
        <v>55316.25</v>
      </c>
      <c r="AH30" s="449">
        <v>71350</v>
      </c>
      <c r="AI30" s="449">
        <v>93228</v>
      </c>
      <c r="AJ30" s="449">
        <v>122889.948</v>
      </c>
      <c r="AK30" s="449">
        <v>143133.67600000001</v>
      </c>
      <c r="AL30" s="449">
        <v>179134</v>
      </c>
      <c r="AM30" s="449">
        <v>228943.8</v>
      </c>
      <c r="AN30" s="449">
        <v>282799.80699999997</v>
      </c>
      <c r="AO30" s="449">
        <v>372101</v>
      </c>
      <c r="AP30" s="449">
        <v>435602.8</v>
      </c>
      <c r="AQ30" s="449">
        <v>525508.76500000001</v>
      </c>
      <c r="AR30" s="449">
        <v>588518</v>
      </c>
      <c r="AS30" s="449">
        <v>688651</v>
      </c>
      <c r="AT30" s="449">
        <v>870917</v>
      </c>
      <c r="AU30" s="449">
        <v>1038029</v>
      </c>
      <c r="AV30" s="449">
        <v>1276770</v>
      </c>
      <c r="AW30" s="449">
        <v>1355717</v>
      </c>
      <c r="AX30" s="450">
        <v>1386559</v>
      </c>
    </row>
    <row r="31" spans="1:50" ht="13">
      <c r="A31" s="457" t="s">
        <v>770</v>
      </c>
      <c r="B31" s="449">
        <v>355.70550189721268</v>
      </c>
      <c r="C31" s="449">
        <v>389.98797083180517</v>
      </c>
      <c r="D31" s="449">
        <v>410.90095089171518</v>
      </c>
      <c r="E31" s="449">
        <v>423.65074615386021</v>
      </c>
      <c r="F31" s="449">
        <v>450.2733137281831</v>
      </c>
      <c r="G31" s="449">
        <v>460.24815842207516</v>
      </c>
      <c r="H31" s="449">
        <v>477.49880514184338</v>
      </c>
      <c r="I31" s="449">
        <v>520.1324636231476</v>
      </c>
      <c r="J31" s="449">
        <v>597.62056216629901</v>
      </c>
      <c r="K31" s="449">
        <v>672.15763415239735</v>
      </c>
      <c r="L31" s="449">
        <v>710.03466046085714</v>
      </c>
      <c r="M31" s="449">
        <v>756.3680004170094</v>
      </c>
      <c r="N31" s="449">
        <v>995.55914223958177</v>
      </c>
      <c r="O31" s="449">
        <v>1008.6081887403863</v>
      </c>
      <c r="P31" s="449">
        <v>1029.902247521886</v>
      </c>
      <c r="Q31" s="449">
        <v>1072.6794554513631</v>
      </c>
      <c r="R31" s="449">
        <v>1160.7155598579498</v>
      </c>
      <c r="S31" s="449">
        <v>1188.4575757860837</v>
      </c>
      <c r="T31" s="449">
        <v>1191.3397913916976</v>
      </c>
      <c r="U31" s="449">
        <v>1311.9399575417017</v>
      </c>
      <c r="V31" s="449">
        <v>1402.568125429061</v>
      </c>
      <c r="W31" s="449">
        <v>1584.9171157626492</v>
      </c>
      <c r="X31" s="449">
        <v>1693.8666822704618</v>
      </c>
      <c r="Y31" s="449">
        <v>2023.6059101854105</v>
      </c>
      <c r="Z31" s="449">
        <v>2538.9954108417705</v>
      </c>
      <c r="AA31" s="449">
        <v>2482.1661938800335</v>
      </c>
      <c r="AB31" s="449">
        <v>3572.2037809428525</v>
      </c>
      <c r="AC31" s="449">
        <v>5177.881090793664</v>
      </c>
      <c r="AD31" s="449">
        <v>15004.235200470304</v>
      </c>
      <c r="AE31" s="449">
        <v>25836.900927159102</v>
      </c>
      <c r="AF31" s="449">
        <v>31388.180750000003</v>
      </c>
      <c r="AG31" s="449">
        <v>44614.425999999999</v>
      </c>
      <c r="AH31" s="449">
        <v>61036.983</v>
      </c>
      <c r="AI31" s="449">
        <v>82002.451000000001</v>
      </c>
      <c r="AJ31" s="449">
        <v>106534.208</v>
      </c>
      <c r="AK31" s="449">
        <v>122999.83200000001</v>
      </c>
      <c r="AL31" s="449">
        <v>155476.54699999999</v>
      </c>
      <c r="AM31" s="449">
        <v>191337.283</v>
      </c>
      <c r="AN31" s="449">
        <v>239144.07399999999</v>
      </c>
      <c r="AO31" s="449">
        <v>287407</v>
      </c>
      <c r="AP31" s="449">
        <v>323067</v>
      </c>
      <c r="AQ31" s="449">
        <v>443099</v>
      </c>
      <c r="AR31" s="449">
        <v>494098</v>
      </c>
      <c r="AS31" s="449">
        <v>581824</v>
      </c>
      <c r="AT31" s="449">
        <v>713938</v>
      </c>
      <c r="AU31" s="449">
        <v>856243</v>
      </c>
      <c r="AV31" s="449">
        <v>1045907</v>
      </c>
      <c r="AW31" s="449">
        <v>1129143</v>
      </c>
      <c r="AX31" s="450">
        <v>1164326</v>
      </c>
    </row>
    <row r="32" spans="1:50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8"/>
    </row>
    <row r="33" spans="1:50" ht="13">
      <c r="A33" s="446" t="s">
        <v>765</v>
      </c>
      <c r="B33" s="449">
        <v>835.05099999999993</v>
      </c>
      <c r="C33" s="449">
        <v>894.89200000000005</v>
      </c>
      <c r="D33" s="449">
        <v>716.29333333333329</v>
      </c>
      <c r="E33" s="449">
        <v>707.8936666666666</v>
      </c>
      <c r="F33" s="449">
        <v>822.12933333333331</v>
      </c>
      <c r="G33" s="449">
        <v>821.4369999999999</v>
      </c>
      <c r="H33" s="449">
        <v>863.9563333333333</v>
      </c>
      <c r="I33" s="449">
        <v>864.58200000000011</v>
      </c>
      <c r="J33" s="449">
        <v>934.96900000000005</v>
      </c>
      <c r="K33" s="449">
        <v>1003.0490000000002</v>
      </c>
      <c r="L33" s="449">
        <v>1146.7049999999999</v>
      </c>
      <c r="M33" s="449">
        <v>1359.346</v>
      </c>
      <c r="N33" s="449">
        <v>1231.1110000000001</v>
      </c>
      <c r="O33" s="449">
        <v>1373.96</v>
      </c>
      <c r="P33" s="449">
        <v>1384.4390000000003</v>
      </c>
      <c r="Q33" s="449">
        <v>1730.4069999999999</v>
      </c>
      <c r="R33" s="449">
        <v>2268.2550000000001</v>
      </c>
      <c r="S33" s="449">
        <v>2346.2060000000001</v>
      </c>
      <c r="T33" s="449">
        <v>2210.6779999999999</v>
      </c>
      <c r="U33" s="449">
        <v>2148.145</v>
      </c>
      <c r="V33" s="449">
        <v>2240.61</v>
      </c>
      <c r="W33" s="449">
        <v>2519.9780000000001</v>
      </c>
      <c r="X33" s="449">
        <v>3246.0339999999997</v>
      </c>
      <c r="Y33" s="449">
        <v>3322.0260000000003</v>
      </c>
      <c r="Z33" s="449">
        <v>3626.9110000000001</v>
      </c>
      <c r="AA33" s="449">
        <v>4703.3610000000008</v>
      </c>
      <c r="AB33" s="449">
        <v>6541.0349999999999</v>
      </c>
      <c r="AC33" s="449">
        <v>9158.7350000000006</v>
      </c>
      <c r="AD33" s="449">
        <v>15470.415999999999</v>
      </c>
      <c r="AE33" s="449">
        <v>20805.05</v>
      </c>
      <c r="AF33" s="449">
        <v>28603.946</v>
      </c>
      <c r="AG33" s="449">
        <v>34634.17</v>
      </c>
      <c r="AH33" s="449">
        <v>48072.197999999997</v>
      </c>
      <c r="AI33" s="449">
        <v>62783</v>
      </c>
      <c r="AJ33" s="449">
        <v>73875</v>
      </c>
      <c r="AK33" s="449">
        <v>87874</v>
      </c>
      <c r="AL33" s="449">
        <v>92011</v>
      </c>
      <c r="AM33" s="449">
        <v>93052</v>
      </c>
      <c r="AN33" s="449">
        <v>118532</v>
      </c>
      <c r="AO33" s="449">
        <v>184395</v>
      </c>
      <c r="AP33" s="449">
        <v>400748</v>
      </c>
      <c r="AQ33" s="449">
        <v>341268</v>
      </c>
      <c r="AR33" s="449">
        <v>251065</v>
      </c>
      <c r="AS33" s="449">
        <v>297500</v>
      </c>
      <c r="AT33" s="449">
        <v>339453</v>
      </c>
      <c r="AU33" s="449">
        <v>425041</v>
      </c>
      <c r="AV33" s="449">
        <v>439237</v>
      </c>
      <c r="AW33" s="449">
        <v>444981.83366293448</v>
      </c>
      <c r="AX33" s="450">
        <v>492003.44646370906</v>
      </c>
    </row>
    <row r="34" spans="1:5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50"/>
    </row>
    <row r="35" spans="1:50" ht="13">
      <c r="A35" s="446" t="s">
        <v>766</v>
      </c>
      <c r="B35" s="449">
        <v>502.51699999999994</v>
      </c>
      <c r="C35" s="449">
        <v>533.98699999999997</v>
      </c>
      <c r="D35" s="449">
        <v>402.87633333333332</v>
      </c>
      <c r="E35" s="449">
        <v>377.08066666666667</v>
      </c>
      <c r="F35" s="449">
        <v>404.9613333333333</v>
      </c>
      <c r="G35" s="449">
        <v>484.29199999999992</v>
      </c>
      <c r="H35" s="449">
        <v>483.75533333333334</v>
      </c>
      <c r="I35" s="449">
        <v>557.4910000000001</v>
      </c>
      <c r="J35" s="449">
        <v>619.97</v>
      </c>
      <c r="K35" s="449">
        <v>642.56800000000021</v>
      </c>
      <c r="L35" s="449">
        <v>770.45</v>
      </c>
      <c r="M35" s="449">
        <v>985.87400000000002</v>
      </c>
      <c r="N35" s="449">
        <v>717.28100000000006</v>
      </c>
      <c r="O35" s="449">
        <v>850.79899999999998</v>
      </c>
      <c r="P35" s="449">
        <v>724.50900000000013</v>
      </c>
      <c r="Q35" s="449">
        <v>1162.394</v>
      </c>
      <c r="R35" s="449">
        <v>1645.5039999999999</v>
      </c>
      <c r="S35" s="449">
        <v>1688.9710000000002</v>
      </c>
      <c r="T35" s="449">
        <v>1459.221</v>
      </c>
      <c r="U35" s="449">
        <v>1097.4549999999999</v>
      </c>
      <c r="V35" s="449">
        <v>1116.6019999999999</v>
      </c>
      <c r="W35" s="449">
        <v>1166.184</v>
      </c>
      <c r="X35" s="449">
        <v>1817.9859999999996</v>
      </c>
      <c r="Y35" s="449">
        <v>1641.9349999999999</v>
      </c>
      <c r="Z35" s="449">
        <v>1389.6480000000001</v>
      </c>
      <c r="AA35" s="449">
        <v>2312.4</v>
      </c>
      <c r="AB35" s="449">
        <v>2787.2189999999996</v>
      </c>
      <c r="AC35" s="449">
        <v>3586.7309999999998</v>
      </c>
      <c r="AD35" s="449">
        <v>5251.7469999999994</v>
      </c>
      <c r="AE35" s="449">
        <v>6904.4450000000006</v>
      </c>
      <c r="AF35" s="449">
        <v>9030.18</v>
      </c>
      <c r="AG35" s="449">
        <v>12997.116</v>
      </c>
      <c r="AH35" s="449">
        <v>17246.269</v>
      </c>
      <c r="AI35" s="449">
        <v>21629.561999999998</v>
      </c>
      <c r="AJ35" s="449">
        <v>36324.239999999998</v>
      </c>
      <c r="AK35" s="449">
        <v>29943.3</v>
      </c>
      <c r="AL35" s="449">
        <v>36739</v>
      </c>
      <c r="AM35" s="449">
        <v>42720.9</v>
      </c>
      <c r="AN35" s="449">
        <v>42939.9</v>
      </c>
      <c r="AO35" s="449">
        <v>51162</v>
      </c>
      <c r="AP35" s="449">
        <v>57755</v>
      </c>
      <c r="AQ35" s="449">
        <v>69850</v>
      </c>
      <c r="AR35" s="449">
        <v>59576</v>
      </c>
      <c r="AS35" s="449">
        <v>68253</v>
      </c>
      <c r="AT35" s="449">
        <v>66006</v>
      </c>
      <c r="AU35" s="449">
        <v>93168</v>
      </c>
      <c r="AV35" s="449">
        <v>103223</v>
      </c>
      <c r="AW35" s="449">
        <v>106265.83366293448</v>
      </c>
      <c r="AX35" s="450">
        <v>132300.44646370906</v>
      </c>
    </row>
    <row r="36" spans="1:50" ht="13">
      <c r="A36" s="446" t="s">
        <v>757</v>
      </c>
      <c r="B36" s="449">
        <v>332.53400000000005</v>
      </c>
      <c r="C36" s="449">
        <v>360.90499999999997</v>
      </c>
      <c r="D36" s="449">
        <v>313.41700000000003</v>
      </c>
      <c r="E36" s="449">
        <v>330.81299999999999</v>
      </c>
      <c r="F36" s="449">
        <v>417.16800000000001</v>
      </c>
      <c r="G36" s="449">
        <v>337.14499999999998</v>
      </c>
      <c r="H36" s="449">
        <v>380.20100000000002</v>
      </c>
      <c r="I36" s="449">
        <v>307.09099999999995</v>
      </c>
      <c r="J36" s="449">
        <v>314.99900000000008</v>
      </c>
      <c r="K36" s="449">
        <v>360.48099999999994</v>
      </c>
      <c r="L36" s="449">
        <v>376.255</v>
      </c>
      <c r="M36" s="449">
        <v>373.47199999999992</v>
      </c>
      <c r="N36" s="449">
        <v>513.83000000000004</v>
      </c>
      <c r="O36" s="449">
        <v>523.16100000000006</v>
      </c>
      <c r="P36" s="449">
        <v>659.93</v>
      </c>
      <c r="Q36" s="449">
        <v>568.01299999999992</v>
      </c>
      <c r="R36" s="449">
        <v>622.75099999999998</v>
      </c>
      <c r="S36" s="449">
        <v>657.23500000000001</v>
      </c>
      <c r="T36" s="449">
        <v>751.45699999999988</v>
      </c>
      <c r="U36" s="449">
        <v>1050.69</v>
      </c>
      <c r="V36" s="449">
        <v>1124.0079999999998</v>
      </c>
      <c r="W36" s="449">
        <v>1353.7940000000001</v>
      </c>
      <c r="X36" s="449">
        <v>1428.048</v>
      </c>
      <c r="Y36" s="449">
        <v>1680.0910000000001</v>
      </c>
      <c r="Z36" s="449">
        <v>2237.2629999999999</v>
      </c>
      <c r="AA36" s="449">
        <v>2390.9610000000002</v>
      </c>
      <c r="AB36" s="449">
        <v>3753.8159999999998</v>
      </c>
      <c r="AC36" s="449">
        <v>5572.0039999999999</v>
      </c>
      <c r="AD36" s="449">
        <v>10218.669</v>
      </c>
      <c r="AE36" s="449">
        <v>13900.605000000001</v>
      </c>
      <c r="AF36" s="449">
        <v>19573.766</v>
      </c>
      <c r="AG36" s="449">
        <v>21637.054</v>
      </c>
      <c r="AH36" s="449">
        <v>30825.928999999996</v>
      </c>
      <c r="AI36" s="449">
        <v>41153.437999999995</v>
      </c>
      <c r="AJ36" s="449">
        <v>37550.76</v>
      </c>
      <c r="AK36" s="449">
        <v>57930.7</v>
      </c>
      <c r="AL36" s="449">
        <v>55272</v>
      </c>
      <c r="AM36" s="449">
        <v>50331.1</v>
      </c>
      <c r="AN36" s="449">
        <v>75592.100000000006</v>
      </c>
      <c r="AO36" s="449">
        <v>133233</v>
      </c>
      <c r="AP36" s="449">
        <v>342993</v>
      </c>
      <c r="AQ36" s="449">
        <v>271418</v>
      </c>
      <c r="AR36" s="449">
        <v>191489</v>
      </c>
      <c r="AS36" s="449">
        <v>229247</v>
      </c>
      <c r="AT36" s="449">
        <v>273447</v>
      </c>
      <c r="AU36" s="449">
        <v>331873</v>
      </c>
      <c r="AV36" s="449">
        <v>336014</v>
      </c>
      <c r="AW36" s="449">
        <v>338716</v>
      </c>
      <c r="AX36" s="450">
        <v>359703</v>
      </c>
    </row>
    <row r="37" spans="1:50" ht="13">
      <c r="A37" s="457" t="s">
        <v>770</v>
      </c>
      <c r="B37" s="449">
        <v>327.06800000000004</v>
      </c>
      <c r="C37" s="449">
        <v>342.59699999999998</v>
      </c>
      <c r="D37" s="449">
        <v>293.98</v>
      </c>
      <c r="E37" s="449">
        <v>230.19899999999998</v>
      </c>
      <c r="F37" s="449">
        <v>247.012</v>
      </c>
      <c r="G37" s="449">
        <v>254.298</v>
      </c>
      <c r="H37" s="449">
        <v>344.85</v>
      </c>
      <c r="I37" s="449">
        <v>270.92500000000001</v>
      </c>
      <c r="J37" s="449">
        <v>287.50100000000009</v>
      </c>
      <c r="K37" s="449">
        <v>336.755</v>
      </c>
      <c r="L37" s="449">
        <v>354.36799999999999</v>
      </c>
      <c r="M37" s="449">
        <v>360.48099999999994</v>
      </c>
      <c r="N37" s="449">
        <v>500.23</v>
      </c>
      <c r="O37" s="449">
        <v>520.16100000000006</v>
      </c>
      <c r="P37" s="449">
        <v>566.63</v>
      </c>
      <c r="Q37" s="449">
        <v>545.15</v>
      </c>
      <c r="R37" s="449">
        <v>570.25799999999992</v>
      </c>
      <c r="S37" s="449">
        <v>540.25799999999992</v>
      </c>
      <c r="T37" s="449">
        <v>602.00799999999992</v>
      </c>
      <c r="U37" s="449">
        <v>924.00799999999992</v>
      </c>
      <c r="V37" s="449">
        <v>1005.0079999999999</v>
      </c>
      <c r="W37" s="449">
        <v>1256.508</v>
      </c>
      <c r="X37" s="449">
        <v>1330.0330000000001</v>
      </c>
      <c r="Y37" s="449">
        <v>1565.008</v>
      </c>
      <c r="Z37" s="449">
        <v>1837.008</v>
      </c>
      <c r="AA37" s="449">
        <v>1519.9</v>
      </c>
      <c r="AB37" s="449">
        <v>2643.335</v>
      </c>
      <c r="AC37" s="449">
        <v>3370.5050000000001</v>
      </c>
      <c r="AD37" s="449">
        <v>5493.6010000000006</v>
      </c>
      <c r="AE37" s="449">
        <v>7771.0240000000003</v>
      </c>
      <c r="AF37" s="449">
        <v>13100.74</v>
      </c>
      <c r="AG37" s="449">
        <v>12940.146000000001</v>
      </c>
      <c r="AH37" s="449">
        <v>22540.707999999999</v>
      </c>
      <c r="AI37" s="449">
        <v>32336.116999999998</v>
      </c>
      <c r="AJ37" s="449">
        <v>36505.442999999999</v>
      </c>
      <c r="AK37" s="449">
        <v>42403.420999999995</v>
      </c>
      <c r="AL37" s="449">
        <v>45323.027999999998</v>
      </c>
      <c r="AM37" s="449">
        <v>42551</v>
      </c>
      <c r="AN37" s="449">
        <v>62977.752999999997</v>
      </c>
      <c r="AO37" s="447">
        <v>86531</v>
      </c>
      <c r="AP37" s="447">
        <v>314464</v>
      </c>
      <c r="AQ37" s="447">
        <v>229440</v>
      </c>
      <c r="AR37" s="447">
        <v>147611</v>
      </c>
      <c r="AS37" s="447">
        <v>191463</v>
      </c>
      <c r="AT37" s="447">
        <v>220767</v>
      </c>
      <c r="AU37" s="447">
        <v>280987</v>
      </c>
      <c r="AV37" s="447">
        <v>295692</v>
      </c>
      <c r="AW37" s="447">
        <v>310071</v>
      </c>
      <c r="AX37" s="448">
        <v>335237</v>
      </c>
    </row>
    <row r="38" spans="1:5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8"/>
    </row>
    <row r="39" spans="1:50" ht="13">
      <c r="A39" s="446" t="s">
        <v>767</v>
      </c>
      <c r="B39" s="449">
        <v>4822.6793225260453</v>
      </c>
      <c r="C39" s="449">
        <v>4856.4153489871051</v>
      </c>
      <c r="D39" s="449">
        <v>4989.7606555095672</v>
      </c>
      <c r="E39" s="449">
        <v>4915.145080953308</v>
      </c>
      <c r="F39" s="449">
        <v>5135.5073513421985</v>
      </c>
      <c r="G39" s="449">
        <v>5113.2017231330192</v>
      </c>
      <c r="H39" s="449">
        <v>5704.393274922948</v>
      </c>
      <c r="I39" s="449">
        <v>6377.1423472545584</v>
      </c>
      <c r="J39" s="449">
        <v>6668.8536699995784</v>
      </c>
      <c r="K39" s="449">
        <v>6780.1870467306162</v>
      </c>
      <c r="L39" s="449">
        <v>7265.0017482879593</v>
      </c>
      <c r="M39" s="449">
        <v>7687.6200589983055</v>
      </c>
      <c r="N39" s="449">
        <v>8525.5535064611704</v>
      </c>
      <c r="O39" s="449">
        <v>9325.2690802480847</v>
      </c>
      <c r="P39" s="449">
        <v>11722.698601833177</v>
      </c>
      <c r="Q39" s="449">
        <v>12846.143250675661</v>
      </c>
      <c r="R39" s="449">
        <v>13899.513784696937</v>
      </c>
      <c r="S39" s="449">
        <v>15042.678462715232</v>
      </c>
      <c r="T39" s="449">
        <v>15869.348546619822</v>
      </c>
      <c r="U39" s="449">
        <v>16754.549977358427</v>
      </c>
      <c r="V39" s="449">
        <v>19435.399697016961</v>
      </c>
      <c r="W39" s="449">
        <v>21440.569293581397</v>
      </c>
      <c r="X39" s="449">
        <v>23578.199738824249</v>
      </c>
      <c r="Y39" s="449">
        <v>27311.632121481685</v>
      </c>
      <c r="Z39" s="449">
        <v>30530.546749878184</v>
      </c>
      <c r="AA39" s="449">
        <v>34926.650955134013</v>
      </c>
      <c r="AB39" s="449">
        <v>41316.632355396374</v>
      </c>
      <c r="AC39" s="449">
        <v>55459.532511215744</v>
      </c>
      <c r="AD39" s="449">
        <v>82685.900526314814</v>
      </c>
      <c r="AE39" s="449">
        <v>114022.33535624908</v>
      </c>
      <c r="AF39" s="449">
        <v>149641.74446170882</v>
      </c>
      <c r="AG39" s="449">
        <v>197358.09066483559</v>
      </c>
      <c r="AH39" s="449">
        <v>260023.68038028994</v>
      </c>
      <c r="AI39" s="449">
        <v>331728.94137483591</v>
      </c>
      <c r="AJ39" s="449">
        <v>449523.63865565427</v>
      </c>
      <c r="AK39" s="449">
        <v>544915.12128934357</v>
      </c>
      <c r="AL39" s="449">
        <v>688502.00561024144</v>
      </c>
      <c r="AM39" s="449">
        <v>861175.61765691731</v>
      </c>
      <c r="AN39" s="449">
        <v>1113518.7075254289</v>
      </c>
      <c r="AO39" s="449">
        <v>1396685.4385994142</v>
      </c>
      <c r="AP39" s="449">
        <v>1827917.7001092667</v>
      </c>
      <c r="AQ39" s="449">
        <v>1982252.0081675476</v>
      </c>
      <c r="AR39" s="449">
        <v>2109200.4672168922</v>
      </c>
      <c r="AS39" s="449">
        <v>2613498.9134429097</v>
      </c>
      <c r="AT39" s="449">
        <v>3213741.6098718289</v>
      </c>
      <c r="AU39" s="449">
        <v>3630653.7147819106</v>
      </c>
      <c r="AV39" s="449">
        <v>3913212.1643012511</v>
      </c>
      <c r="AW39" s="449">
        <v>4148876.6855960437</v>
      </c>
      <c r="AX39" s="450">
        <v>4441196.5686445078</v>
      </c>
    </row>
    <row r="40" spans="1:5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8"/>
    </row>
    <row r="41" spans="1:50" ht="13.5" thickBot="1">
      <c r="A41" s="452" t="s">
        <v>768</v>
      </c>
      <c r="B41" s="453">
        <v>-692.44422514683811</v>
      </c>
      <c r="C41" s="453">
        <v>-563.73165633250119</v>
      </c>
      <c r="D41" s="453">
        <v>-357.04411868501757</v>
      </c>
      <c r="E41" s="453">
        <v>-128.33343866377982</v>
      </c>
      <c r="F41" s="453">
        <v>260.35709274629698</v>
      </c>
      <c r="G41" s="453">
        <v>569.05812518387665</v>
      </c>
      <c r="H41" s="453">
        <v>130.58135322155977</v>
      </c>
      <c r="I41" s="453">
        <v>-299.56386494495655</v>
      </c>
      <c r="J41" s="453">
        <v>-205.03038656962417</v>
      </c>
      <c r="K41" s="453">
        <v>165.18725302085477</v>
      </c>
      <c r="L41" s="453">
        <v>97.323840634182488</v>
      </c>
      <c r="M41" s="453">
        <v>222.09786161777993</v>
      </c>
      <c r="N41" s="453">
        <v>-113.28814223958216</v>
      </c>
      <c r="O41" s="453">
        <v>-182.210188740386</v>
      </c>
      <c r="P41" s="453">
        <v>-1659.3052475218883</v>
      </c>
      <c r="Q41" s="453">
        <v>-1773.9512554513622</v>
      </c>
      <c r="R41" s="453">
        <v>-2142.3435598579526</v>
      </c>
      <c r="S41" s="453">
        <v>-2522.1125757860864</v>
      </c>
      <c r="T41" s="453">
        <v>-1270.9827913916997</v>
      </c>
      <c r="U41" s="453">
        <v>-818.5369575416953</v>
      </c>
      <c r="V41" s="453">
        <v>-1065.5571254290589</v>
      </c>
      <c r="W41" s="453">
        <v>-921.59631576265019</v>
      </c>
      <c r="X41" s="453">
        <v>-613.25668227046481</v>
      </c>
      <c r="Y41" s="453">
        <v>748.1594898145886</v>
      </c>
      <c r="Z41" s="453">
        <v>-197.37251084176387</v>
      </c>
      <c r="AA41" s="453">
        <v>-388.76119388003281</v>
      </c>
      <c r="AB41" s="453">
        <v>-476.37278094286012</v>
      </c>
      <c r="AC41" s="453">
        <v>-6768.8020907936516</v>
      </c>
      <c r="AD41" s="453">
        <v>-27406.146200470313</v>
      </c>
      <c r="AE41" s="453">
        <v>-36746.833543856279</v>
      </c>
      <c r="AF41" s="453">
        <v>-40954.317991584961</v>
      </c>
      <c r="AG41" s="453">
        <v>-67575.379113174306</v>
      </c>
      <c r="AH41" s="453">
        <v>-91350.567725484114</v>
      </c>
      <c r="AI41" s="453">
        <v>-106236.36160135487</v>
      </c>
      <c r="AJ41" s="453">
        <v>-151682.33007949614</v>
      </c>
      <c r="AK41" s="453">
        <v>-163427.47149836901</v>
      </c>
      <c r="AL41" s="453">
        <v>-167100.94570040132</v>
      </c>
      <c r="AM41" s="453">
        <v>-247080.84458029899</v>
      </c>
      <c r="AN41" s="453">
        <v>-386641.12437814008</v>
      </c>
      <c r="AO41" s="453">
        <v>-452184.8</v>
      </c>
      <c r="AP41" s="453">
        <v>-614831.80000000005</v>
      </c>
      <c r="AQ41" s="453">
        <v>-483453.3</v>
      </c>
      <c r="AR41" s="453">
        <v>-296775.3</v>
      </c>
      <c r="AS41" s="453">
        <v>-492547.1</v>
      </c>
      <c r="AT41" s="453">
        <v>-627999.69999999995</v>
      </c>
      <c r="AU41" s="453">
        <v>-410642.1</v>
      </c>
      <c r="AV41" s="453">
        <v>-830274.7</v>
      </c>
      <c r="AW41" s="453">
        <v>-857962.93366293469</v>
      </c>
      <c r="AX41" s="454">
        <v>-817546.74646370951</v>
      </c>
    </row>
    <row r="43" spans="1:50" ht="52">
      <c r="A43" s="461" t="s">
        <v>773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87" orientation="landscape" horizontalDpi="429496729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44AD-0152-419D-A48E-FB9D3F97317F}">
  <sheetPr codeName="Sheet13">
    <pageSetUpPr fitToPage="1"/>
  </sheetPr>
  <dimension ref="A1:AX4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RowHeight="12.5"/>
  <cols>
    <col min="1" max="1" width="55.81640625" style="396" customWidth="1"/>
    <col min="2" max="15" width="5.26953125" style="396" customWidth="1"/>
    <col min="16" max="16" width="4.453125" style="396" customWidth="1"/>
    <col min="17" max="33" width="5.26953125" style="396" customWidth="1"/>
    <col min="34" max="35" width="7.81640625" style="396" customWidth="1"/>
    <col min="36" max="36" width="5.26953125" style="396" customWidth="1"/>
    <col min="37" max="37" width="7" style="396" customWidth="1"/>
    <col min="38" max="38" width="8.7265625" style="396" customWidth="1"/>
    <col min="39" max="42" width="6.1796875" style="396" customWidth="1"/>
    <col min="43" max="47" width="7.26953125" style="396" customWidth="1"/>
    <col min="48" max="50" width="10.7265625" style="396" customWidth="1"/>
    <col min="51" max="256" width="8.7265625" style="396"/>
    <col min="257" max="257" width="55.81640625" style="396" customWidth="1"/>
    <col min="258" max="271" width="5.26953125" style="396" customWidth="1"/>
    <col min="272" max="272" width="4.453125" style="396" customWidth="1"/>
    <col min="273" max="289" width="5.26953125" style="396" customWidth="1"/>
    <col min="290" max="291" width="7.81640625" style="396" customWidth="1"/>
    <col min="292" max="292" width="5.26953125" style="396" customWidth="1"/>
    <col min="293" max="293" width="7" style="396" customWidth="1"/>
    <col min="294" max="294" width="8.7265625" style="396"/>
    <col min="295" max="298" width="6.1796875" style="396" customWidth="1"/>
    <col min="299" max="303" width="7.26953125" style="396" customWidth="1"/>
    <col min="304" max="306" width="10.7265625" style="396" customWidth="1"/>
    <col min="307" max="512" width="8.7265625" style="396"/>
    <col min="513" max="513" width="55.81640625" style="396" customWidth="1"/>
    <col min="514" max="527" width="5.26953125" style="396" customWidth="1"/>
    <col min="528" max="528" width="4.453125" style="396" customWidth="1"/>
    <col min="529" max="545" width="5.26953125" style="396" customWidth="1"/>
    <col min="546" max="547" width="7.81640625" style="396" customWidth="1"/>
    <col min="548" max="548" width="5.26953125" style="396" customWidth="1"/>
    <col min="549" max="549" width="7" style="396" customWidth="1"/>
    <col min="550" max="550" width="8.7265625" style="396"/>
    <col min="551" max="554" width="6.1796875" style="396" customWidth="1"/>
    <col min="555" max="559" width="7.26953125" style="396" customWidth="1"/>
    <col min="560" max="562" width="10.7265625" style="396" customWidth="1"/>
    <col min="563" max="768" width="8.7265625" style="396"/>
    <col min="769" max="769" width="55.81640625" style="396" customWidth="1"/>
    <col min="770" max="783" width="5.26953125" style="396" customWidth="1"/>
    <col min="784" max="784" width="4.453125" style="396" customWidth="1"/>
    <col min="785" max="801" width="5.26953125" style="396" customWidth="1"/>
    <col min="802" max="803" width="7.81640625" style="396" customWidth="1"/>
    <col min="804" max="804" width="5.26953125" style="396" customWidth="1"/>
    <col min="805" max="805" width="7" style="396" customWidth="1"/>
    <col min="806" max="806" width="8.7265625" style="396"/>
    <col min="807" max="810" width="6.1796875" style="396" customWidth="1"/>
    <col min="811" max="815" width="7.26953125" style="396" customWidth="1"/>
    <col min="816" max="818" width="10.7265625" style="396" customWidth="1"/>
    <col min="819" max="1024" width="8.7265625" style="396"/>
    <col min="1025" max="1025" width="55.81640625" style="396" customWidth="1"/>
    <col min="1026" max="1039" width="5.26953125" style="396" customWidth="1"/>
    <col min="1040" max="1040" width="4.453125" style="396" customWidth="1"/>
    <col min="1041" max="1057" width="5.26953125" style="396" customWidth="1"/>
    <col min="1058" max="1059" width="7.81640625" style="396" customWidth="1"/>
    <col min="1060" max="1060" width="5.26953125" style="396" customWidth="1"/>
    <col min="1061" max="1061" width="7" style="396" customWidth="1"/>
    <col min="1062" max="1062" width="8.7265625" style="396"/>
    <col min="1063" max="1066" width="6.1796875" style="396" customWidth="1"/>
    <col min="1067" max="1071" width="7.26953125" style="396" customWidth="1"/>
    <col min="1072" max="1074" width="10.7265625" style="396" customWidth="1"/>
    <col min="1075" max="1280" width="8.7265625" style="396"/>
    <col min="1281" max="1281" width="55.81640625" style="396" customWidth="1"/>
    <col min="1282" max="1295" width="5.26953125" style="396" customWidth="1"/>
    <col min="1296" max="1296" width="4.453125" style="396" customWidth="1"/>
    <col min="1297" max="1313" width="5.26953125" style="396" customWidth="1"/>
    <col min="1314" max="1315" width="7.81640625" style="396" customWidth="1"/>
    <col min="1316" max="1316" width="5.26953125" style="396" customWidth="1"/>
    <col min="1317" max="1317" width="7" style="396" customWidth="1"/>
    <col min="1318" max="1318" width="8.7265625" style="396"/>
    <col min="1319" max="1322" width="6.1796875" style="396" customWidth="1"/>
    <col min="1323" max="1327" width="7.26953125" style="396" customWidth="1"/>
    <col min="1328" max="1330" width="10.7265625" style="396" customWidth="1"/>
    <col min="1331" max="1536" width="8.7265625" style="396"/>
    <col min="1537" max="1537" width="55.81640625" style="396" customWidth="1"/>
    <col min="1538" max="1551" width="5.26953125" style="396" customWidth="1"/>
    <col min="1552" max="1552" width="4.453125" style="396" customWidth="1"/>
    <col min="1553" max="1569" width="5.26953125" style="396" customWidth="1"/>
    <col min="1570" max="1571" width="7.81640625" style="396" customWidth="1"/>
    <col min="1572" max="1572" width="5.26953125" style="396" customWidth="1"/>
    <col min="1573" max="1573" width="7" style="396" customWidth="1"/>
    <col min="1574" max="1574" width="8.7265625" style="396"/>
    <col min="1575" max="1578" width="6.1796875" style="396" customWidth="1"/>
    <col min="1579" max="1583" width="7.26953125" style="396" customWidth="1"/>
    <col min="1584" max="1586" width="10.7265625" style="396" customWidth="1"/>
    <col min="1587" max="1792" width="8.7265625" style="396"/>
    <col min="1793" max="1793" width="55.81640625" style="396" customWidth="1"/>
    <col min="1794" max="1807" width="5.26953125" style="396" customWidth="1"/>
    <col min="1808" max="1808" width="4.453125" style="396" customWidth="1"/>
    <col min="1809" max="1825" width="5.26953125" style="396" customWidth="1"/>
    <col min="1826" max="1827" width="7.81640625" style="396" customWidth="1"/>
    <col min="1828" max="1828" width="5.26953125" style="396" customWidth="1"/>
    <col min="1829" max="1829" width="7" style="396" customWidth="1"/>
    <col min="1830" max="1830" width="8.7265625" style="396"/>
    <col min="1831" max="1834" width="6.1796875" style="396" customWidth="1"/>
    <col min="1835" max="1839" width="7.26953125" style="396" customWidth="1"/>
    <col min="1840" max="1842" width="10.7265625" style="396" customWidth="1"/>
    <col min="1843" max="2048" width="8.7265625" style="396"/>
    <col min="2049" max="2049" width="55.81640625" style="396" customWidth="1"/>
    <col min="2050" max="2063" width="5.26953125" style="396" customWidth="1"/>
    <col min="2064" max="2064" width="4.453125" style="396" customWidth="1"/>
    <col min="2065" max="2081" width="5.26953125" style="396" customWidth="1"/>
    <col min="2082" max="2083" width="7.81640625" style="396" customWidth="1"/>
    <col min="2084" max="2084" width="5.26953125" style="396" customWidth="1"/>
    <col min="2085" max="2085" width="7" style="396" customWidth="1"/>
    <col min="2086" max="2086" width="8.7265625" style="396"/>
    <col min="2087" max="2090" width="6.1796875" style="396" customWidth="1"/>
    <col min="2091" max="2095" width="7.26953125" style="396" customWidth="1"/>
    <col min="2096" max="2098" width="10.7265625" style="396" customWidth="1"/>
    <col min="2099" max="2304" width="8.7265625" style="396"/>
    <col min="2305" max="2305" width="55.81640625" style="396" customWidth="1"/>
    <col min="2306" max="2319" width="5.26953125" style="396" customWidth="1"/>
    <col min="2320" max="2320" width="4.453125" style="396" customWidth="1"/>
    <col min="2321" max="2337" width="5.26953125" style="396" customWidth="1"/>
    <col min="2338" max="2339" width="7.81640625" style="396" customWidth="1"/>
    <col min="2340" max="2340" width="5.26953125" style="396" customWidth="1"/>
    <col min="2341" max="2341" width="7" style="396" customWidth="1"/>
    <col min="2342" max="2342" width="8.7265625" style="396"/>
    <col min="2343" max="2346" width="6.1796875" style="396" customWidth="1"/>
    <col min="2347" max="2351" width="7.26953125" style="396" customWidth="1"/>
    <col min="2352" max="2354" width="10.7265625" style="396" customWidth="1"/>
    <col min="2355" max="2560" width="8.7265625" style="396"/>
    <col min="2561" max="2561" width="55.81640625" style="396" customWidth="1"/>
    <col min="2562" max="2575" width="5.26953125" style="396" customWidth="1"/>
    <col min="2576" max="2576" width="4.453125" style="396" customWidth="1"/>
    <col min="2577" max="2593" width="5.26953125" style="396" customWidth="1"/>
    <col min="2594" max="2595" width="7.81640625" style="396" customWidth="1"/>
    <col min="2596" max="2596" width="5.26953125" style="396" customWidth="1"/>
    <col min="2597" max="2597" width="7" style="396" customWidth="1"/>
    <col min="2598" max="2598" width="8.7265625" style="396"/>
    <col min="2599" max="2602" width="6.1796875" style="396" customWidth="1"/>
    <col min="2603" max="2607" width="7.26953125" style="396" customWidth="1"/>
    <col min="2608" max="2610" width="10.7265625" style="396" customWidth="1"/>
    <col min="2611" max="2816" width="8.7265625" style="396"/>
    <col min="2817" max="2817" width="55.81640625" style="396" customWidth="1"/>
    <col min="2818" max="2831" width="5.26953125" style="396" customWidth="1"/>
    <col min="2832" max="2832" width="4.453125" style="396" customWidth="1"/>
    <col min="2833" max="2849" width="5.26953125" style="396" customWidth="1"/>
    <col min="2850" max="2851" width="7.81640625" style="396" customWidth="1"/>
    <col min="2852" max="2852" width="5.26953125" style="396" customWidth="1"/>
    <col min="2853" max="2853" width="7" style="396" customWidth="1"/>
    <col min="2854" max="2854" width="8.7265625" style="396"/>
    <col min="2855" max="2858" width="6.1796875" style="396" customWidth="1"/>
    <col min="2859" max="2863" width="7.26953125" style="396" customWidth="1"/>
    <col min="2864" max="2866" width="10.7265625" style="396" customWidth="1"/>
    <col min="2867" max="3072" width="8.7265625" style="396"/>
    <col min="3073" max="3073" width="55.81640625" style="396" customWidth="1"/>
    <col min="3074" max="3087" width="5.26953125" style="396" customWidth="1"/>
    <col min="3088" max="3088" width="4.453125" style="396" customWidth="1"/>
    <col min="3089" max="3105" width="5.26953125" style="396" customWidth="1"/>
    <col min="3106" max="3107" width="7.81640625" style="396" customWidth="1"/>
    <col min="3108" max="3108" width="5.26953125" style="396" customWidth="1"/>
    <col min="3109" max="3109" width="7" style="396" customWidth="1"/>
    <col min="3110" max="3110" width="8.7265625" style="396"/>
    <col min="3111" max="3114" width="6.1796875" style="396" customWidth="1"/>
    <col min="3115" max="3119" width="7.26953125" style="396" customWidth="1"/>
    <col min="3120" max="3122" width="10.7265625" style="396" customWidth="1"/>
    <col min="3123" max="3328" width="8.7265625" style="396"/>
    <col min="3329" max="3329" width="55.81640625" style="396" customWidth="1"/>
    <col min="3330" max="3343" width="5.26953125" style="396" customWidth="1"/>
    <col min="3344" max="3344" width="4.453125" style="396" customWidth="1"/>
    <col min="3345" max="3361" width="5.26953125" style="396" customWidth="1"/>
    <col min="3362" max="3363" width="7.81640625" style="396" customWidth="1"/>
    <col min="3364" max="3364" width="5.26953125" style="396" customWidth="1"/>
    <col min="3365" max="3365" width="7" style="396" customWidth="1"/>
    <col min="3366" max="3366" width="8.7265625" style="396"/>
    <col min="3367" max="3370" width="6.1796875" style="396" customWidth="1"/>
    <col min="3371" max="3375" width="7.26953125" style="396" customWidth="1"/>
    <col min="3376" max="3378" width="10.7265625" style="396" customWidth="1"/>
    <col min="3379" max="3584" width="8.7265625" style="396"/>
    <col min="3585" max="3585" width="55.81640625" style="396" customWidth="1"/>
    <col min="3586" max="3599" width="5.26953125" style="396" customWidth="1"/>
    <col min="3600" max="3600" width="4.453125" style="396" customWidth="1"/>
    <col min="3601" max="3617" width="5.26953125" style="396" customWidth="1"/>
    <col min="3618" max="3619" width="7.81640625" style="396" customWidth="1"/>
    <col min="3620" max="3620" width="5.26953125" style="396" customWidth="1"/>
    <col min="3621" max="3621" width="7" style="396" customWidth="1"/>
    <col min="3622" max="3622" width="8.7265625" style="396"/>
    <col min="3623" max="3626" width="6.1796875" style="396" customWidth="1"/>
    <col min="3627" max="3631" width="7.26953125" style="396" customWidth="1"/>
    <col min="3632" max="3634" width="10.7265625" style="396" customWidth="1"/>
    <col min="3635" max="3840" width="8.7265625" style="396"/>
    <col min="3841" max="3841" width="55.81640625" style="396" customWidth="1"/>
    <col min="3842" max="3855" width="5.26953125" style="396" customWidth="1"/>
    <col min="3856" max="3856" width="4.453125" style="396" customWidth="1"/>
    <col min="3857" max="3873" width="5.26953125" style="396" customWidth="1"/>
    <col min="3874" max="3875" width="7.81640625" style="396" customWidth="1"/>
    <col min="3876" max="3876" width="5.26953125" style="396" customWidth="1"/>
    <col min="3877" max="3877" width="7" style="396" customWidth="1"/>
    <col min="3878" max="3878" width="8.7265625" style="396"/>
    <col min="3879" max="3882" width="6.1796875" style="396" customWidth="1"/>
    <col min="3883" max="3887" width="7.26953125" style="396" customWidth="1"/>
    <col min="3888" max="3890" width="10.7265625" style="396" customWidth="1"/>
    <col min="3891" max="4096" width="8.7265625" style="396"/>
    <col min="4097" max="4097" width="55.81640625" style="396" customWidth="1"/>
    <col min="4098" max="4111" width="5.26953125" style="396" customWidth="1"/>
    <col min="4112" max="4112" width="4.453125" style="396" customWidth="1"/>
    <col min="4113" max="4129" width="5.26953125" style="396" customWidth="1"/>
    <col min="4130" max="4131" width="7.81640625" style="396" customWidth="1"/>
    <col min="4132" max="4132" width="5.26953125" style="396" customWidth="1"/>
    <col min="4133" max="4133" width="7" style="396" customWidth="1"/>
    <col min="4134" max="4134" width="8.7265625" style="396"/>
    <col min="4135" max="4138" width="6.1796875" style="396" customWidth="1"/>
    <col min="4139" max="4143" width="7.26953125" style="396" customWidth="1"/>
    <col min="4144" max="4146" width="10.7265625" style="396" customWidth="1"/>
    <col min="4147" max="4352" width="8.7265625" style="396"/>
    <col min="4353" max="4353" width="55.81640625" style="396" customWidth="1"/>
    <col min="4354" max="4367" width="5.26953125" style="396" customWidth="1"/>
    <col min="4368" max="4368" width="4.453125" style="396" customWidth="1"/>
    <col min="4369" max="4385" width="5.26953125" style="396" customWidth="1"/>
    <col min="4386" max="4387" width="7.81640625" style="396" customWidth="1"/>
    <col min="4388" max="4388" width="5.26953125" style="396" customWidth="1"/>
    <col min="4389" max="4389" width="7" style="396" customWidth="1"/>
    <col min="4390" max="4390" width="8.7265625" style="396"/>
    <col min="4391" max="4394" width="6.1796875" style="396" customWidth="1"/>
    <col min="4395" max="4399" width="7.26953125" style="396" customWidth="1"/>
    <col min="4400" max="4402" width="10.7265625" style="396" customWidth="1"/>
    <col min="4403" max="4608" width="8.7265625" style="396"/>
    <col min="4609" max="4609" width="55.81640625" style="396" customWidth="1"/>
    <col min="4610" max="4623" width="5.26953125" style="396" customWidth="1"/>
    <col min="4624" max="4624" width="4.453125" style="396" customWidth="1"/>
    <col min="4625" max="4641" width="5.26953125" style="396" customWidth="1"/>
    <col min="4642" max="4643" width="7.81640625" style="396" customWidth="1"/>
    <col min="4644" max="4644" width="5.26953125" style="396" customWidth="1"/>
    <col min="4645" max="4645" width="7" style="396" customWidth="1"/>
    <col min="4646" max="4646" width="8.7265625" style="396"/>
    <col min="4647" max="4650" width="6.1796875" style="396" customWidth="1"/>
    <col min="4651" max="4655" width="7.26953125" style="396" customWidth="1"/>
    <col min="4656" max="4658" width="10.7265625" style="396" customWidth="1"/>
    <col min="4659" max="4864" width="8.7265625" style="396"/>
    <col min="4865" max="4865" width="55.81640625" style="396" customWidth="1"/>
    <col min="4866" max="4879" width="5.26953125" style="396" customWidth="1"/>
    <col min="4880" max="4880" width="4.453125" style="396" customWidth="1"/>
    <col min="4881" max="4897" width="5.26953125" style="396" customWidth="1"/>
    <col min="4898" max="4899" width="7.81640625" style="396" customWidth="1"/>
    <col min="4900" max="4900" width="5.26953125" style="396" customWidth="1"/>
    <col min="4901" max="4901" width="7" style="396" customWidth="1"/>
    <col min="4902" max="4902" width="8.7265625" style="396"/>
    <col min="4903" max="4906" width="6.1796875" style="396" customWidth="1"/>
    <col min="4907" max="4911" width="7.26953125" style="396" customWidth="1"/>
    <col min="4912" max="4914" width="10.7265625" style="396" customWidth="1"/>
    <col min="4915" max="5120" width="8.7265625" style="396"/>
    <col min="5121" max="5121" width="55.81640625" style="396" customWidth="1"/>
    <col min="5122" max="5135" width="5.26953125" style="396" customWidth="1"/>
    <col min="5136" max="5136" width="4.453125" style="396" customWidth="1"/>
    <col min="5137" max="5153" width="5.26953125" style="396" customWidth="1"/>
    <col min="5154" max="5155" width="7.81640625" style="396" customWidth="1"/>
    <col min="5156" max="5156" width="5.26953125" style="396" customWidth="1"/>
    <col min="5157" max="5157" width="7" style="396" customWidth="1"/>
    <col min="5158" max="5158" width="8.7265625" style="396"/>
    <col min="5159" max="5162" width="6.1796875" style="396" customWidth="1"/>
    <col min="5163" max="5167" width="7.26953125" style="396" customWidth="1"/>
    <col min="5168" max="5170" width="10.7265625" style="396" customWidth="1"/>
    <col min="5171" max="5376" width="8.7265625" style="396"/>
    <col min="5377" max="5377" width="55.81640625" style="396" customWidth="1"/>
    <col min="5378" max="5391" width="5.26953125" style="396" customWidth="1"/>
    <col min="5392" max="5392" width="4.453125" style="396" customWidth="1"/>
    <col min="5393" max="5409" width="5.26953125" style="396" customWidth="1"/>
    <col min="5410" max="5411" width="7.81640625" style="396" customWidth="1"/>
    <col min="5412" max="5412" width="5.26953125" style="396" customWidth="1"/>
    <col min="5413" max="5413" width="7" style="396" customWidth="1"/>
    <col min="5414" max="5414" width="8.7265625" style="396"/>
    <col min="5415" max="5418" width="6.1796875" style="396" customWidth="1"/>
    <col min="5419" max="5423" width="7.26953125" style="396" customWidth="1"/>
    <col min="5424" max="5426" width="10.7265625" style="396" customWidth="1"/>
    <col min="5427" max="5632" width="8.7265625" style="396"/>
    <col min="5633" max="5633" width="55.81640625" style="396" customWidth="1"/>
    <col min="5634" max="5647" width="5.26953125" style="396" customWidth="1"/>
    <col min="5648" max="5648" width="4.453125" style="396" customWidth="1"/>
    <col min="5649" max="5665" width="5.26953125" style="396" customWidth="1"/>
    <col min="5666" max="5667" width="7.81640625" style="396" customWidth="1"/>
    <col min="5668" max="5668" width="5.26953125" style="396" customWidth="1"/>
    <col min="5669" max="5669" width="7" style="396" customWidth="1"/>
    <col min="5670" max="5670" width="8.7265625" style="396"/>
    <col min="5671" max="5674" width="6.1796875" style="396" customWidth="1"/>
    <col min="5675" max="5679" width="7.26953125" style="396" customWidth="1"/>
    <col min="5680" max="5682" width="10.7265625" style="396" customWidth="1"/>
    <col min="5683" max="5888" width="8.7265625" style="396"/>
    <col min="5889" max="5889" width="55.81640625" style="396" customWidth="1"/>
    <col min="5890" max="5903" width="5.26953125" style="396" customWidth="1"/>
    <col min="5904" max="5904" width="4.453125" style="396" customWidth="1"/>
    <col min="5905" max="5921" width="5.26953125" style="396" customWidth="1"/>
    <col min="5922" max="5923" width="7.81640625" style="396" customWidth="1"/>
    <col min="5924" max="5924" width="5.26953125" style="396" customWidth="1"/>
    <col min="5925" max="5925" width="7" style="396" customWidth="1"/>
    <col min="5926" max="5926" width="8.7265625" style="396"/>
    <col min="5927" max="5930" width="6.1796875" style="396" customWidth="1"/>
    <col min="5931" max="5935" width="7.26953125" style="396" customWidth="1"/>
    <col min="5936" max="5938" width="10.7265625" style="396" customWidth="1"/>
    <col min="5939" max="6144" width="8.7265625" style="396"/>
    <col min="6145" max="6145" width="55.81640625" style="396" customWidth="1"/>
    <col min="6146" max="6159" width="5.26953125" style="396" customWidth="1"/>
    <col min="6160" max="6160" width="4.453125" style="396" customWidth="1"/>
    <col min="6161" max="6177" width="5.26953125" style="396" customWidth="1"/>
    <col min="6178" max="6179" width="7.81640625" style="396" customWidth="1"/>
    <col min="6180" max="6180" width="5.26953125" style="396" customWidth="1"/>
    <col min="6181" max="6181" width="7" style="396" customWidth="1"/>
    <col min="6182" max="6182" width="8.7265625" style="396"/>
    <col min="6183" max="6186" width="6.1796875" style="396" customWidth="1"/>
    <col min="6187" max="6191" width="7.26953125" style="396" customWidth="1"/>
    <col min="6192" max="6194" width="10.7265625" style="396" customWidth="1"/>
    <col min="6195" max="6400" width="8.7265625" style="396"/>
    <col min="6401" max="6401" width="55.81640625" style="396" customWidth="1"/>
    <col min="6402" max="6415" width="5.26953125" style="396" customWidth="1"/>
    <col min="6416" max="6416" width="4.453125" style="396" customWidth="1"/>
    <col min="6417" max="6433" width="5.26953125" style="396" customWidth="1"/>
    <col min="6434" max="6435" width="7.81640625" style="396" customWidth="1"/>
    <col min="6436" max="6436" width="5.26953125" style="396" customWidth="1"/>
    <col min="6437" max="6437" width="7" style="396" customWidth="1"/>
    <col min="6438" max="6438" width="8.7265625" style="396"/>
    <col min="6439" max="6442" width="6.1796875" style="396" customWidth="1"/>
    <col min="6443" max="6447" width="7.26953125" style="396" customWidth="1"/>
    <col min="6448" max="6450" width="10.7265625" style="396" customWidth="1"/>
    <col min="6451" max="6656" width="8.7265625" style="396"/>
    <col min="6657" max="6657" width="55.81640625" style="396" customWidth="1"/>
    <col min="6658" max="6671" width="5.26953125" style="396" customWidth="1"/>
    <col min="6672" max="6672" width="4.453125" style="396" customWidth="1"/>
    <col min="6673" max="6689" width="5.26953125" style="396" customWidth="1"/>
    <col min="6690" max="6691" width="7.81640625" style="396" customWidth="1"/>
    <col min="6692" max="6692" width="5.26953125" style="396" customWidth="1"/>
    <col min="6693" max="6693" width="7" style="396" customWidth="1"/>
    <col min="6694" max="6694" width="8.7265625" style="396"/>
    <col min="6695" max="6698" width="6.1796875" style="396" customWidth="1"/>
    <col min="6699" max="6703" width="7.26953125" style="396" customWidth="1"/>
    <col min="6704" max="6706" width="10.7265625" style="396" customWidth="1"/>
    <col min="6707" max="6912" width="8.7265625" style="396"/>
    <col min="6913" max="6913" width="55.81640625" style="396" customWidth="1"/>
    <col min="6914" max="6927" width="5.26953125" style="396" customWidth="1"/>
    <col min="6928" max="6928" width="4.453125" style="396" customWidth="1"/>
    <col min="6929" max="6945" width="5.26953125" style="396" customWidth="1"/>
    <col min="6946" max="6947" width="7.81640625" style="396" customWidth="1"/>
    <col min="6948" max="6948" width="5.26953125" style="396" customWidth="1"/>
    <col min="6949" max="6949" width="7" style="396" customWidth="1"/>
    <col min="6950" max="6950" width="8.7265625" style="396"/>
    <col min="6951" max="6954" width="6.1796875" style="396" customWidth="1"/>
    <col min="6955" max="6959" width="7.26953125" style="396" customWidth="1"/>
    <col min="6960" max="6962" width="10.7265625" style="396" customWidth="1"/>
    <col min="6963" max="7168" width="8.7265625" style="396"/>
    <col min="7169" max="7169" width="55.81640625" style="396" customWidth="1"/>
    <col min="7170" max="7183" width="5.26953125" style="396" customWidth="1"/>
    <col min="7184" max="7184" width="4.453125" style="396" customWidth="1"/>
    <col min="7185" max="7201" width="5.26953125" style="396" customWidth="1"/>
    <col min="7202" max="7203" width="7.81640625" style="396" customWidth="1"/>
    <col min="7204" max="7204" width="5.26953125" style="396" customWidth="1"/>
    <col min="7205" max="7205" width="7" style="396" customWidth="1"/>
    <col min="7206" max="7206" width="8.7265625" style="396"/>
    <col min="7207" max="7210" width="6.1796875" style="396" customWidth="1"/>
    <col min="7211" max="7215" width="7.26953125" style="396" customWidth="1"/>
    <col min="7216" max="7218" width="10.7265625" style="396" customWidth="1"/>
    <col min="7219" max="7424" width="8.7265625" style="396"/>
    <col min="7425" max="7425" width="55.81640625" style="396" customWidth="1"/>
    <col min="7426" max="7439" width="5.26953125" style="396" customWidth="1"/>
    <col min="7440" max="7440" width="4.453125" style="396" customWidth="1"/>
    <col min="7441" max="7457" width="5.26953125" style="396" customWidth="1"/>
    <col min="7458" max="7459" width="7.81640625" style="396" customWidth="1"/>
    <col min="7460" max="7460" width="5.26953125" style="396" customWidth="1"/>
    <col min="7461" max="7461" width="7" style="396" customWidth="1"/>
    <col min="7462" max="7462" width="8.7265625" style="396"/>
    <col min="7463" max="7466" width="6.1796875" style="396" customWidth="1"/>
    <col min="7467" max="7471" width="7.26953125" style="396" customWidth="1"/>
    <col min="7472" max="7474" width="10.7265625" style="396" customWidth="1"/>
    <col min="7475" max="7680" width="8.7265625" style="396"/>
    <col min="7681" max="7681" width="55.81640625" style="396" customWidth="1"/>
    <col min="7682" max="7695" width="5.26953125" style="396" customWidth="1"/>
    <col min="7696" max="7696" width="4.453125" style="396" customWidth="1"/>
    <col min="7697" max="7713" width="5.26953125" style="396" customWidth="1"/>
    <col min="7714" max="7715" width="7.81640625" style="396" customWidth="1"/>
    <col min="7716" max="7716" width="5.26953125" style="396" customWidth="1"/>
    <col min="7717" max="7717" width="7" style="396" customWidth="1"/>
    <col min="7718" max="7718" width="8.7265625" style="396"/>
    <col min="7719" max="7722" width="6.1796875" style="396" customWidth="1"/>
    <col min="7723" max="7727" width="7.26953125" style="396" customWidth="1"/>
    <col min="7728" max="7730" width="10.7265625" style="396" customWidth="1"/>
    <col min="7731" max="7936" width="8.7265625" style="396"/>
    <col min="7937" max="7937" width="55.81640625" style="396" customWidth="1"/>
    <col min="7938" max="7951" width="5.26953125" style="396" customWidth="1"/>
    <col min="7952" max="7952" width="4.453125" style="396" customWidth="1"/>
    <col min="7953" max="7969" width="5.26953125" style="396" customWidth="1"/>
    <col min="7970" max="7971" width="7.81640625" style="396" customWidth="1"/>
    <col min="7972" max="7972" width="5.26953125" style="396" customWidth="1"/>
    <col min="7973" max="7973" width="7" style="396" customWidth="1"/>
    <col min="7974" max="7974" width="8.7265625" style="396"/>
    <col min="7975" max="7978" width="6.1796875" style="396" customWidth="1"/>
    <col min="7979" max="7983" width="7.26953125" style="396" customWidth="1"/>
    <col min="7984" max="7986" width="10.7265625" style="396" customWidth="1"/>
    <col min="7987" max="8192" width="8.7265625" style="396"/>
    <col min="8193" max="8193" width="55.81640625" style="396" customWidth="1"/>
    <col min="8194" max="8207" width="5.26953125" style="396" customWidth="1"/>
    <col min="8208" max="8208" width="4.453125" style="396" customWidth="1"/>
    <col min="8209" max="8225" width="5.26953125" style="396" customWidth="1"/>
    <col min="8226" max="8227" width="7.81640625" style="396" customWidth="1"/>
    <col min="8228" max="8228" width="5.26953125" style="396" customWidth="1"/>
    <col min="8229" max="8229" width="7" style="396" customWidth="1"/>
    <col min="8230" max="8230" width="8.7265625" style="396"/>
    <col min="8231" max="8234" width="6.1796875" style="396" customWidth="1"/>
    <col min="8235" max="8239" width="7.26953125" style="396" customWidth="1"/>
    <col min="8240" max="8242" width="10.7265625" style="396" customWidth="1"/>
    <col min="8243" max="8448" width="8.7265625" style="396"/>
    <col min="8449" max="8449" width="55.81640625" style="396" customWidth="1"/>
    <col min="8450" max="8463" width="5.26953125" style="396" customWidth="1"/>
    <col min="8464" max="8464" width="4.453125" style="396" customWidth="1"/>
    <col min="8465" max="8481" width="5.26953125" style="396" customWidth="1"/>
    <col min="8482" max="8483" width="7.81640625" style="396" customWidth="1"/>
    <col min="8484" max="8484" width="5.26953125" style="396" customWidth="1"/>
    <col min="8485" max="8485" width="7" style="396" customWidth="1"/>
    <col min="8486" max="8486" width="8.7265625" style="396"/>
    <col min="8487" max="8490" width="6.1796875" style="396" customWidth="1"/>
    <col min="8491" max="8495" width="7.26953125" style="396" customWidth="1"/>
    <col min="8496" max="8498" width="10.7265625" style="396" customWidth="1"/>
    <col min="8499" max="8704" width="8.7265625" style="396"/>
    <col min="8705" max="8705" width="55.81640625" style="396" customWidth="1"/>
    <col min="8706" max="8719" width="5.26953125" style="396" customWidth="1"/>
    <col min="8720" max="8720" width="4.453125" style="396" customWidth="1"/>
    <col min="8721" max="8737" width="5.26953125" style="396" customWidth="1"/>
    <col min="8738" max="8739" width="7.81640625" style="396" customWidth="1"/>
    <col min="8740" max="8740" width="5.26953125" style="396" customWidth="1"/>
    <col min="8741" max="8741" width="7" style="396" customWidth="1"/>
    <col min="8742" max="8742" width="8.7265625" style="396"/>
    <col min="8743" max="8746" width="6.1796875" style="396" customWidth="1"/>
    <col min="8747" max="8751" width="7.26953125" style="396" customWidth="1"/>
    <col min="8752" max="8754" width="10.7265625" style="396" customWidth="1"/>
    <col min="8755" max="8960" width="8.7265625" style="396"/>
    <col min="8961" max="8961" width="55.81640625" style="396" customWidth="1"/>
    <col min="8962" max="8975" width="5.26953125" style="396" customWidth="1"/>
    <col min="8976" max="8976" width="4.453125" style="396" customWidth="1"/>
    <col min="8977" max="8993" width="5.26953125" style="396" customWidth="1"/>
    <col min="8994" max="8995" width="7.81640625" style="396" customWidth="1"/>
    <col min="8996" max="8996" width="5.26953125" style="396" customWidth="1"/>
    <col min="8997" max="8997" width="7" style="396" customWidth="1"/>
    <col min="8998" max="8998" width="8.7265625" style="396"/>
    <col min="8999" max="9002" width="6.1796875" style="396" customWidth="1"/>
    <col min="9003" max="9007" width="7.26953125" style="396" customWidth="1"/>
    <col min="9008" max="9010" width="10.7265625" style="396" customWidth="1"/>
    <col min="9011" max="9216" width="8.7265625" style="396"/>
    <col min="9217" max="9217" width="55.81640625" style="396" customWidth="1"/>
    <col min="9218" max="9231" width="5.26953125" style="396" customWidth="1"/>
    <col min="9232" max="9232" width="4.453125" style="396" customWidth="1"/>
    <col min="9233" max="9249" width="5.26953125" style="396" customWidth="1"/>
    <col min="9250" max="9251" width="7.81640625" style="396" customWidth="1"/>
    <col min="9252" max="9252" width="5.26953125" style="396" customWidth="1"/>
    <col min="9253" max="9253" width="7" style="396" customWidth="1"/>
    <col min="9254" max="9254" width="8.7265625" style="396"/>
    <col min="9255" max="9258" width="6.1796875" style="396" customWidth="1"/>
    <col min="9259" max="9263" width="7.26953125" style="396" customWidth="1"/>
    <col min="9264" max="9266" width="10.7265625" style="396" customWidth="1"/>
    <col min="9267" max="9472" width="8.7265625" style="396"/>
    <col min="9473" max="9473" width="55.81640625" style="396" customWidth="1"/>
    <col min="9474" max="9487" width="5.26953125" style="396" customWidth="1"/>
    <col min="9488" max="9488" width="4.453125" style="396" customWidth="1"/>
    <col min="9489" max="9505" width="5.26953125" style="396" customWidth="1"/>
    <col min="9506" max="9507" width="7.81640625" style="396" customWidth="1"/>
    <col min="9508" max="9508" width="5.26953125" style="396" customWidth="1"/>
    <col min="9509" max="9509" width="7" style="396" customWidth="1"/>
    <col min="9510" max="9510" width="8.7265625" style="396"/>
    <col min="9511" max="9514" width="6.1796875" style="396" customWidth="1"/>
    <col min="9515" max="9519" width="7.26953125" style="396" customWidth="1"/>
    <col min="9520" max="9522" width="10.7265625" style="396" customWidth="1"/>
    <col min="9523" max="9728" width="8.7265625" style="396"/>
    <col min="9729" max="9729" width="55.81640625" style="396" customWidth="1"/>
    <col min="9730" max="9743" width="5.26953125" style="396" customWidth="1"/>
    <col min="9744" max="9744" width="4.453125" style="396" customWidth="1"/>
    <col min="9745" max="9761" width="5.26953125" style="396" customWidth="1"/>
    <col min="9762" max="9763" width="7.81640625" style="396" customWidth="1"/>
    <col min="9764" max="9764" width="5.26953125" style="396" customWidth="1"/>
    <col min="9765" max="9765" width="7" style="396" customWidth="1"/>
    <col min="9766" max="9766" width="8.7265625" style="396"/>
    <col min="9767" max="9770" width="6.1796875" style="396" customWidth="1"/>
    <col min="9771" max="9775" width="7.26953125" style="396" customWidth="1"/>
    <col min="9776" max="9778" width="10.7265625" style="396" customWidth="1"/>
    <col min="9779" max="9984" width="8.7265625" style="396"/>
    <col min="9985" max="9985" width="55.81640625" style="396" customWidth="1"/>
    <col min="9986" max="9999" width="5.26953125" style="396" customWidth="1"/>
    <col min="10000" max="10000" width="4.453125" style="396" customWidth="1"/>
    <col min="10001" max="10017" width="5.26953125" style="396" customWidth="1"/>
    <col min="10018" max="10019" width="7.81640625" style="396" customWidth="1"/>
    <col min="10020" max="10020" width="5.26953125" style="396" customWidth="1"/>
    <col min="10021" max="10021" width="7" style="396" customWidth="1"/>
    <col min="10022" max="10022" width="8.7265625" style="396"/>
    <col min="10023" max="10026" width="6.1796875" style="396" customWidth="1"/>
    <col min="10027" max="10031" width="7.26953125" style="396" customWidth="1"/>
    <col min="10032" max="10034" width="10.7265625" style="396" customWidth="1"/>
    <col min="10035" max="10240" width="8.7265625" style="396"/>
    <col min="10241" max="10241" width="55.81640625" style="396" customWidth="1"/>
    <col min="10242" max="10255" width="5.26953125" style="396" customWidth="1"/>
    <col min="10256" max="10256" width="4.453125" style="396" customWidth="1"/>
    <col min="10257" max="10273" width="5.26953125" style="396" customWidth="1"/>
    <col min="10274" max="10275" width="7.81640625" style="396" customWidth="1"/>
    <col min="10276" max="10276" width="5.26953125" style="396" customWidth="1"/>
    <col min="10277" max="10277" width="7" style="396" customWidth="1"/>
    <col min="10278" max="10278" width="8.7265625" style="396"/>
    <col min="10279" max="10282" width="6.1796875" style="396" customWidth="1"/>
    <col min="10283" max="10287" width="7.26953125" style="396" customWidth="1"/>
    <col min="10288" max="10290" width="10.7265625" style="396" customWidth="1"/>
    <col min="10291" max="10496" width="8.7265625" style="396"/>
    <col min="10497" max="10497" width="55.81640625" style="396" customWidth="1"/>
    <col min="10498" max="10511" width="5.26953125" style="396" customWidth="1"/>
    <col min="10512" max="10512" width="4.453125" style="396" customWidth="1"/>
    <col min="10513" max="10529" width="5.26953125" style="396" customWidth="1"/>
    <col min="10530" max="10531" width="7.81640625" style="396" customWidth="1"/>
    <col min="10532" max="10532" width="5.26953125" style="396" customWidth="1"/>
    <col min="10533" max="10533" width="7" style="396" customWidth="1"/>
    <col min="10534" max="10534" width="8.7265625" style="396"/>
    <col min="10535" max="10538" width="6.1796875" style="396" customWidth="1"/>
    <col min="10539" max="10543" width="7.26953125" style="396" customWidth="1"/>
    <col min="10544" max="10546" width="10.7265625" style="396" customWidth="1"/>
    <col min="10547" max="10752" width="8.7265625" style="396"/>
    <col min="10753" max="10753" width="55.81640625" style="396" customWidth="1"/>
    <col min="10754" max="10767" width="5.26953125" style="396" customWidth="1"/>
    <col min="10768" max="10768" width="4.453125" style="396" customWidth="1"/>
    <col min="10769" max="10785" width="5.26953125" style="396" customWidth="1"/>
    <col min="10786" max="10787" width="7.81640625" style="396" customWidth="1"/>
    <col min="10788" max="10788" width="5.26953125" style="396" customWidth="1"/>
    <col min="10789" max="10789" width="7" style="396" customWidth="1"/>
    <col min="10790" max="10790" width="8.7265625" style="396"/>
    <col min="10791" max="10794" width="6.1796875" style="396" customWidth="1"/>
    <col min="10795" max="10799" width="7.26953125" style="396" customWidth="1"/>
    <col min="10800" max="10802" width="10.7265625" style="396" customWidth="1"/>
    <col min="10803" max="11008" width="8.7265625" style="396"/>
    <col min="11009" max="11009" width="55.81640625" style="396" customWidth="1"/>
    <col min="11010" max="11023" width="5.26953125" style="396" customWidth="1"/>
    <col min="11024" max="11024" width="4.453125" style="396" customWidth="1"/>
    <col min="11025" max="11041" width="5.26953125" style="396" customWidth="1"/>
    <col min="11042" max="11043" width="7.81640625" style="396" customWidth="1"/>
    <col min="11044" max="11044" width="5.26953125" style="396" customWidth="1"/>
    <col min="11045" max="11045" width="7" style="396" customWidth="1"/>
    <col min="11046" max="11046" width="8.7265625" style="396"/>
    <col min="11047" max="11050" width="6.1796875" style="396" customWidth="1"/>
    <col min="11051" max="11055" width="7.26953125" style="396" customWidth="1"/>
    <col min="11056" max="11058" width="10.7265625" style="396" customWidth="1"/>
    <col min="11059" max="11264" width="8.7265625" style="396"/>
    <col min="11265" max="11265" width="55.81640625" style="396" customWidth="1"/>
    <col min="11266" max="11279" width="5.26953125" style="396" customWidth="1"/>
    <col min="11280" max="11280" width="4.453125" style="396" customWidth="1"/>
    <col min="11281" max="11297" width="5.26953125" style="396" customWidth="1"/>
    <col min="11298" max="11299" width="7.81640625" style="396" customWidth="1"/>
    <col min="11300" max="11300" width="5.26953125" style="396" customWidth="1"/>
    <col min="11301" max="11301" width="7" style="396" customWidth="1"/>
    <col min="11302" max="11302" width="8.7265625" style="396"/>
    <col min="11303" max="11306" width="6.1796875" style="396" customWidth="1"/>
    <col min="11307" max="11311" width="7.26953125" style="396" customWidth="1"/>
    <col min="11312" max="11314" width="10.7265625" style="396" customWidth="1"/>
    <col min="11315" max="11520" width="8.7265625" style="396"/>
    <col min="11521" max="11521" width="55.81640625" style="396" customWidth="1"/>
    <col min="11522" max="11535" width="5.26953125" style="396" customWidth="1"/>
    <col min="11536" max="11536" width="4.453125" style="396" customWidth="1"/>
    <col min="11537" max="11553" width="5.26953125" style="396" customWidth="1"/>
    <col min="11554" max="11555" width="7.81640625" style="396" customWidth="1"/>
    <col min="11556" max="11556" width="5.26953125" style="396" customWidth="1"/>
    <col min="11557" max="11557" width="7" style="396" customWidth="1"/>
    <col min="11558" max="11558" width="8.7265625" style="396"/>
    <col min="11559" max="11562" width="6.1796875" style="396" customWidth="1"/>
    <col min="11563" max="11567" width="7.26953125" style="396" customWidth="1"/>
    <col min="11568" max="11570" width="10.7265625" style="396" customWidth="1"/>
    <col min="11571" max="11776" width="8.7265625" style="396"/>
    <col min="11777" max="11777" width="55.81640625" style="396" customWidth="1"/>
    <col min="11778" max="11791" width="5.26953125" style="396" customWidth="1"/>
    <col min="11792" max="11792" width="4.453125" style="396" customWidth="1"/>
    <col min="11793" max="11809" width="5.26953125" style="396" customWidth="1"/>
    <col min="11810" max="11811" width="7.81640625" style="396" customWidth="1"/>
    <col min="11812" max="11812" width="5.26953125" style="396" customWidth="1"/>
    <col min="11813" max="11813" width="7" style="396" customWidth="1"/>
    <col min="11814" max="11814" width="8.7265625" style="396"/>
    <col min="11815" max="11818" width="6.1796875" style="396" customWidth="1"/>
    <col min="11819" max="11823" width="7.26953125" style="396" customWidth="1"/>
    <col min="11824" max="11826" width="10.7265625" style="396" customWidth="1"/>
    <col min="11827" max="12032" width="8.7265625" style="396"/>
    <col min="12033" max="12033" width="55.81640625" style="396" customWidth="1"/>
    <col min="12034" max="12047" width="5.26953125" style="396" customWidth="1"/>
    <col min="12048" max="12048" width="4.453125" style="396" customWidth="1"/>
    <col min="12049" max="12065" width="5.26953125" style="396" customWidth="1"/>
    <col min="12066" max="12067" width="7.81640625" style="396" customWidth="1"/>
    <col min="12068" max="12068" width="5.26953125" style="396" customWidth="1"/>
    <col min="12069" max="12069" width="7" style="396" customWidth="1"/>
    <col min="12070" max="12070" width="8.7265625" style="396"/>
    <col min="12071" max="12074" width="6.1796875" style="396" customWidth="1"/>
    <col min="12075" max="12079" width="7.26953125" style="396" customWidth="1"/>
    <col min="12080" max="12082" width="10.7265625" style="396" customWidth="1"/>
    <col min="12083" max="12288" width="8.7265625" style="396"/>
    <col min="12289" max="12289" width="55.81640625" style="396" customWidth="1"/>
    <col min="12290" max="12303" width="5.26953125" style="396" customWidth="1"/>
    <col min="12304" max="12304" width="4.453125" style="396" customWidth="1"/>
    <col min="12305" max="12321" width="5.26953125" style="396" customWidth="1"/>
    <col min="12322" max="12323" width="7.81640625" style="396" customWidth="1"/>
    <col min="12324" max="12324" width="5.26953125" style="396" customWidth="1"/>
    <col min="12325" max="12325" width="7" style="396" customWidth="1"/>
    <col min="12326" max="12326" width="8.7265625" style="396"/>
    <col min="12327" max="12330" width="6.1796875" style="396" customWidth="1"/>
    <col min="12331" max="12335" width="7.26953125" style="396" customWidth="1"/>
    <col min="12336" max="12338" width="10.7265625" style="396" customWidth="1"/>
    <col min="12339" max="12544" width="8.7265625" style="396"/>
    <col min="12545" max="12545" width="55.81640625" style="396" customWidth="1"/>
    <col min="12546" max="12559" width="5.26953125" style="396" customWidth="1"/>
    <col min="12560" max="12560" width="4.453125" style="396" customWidth="1"/>
    <col min="12561" max="12577" width="5.26953125" style="396" customWidth="1"/>
    <col min="12578" max="12579" width="7.81640625" style="396" customWidth="1"/>
    <col min="12580" max="12580" width="5.26953125" style="396" customWidth="1"/>
    <col min="12581" max="12581" width="7" style="396" customWidth="1"/>
    <col min="12582" max="12582" width="8.7265625" style="396"/>
    <col min="12583" max="12586" width="6.1796875" style="396" customWidth="1"/>
    <col min="12587" max="12591" width="7.26953125" style="396" customWidth="1"/>
    <col min="12592" max="12594" width="10.7265625" style="396" customWidth="1"/>
    <col min="12595" max="12800" width="8.7265625" style="396"/>
    <col min="12801" max="12801" width="55.81640625" style="396" customWidth="1"/>
    <col min="12802" max="12815" width="5.26953125" style="396" customWidth="1"/>
    <col min="12816" max="12816" width="4.453125" style="396" customWidth="1"/>
    <col min="12817" max="12833" width="5.26953125" style="396" customWidth="1"/>
    <col min="12834" max="12835" width="7.81640625" style="396" customWidth="1"/>
    <col min="12836" max="12836" width="5.26953125" style="396" customWidth="1"/>
    <col min="12837" max="12837" width="7" style="396" customWidth="1"/>
    <col min="12838" max="12838" width="8.7265625" style="396"/>
    <col min="12839" max="12842" width="6.1796875" style="396" customWidth="1"/>
    <col min="12843" max="12847" width="7.26953125" style="396" customWidth="1"/>
    <col min="12848" max="12850" width="10.7265625" style="396" customWidth="1"/>
    <col min="12851" max="13056" width="8.7265625" style="396"/>
    <col min="13057" max="13057" width="55.81640625" style="396" customWidth="1"/>
    <col min="13058" max="13071" width="5.26953125" style="396" customWidth="1"/>
    <col min="13072" max="13072" width="4.453125" style="396" customWidth="1"/>
    <col min="13073" max="13089" width="5.26953125" style="396" customWidth="1"/>
    <col min="13090" max="13091" width="7.81640625" style="396" customWidth="1"/>
    <col min="13092" max="13092" width="5.26953125" style="396" customWidth="1"/>
    <col min="13093" max="13093" width="7" style="396" customWidth="1"/>
    <col min="13094" max="13094" width="8.7265625" style="396"/>
    <col min="13095" max="13098" width="6.1796875" style="396" customWidth="1"/>
    <col min="13099" max="13103" width="7.26953125" style="396" customWidth="1"/>
    <col min="13104" max="13106" width="10.7265625" style="396" customWidth="1"/>
    <col min="13107" max="13312" width="8.7265625" style="396"/>
    <col min="13313" max="13313" width="55.81640625" style="396" customWidth="1"/>
    <col min="13314" max="13327" width="5.26953125" style="396" customWidth="1"/>
    <col min="13328" max="13328" width="4.453125" style="396" customWidth="1"/>
    <col min="13329" max="13345" width="5.26953125" style="396" customWidth="1"/>
    <col min="13346" max="13347" width="7.81640625" style="396" customWidth="1"/>
    <col min="13348" max="13348" width="5.26953125" style="396" customWidth="1"/>
    <col min="13349" max="13349" width="7" style="396" customWidth="1"/>
    <col min="13350" max="13350" width="8.7265625" style="396"/>
    <col min="13351" max="13354" width="6.1796875" style="396" customWidth="1"/>
    <col min="13355" max="13359" width="7.26953125" style="396" customWidth="1"/>
    <col min="13360" max="13362" width="10.7265625" style="396" customWidth="1"/>
    <col min="13363" max="13568" width="8.7265625" style="396"/>
    <col min="13569" max="13569" width="55.81640625" style="396" customWidth="1"/>
    <col min="13570" max="13583" width="5.26953125" style="396" customWidth="1"/>
    <col min="13584" max="13584" width="4.453125" style="396" customWidth="1"/>
    <col min="13585" max="13601" width="5.26953125" style="396" customWidth="1"/>
    <col min="13602" max="13603" width="7.81640625" style="396" customWidth="1"/>
    <col min="13604" max="13604" width="5.26953125" style="396" customWidth="1"/>
    <col min="13605" max="13605" width="7" style="396" customWidth="1"/>
    <col min="13606" max="13606" width="8.7265625" style="396"/>
    <col min="13607" max="13610" width="6.1796875" style="396" customWidth="1"/>
    <col min="13611" max="13615" width="7.26953125" style="396" customWidth="1"/>
    <col min="13616" max="13618" width="10.7265625" style="396" customWidth="1"/>
    <col min="13619" max="13824" width="8.7265625" style="396"/>
    <col min="13825" max="13825" width="55.81640625" style="396" customWidth="1"/>
    <col min="13826" max="13839" width="5.26953125" style="396" customWidth="1"/>
    <col min="13840" max="13840" width="4.453125" style="396" customWidth="1"/>
    <col min="13841" max="13857" width="5.26953125" style="396" customWidth="1"/>
    <col min="13858" max="13859" width="7.81640625" style="396" customWidth="1"/>
    <col min="13860" max="13860" width="5.26953125" style="396" customWidth="1"/>
    <col min="13861" max="13861" width="7" style="396" customWidth="1"/>
    <col min="13862" max="13862" width="8.7265625" style="396"/>
    <col min="13863" max="13866" width="6.1796875" style="396" customWidth="1"/>
    <col min="13867" max="13871" width="7.26953125" style="396" customWidth="1"/>
    <col min="13872" max="13874" width="10.7265625" style="396" customWidth="1"/>
    <col min="13875" max="14080" width="8.7265625" style="396"/>
    <col min="14081" max="14081" width="55.81640625" style="396" customWidth="1"/>
    <col min="14082" max="14095" width="5.26953125" style="396" customWidth="1"/>
    <col min="14096" max="14096" width="4.453125" style="396" customWidth="1"/>
    <col min="14097" max="14113" width="5.26953125" style="396" customWidth="1"/>
    <col min="14114" max="14115" width="7.81640625" style="396" customWidth="1"/>
    <col min="14116" max="14116" width="5.26953125" style="396" customWidth="1"/>
    <col min="14117" max="14117" width="7" style="396" customWidth="1"/>
    <col min="14118" max="14118" width="8.7265625" style="396"/>
    <col min="14119" max="14122" width="6.1796875" style="396" customWidth="1"/>
    <col min="14123" max="14127" width="7.26953125" style="396" customWidth="1"/>
    <col min="14128" max="14130" width="10.7265625" style="396" customWidth="1"/>
    <col min="14131" max="14336" width="8.7265625" style="396"/>
    <col min="14337" max="14337" width="55.81640625" style="396" customWidth="1"/>
    <col min="14338" max="14351" width="5.26953125" style="396" customWidth="1"/>
    <col min="14352" max="14352" width="4.453125" style="396" customWidth="1"/>
    <col min="14353" max="14369" width="5.26953125" style="396" customWidth="1"/>
    <col min="14370" max="14371" width="7.81640625" style="396" customWidth="1"/>
    <col min="14372" max="14372" width="5.26953125" style="396" customWidth="1"/>
    <col min="14373" max="14373" width="7" style="396" customWidth="1"/>
    <col min="14374" max="14374" width="8.7265625" style="396"/>
    <col min="14375" max="14378" width="6.1796875" style="396" customWidth="1"/>
    <col min="14379" max="14383" width="7.26953125" style="396" customWidth="1"/>
    <col min="14384" max="14386" width="10.7265625" style="396" customWidth="1"/>
    <col min="14387" max="14592" width="8.7265625" style="396"/>
    <col min="14593" max="14593" width="55.81640625" style="396" customWidth="1"/>
    <col min="14594" max="14607" width="5.26953125" style="396" customWidth="1"/>
    <col min="14608" max="14608" width="4.453125" style="396" customWidth="1"/>
    <col min="14609" max="14625" width="5.26953125" style="396" customWidth="1"/>
    <col min="14626" max="14627" width="7.81640625" style="396" customWidth="1"/>
    <col min="14628" max="14628" width="5.26953125" style="396" customWidth="1"/>
    <col min="14629" max="14629" width="7" style="396" customWidth="1"/>
    <col min="14630" max="14630" width="8.7265625" style="396"/>
    <col min="14631" max="14634" width="6.1796875" style="396" customWidth="1"/>
    <col min="14635" max="14639" width="7.26953125" style="396" customWidth="1"/>
    <col min="14640" max="14642" width="10.7265625" style="396" customWidth="1"/>
    <col min="14643" max="14848" width="8.7265625" style="396"/>
    <col min="14849" max="14849" width="55.81640625" style="396" customWidth="1"/>
    <col min="14850" max="14863" width="5.26953125" style="396" customWidth="1"/>
    <col min="14864" max="14864" width="4.453125" style="396" customWidth="1"/>
    <col min="14865" max="14881" width="5.26953125" style="396" customWidth="1"/>
    <col min="14882" max="14883" width="7.81640625" style="396" customWidth="1"/>
    <col min="14884" max="14884" width="5.26953125" style="396" customWidth="1"/>
    <col min="14885" max="14885" width="7" style="396" customWidth="1"/>
    <col min="14886" max="14886" width="8.7265625" style="396"/>
    <col min="14887" max="14890" width="6.1796875" style="396" customWidth="1"/>
    <col min="14891" max="14895" width="7.26953125" style="396" customWidth="1"/>
    <col min="14896" max="14898" width="10.7265625" style="396" customWidth="1"/>
    <col min="14899" max="15104" width="8.7265625" style="396"/>
    <col min="15105" max="15105" width="55.81640625" style="396" customWidth="1"/>
    <col min="15106" max="15119" width="5.26953125" style="396" customWidth="1"/>
    <col min="15120" max="15120" width="4.453125" style="396" customWidth="1"/>
    <col min="15121" max="15137" width="5.26953125" style="396" customWidth="1"/>
    <col min="15138" max="15139" width="7.81640625" style="396" customWidth="1"/>
    <col min="15140" max="15140" width="5.26953125" style="396" customWidth="1"/>
    <col min="15141" max="15141" width="7" style="396" customWidth="1"/>
    <col min="15142" max="15142" width="8.7265625" style="396"/>
    <col min="15143" max="15146" width="6.1796875" style="396" customWidth="1"/>
    <col min="15147" max="15151" width="7.26953125" style="396" customWidth="1"/>
    <col min="15152" max="15154" width="10.7265625" style="396" customWidth="1"/>
    <col min="15155" max="15360" width="8.7265625" style="396"/>
    <col min="15361" max="15361" width="55.81640625" style="396" customWidth="1"/>
    <col min="15362" max="15375" width="5.26953125" style="396" customWidth="1"/>
    <col min="15376" max="15376" width="4.453125" style="396" customWidth="1"/>
    <col min="15377" max="15393" width="5.26953125" style="396" customWidth="1"/>
    <col min="15394" max="15395" width="7.81640625" style="396" customWidth="1"/>
    <col min="15396" max="15396" width="5.26953125" style="396" customWidth="1"/>
    <col min="15397" max="15397" width="7" style="396" customWidth="1"/>
    <col min="15398" max="15398" width="8.7265625" style="396"/>
    <col min="15399" max="15402" width="6.1796875" style="396" customWidth="1"/>
    <col min="15403" max="15407" width="7.26953125" style="396" customWidth="1"/>
    <col min="15408" max="15410" width="10.7265625" style="396" customWidth="1"/>
    <col min="15411" max="15616" width="8.7265625" style="396"/>
    <col min="15617" max="15617" width="55.81640625" style="396" customWidth="1"/>
    <col min="15618" max="15631" width="5.26953125" style="396" customWidth="1"/>
    <col min="15632" max="15632" width="4.453125" style="396" customWidth="1"/>
    <col min="15633" max="15649" width="5.26953125" style="396" customWidth="1"/>
    <col min="15650" max="15651" width="7.81640625" style="396" customWidth="1"/>
    <col min="15652" max="15652" width="5.26953125" style="396" customWidth="1"/>
    <col min="15653" max="15653" width="7" style="396" customWidth="1"/>
    <col min="15654" max="15654" width="8.7265625" style="396"/>
    <col min="15655" max="15658" width="6.1796875" style="396" customWidth="1"/>
    <col min="15659" max="15663" width="7.26953125" style="396" customWidth="1"/>
    <col min="15664" max="15666" width="10.7265625" style="396" customWidth="1"/>
    <col min="15667" max="15872" width="8.7265625" style="396"/>
    <col min="15873" max="15873" width="55.81640625" style="396" customWidth="1"/>
    <col min="15874" max="15887" width="5.26953125" style="396" customWidth="1"/>
    <col min="15888" max="15888" width="4.453125" style="396" customWidth="1"/>
    <col min="15889" max="15905" width="5.26953125" style="396" customWidth="1"/>
    <col min="15906" max="15907" width="7.81640625" style="396" customWidth="1"/>
    <col min="15908" max="15908" width="5.26953125" style="396" customWidth="1"/>
    <col min="15909" max="15909" width="7" style="396" customWidth="1"/>
    <col min="15910" max="15910" width="8.7265625" style="396"/>
    <col min="15911" max="15914" width="6.1796875" style="396" customWidth="1"/>
    <col min="15915" max="15919" width="7.26953125" style="396" customWidth="1"/>
    <col min="15920" max="15922" width="10.7265625" style="396" customWidth="1"/>
    <col min="15923" max="16128" width="8.7265625" style="396"/>
    <col min="16129" max="16129" width="55.81640625" style="396" customWidth="1"/>
    <col min="16130" max="16143" width="5.26953125" style="396" customWidth="1"/>
    <col min="16144" max="16144" width="4.453125" style="396" customWidth="1"/>
    <col min="16145" max="16161" width="5.26953125" style="396" customWidth="1"/>
    <col min="16162" max="16163" width="7.81640625" style="396" customWidth="1"/>
    <col min="16164" max="16164" width="5.26953125" style="396" customWidth="1"/>
    <col min="16165" max="16165" width="7" style="396" customWidth="1"/>
    <col min="16166" max="16166" width="8.7265625" style="396"/>
    <col min="16167" max="16170" width="6.1796875" style="396" customWidth="1"/>
    <col min="16171" max="16175" width="7.26953125" style="396" customWidth="1"/>
    <col min="16176" max="16178" width="10.7265625" style="396" customWidth="1"/>
    <col min="16179" max="16384" width="8.7265625" style="396"/>
  </cols>
  <sheetData>
    <row r="1" spans="1:50" ht="13">
      <c r="A1" s="440" t="s">
        <v>774</v>
      </c>
    </row>
    <row r="2" spans="1:50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50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</row>
    <row r="4" spans="1:50" ht="13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0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0" ht="13">
      <c r="A6" s="446" t="s">
        <v>749</v>
      </c>
      <c r="B6" s="449">
        <v>430.90528403726336</v>
      </c>
      <c r="C6" s="449">
        <v>489.8094263436771</v>
      </c>
      <c r="D6" s="449">
        <v>503.73067356154962</v>
      </c>
      <c r="E6" s="449">
        <v>522.90486482216454</v>
      </c>
      <c r="F6" s="449">
        <v>552.91013740692961</v>
      </c>
      <c r="G6" s="449">
        <v>594.83543764666319</v>
      </c>
      <c r="H6" s="449">
        <v>634.28555167659624</v>
      </c>
      <c r="I6" s="449">
        <v>659.52585490010119</v>
      </c>
      <c r="J6" s="449">
        <v>721.08126215343407</v>
      </c>
      <c r="K6" s="449">
        <v>804.58478903396031</v>
      </c>
      <c r="L6" s="449">
        <v>872.51007983953832</v>
      </c>
      <c r="M6" s="449">
        <v>878.32224156413565</v>
      </c>
      <c r="N6" s="449">
        <v>1115.7086209927945</v>
      </c>
      <c r="O6" s="449">
        <v>1194.9350910108462</v>
      </c>
      <c r="P6" s="449">
        <v>1193.6276896964225</v>
      </c>
      <c r="Q6" s="449">
        <v>1278.3329139633331</v>
      </c>
      <c r="R6" s="449">
        <v>1375.8549359493798</v>
      </c>
      <c r="S6" s="449">
        <v>1457.5514684864268</v>
      </c>
      <c r="T6" s="449">
        <v>1596.0118487534846</v>
      </c>
      <c r="U6" s="449">
        <v>1833.7150329877654</v>
      </c>
      <c r="V6" s="449">
        <v>2166.828454597774</v>
      </c>
      <c r="W6" s="449">
        <v>2639.3257871870246</v>
      </c>
      <c r="X6" s="449">
        <v>3167.9931745364797</v>
      </c>
      <c r="Y6" s="449">
        <v>3593.7693752720324</v>
      </c>
      <c r="Z6" s="449">
        <v>4228.8613316653045</v>
      </c>
      <c r="AA6" s="449">
        <v>4535.8226898674402</v>
      </c>
      <c r="AB6" s="449">
        <v>5345.6616578407375</v>
      </c>
      <c r="AC6" s="449">
        <v>7737.4343613671799</v>
      </c>
      <c r="AD6" s="449">
        <v>14812.341038328437</v>
      </c>
      <c r="AE6" s="449">
        <v>25672.503048666047</v>
      </c>
      <c r="AF6" s="449">
        <v>42030.288982025835</v>
      </c>
      <c r="AG6" s="449">
        <v>42217.715584183912</v>
      </c>
      <c r="AH6" s="449">
        <v>49677.556075910245</v>
      </c>
      <c r="AI6" s="449">
        <v>61712.843533594307</v>
      </c>
      <c r="AJ6" s="449">
        <v>79330.979992355627</v>
      </c>
      <c r="AK6" s="449">
        <v>99834.970354903402</v>
      </c>
      <c r="AL6" s="449">
        <v>118022.24566572779</v>
      </c>
      <c r="AM6" s="449">
        <v>158080.54043712799</v>
      </c>
      <c r="AN6" s="449">
        <v>206086.18447393787</v>
      </c>
      <c r="AO6" s="449">
        <v>458595.98906691762</v>
      </c>
      <c r="AP6" s="449">
        <v>365169.67083645234</v>
      </c>
      <c r="AQ6" s="449">
        <v>477531.57078670798</v>
      </c>
      <c r="AR6" s="449">
        <v>529065.84166111797</v>
      </c>
      <c r="AS6" s="449">
        <v>656320.12970755564</v>
      </c>
      <c r="AT6" s="449">
        <v>771537.65284369409</v>
      </c>
      <c r="AU6" s="449">
        <v>910759.24400913971</v>
      </c>
      <c r="AV6" s="449">
        <v>1008442.2047269753</v>
      </c>
      <c r="AW6" s="449">
        <v>1061042.2577041825</v>
      </c>
      <c r="AX6" s="450">
        <v>1134282.7175020608</v>
      </c>
    </row>
    <row r="7" spans="1:50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0" ht="13">
      <c r="A8" s="451" t="s">
        <v>750</v>
      </c>
      <c r="B8" s="449">
        <v>5.2203000000000017</v>
      </c>
      <c r="C8" s="449">
        <v>5.781600000000001</v>
      </c>
      <c r="D8" s="449">
        <v>2.9307999999999979</v>
      </c>
      <c r="E8" s="449">
        <v>1.5830000000000017</v>
      </c>
      <c r="F8" s="449">
        <v>3.6777999999999977</v>
      </c>
      <c r="G8" s="449">
        <v>3.6837000000000022</v>
      </c>
      <c r="H8" s="449">
        <v>2.6690000000000023</v>
      </c>
      <c r="I8" s="449">
        <v>2.1850000000000001</v>
      </c>
      <c r="J8" s="449">
        <v>2.0409999999999999</v>
      </c>
      <c r="K8" s="449">
        <v>1.5010000000000021</v>
      </c>
      <c r="L8" s="449">
        <v>2.7909999999999986</v>
      </c>
      <c r="M8" s="449">
        <v>3.4750000000000001</v>
      </c>
      <c r="N8" s="449">
        <v>3.8410000000000006</v>
      </c>
      <c r="O8" s="449">
        <v>3.952</v>
      </c>
      <c r="P8" s="449">
        <v>4.0629999999999988</v>
      </c>
      <c r="Q8" s="449">
        <v>5.8520000000000003</v>
      </c>
      <c r="R8" s="449">
        <v>2.9750000000000001</v>
      </c>
      <c r="S8" s="449">
        <v>3.2439999999999998</v>
      </c>
      <c r="T8" s="449">
        <v>2.8469999999999995</v>
      </c>
      <c r="U8" s="449">
        <v>6.46</v>
      </c>
      <c r="V8" s="449">
        <v>2.5889999999999995</v>
      </c>
      <c r="W8" s="449">
        <v>3.0060000000000002</v>
      </c>
      <c r="X8" s="449">
        <v>3.8109999999999999</v>
      </c>
      <c r="Y8" s="449">
        <v>6.3070000000000013</v>
      </c>
      <c r="Z8" s="449">
        <v>5.8969999999999994</v>
      </c>
      <c r="AA8" s="449">
        <v>7.123999999999997</v>
      </c>
      <c r="AB8" s="449">
        <v>8.1959999999999997</v>
      </c>
      <c r="AC8" s="449">
        <v>9.9620000000000015</v>
      </c>
      <c r="AD8" s="449">
        <v>9.9080000000000013</v>
      </c>
      <c r="AE8" s="449">
        <v>8.9540000000000006</v>
      </c>
      <c r="AF8" s="449">
        <v>13</v>
      </c>
      <c r="AG8" s="449">
        <v>17</v>
      </c>
      <c r="AH8" s="449">
        <v>74</v>
      </c>
      <c r="AI8" s="449">
        <v>6</v>
      </c>
      <c r="AJ8" s="449">
        <v>0</v>
      </c>
      <c r="AK8" s="449">
        <v>0</v>
      </c>
      <c r="AL8" s="449">
        <v>0</v>
      </c>
      <c r="AM8" s="449">
        <v>0</v>
      </c>
      <c r="AN8" s="449">
        <v>0</v>
      </c>
      <c r="AO8" s="449">
        <v>0</v>
      </c>
      <c r="AP8" s="449">
        <v>0</v>
      </c>
      <c r="AQ8" s="449">
        <v>0</v>
      </c>
      <c r="AR8" s="449">
        <v>0</v>
      </c>
      <c r="AS8" s="449">
        <v>7186</v>
      </c>
      <c r="AT8" s="449">
        <v>118</v>
      </c>
      <c r="AU8" s="449">
        <v>87</v>
      </c>
      <c r="AV8" s="449">
        <v>87</v>
      </c>
      <c r="AW8" s="449">
        <v>0</v>
      </c>
      <c r="AX8" s="450">
        <v>1</v>
      </c>
    </row>
    <row r="9" spans="1:50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7">
        <v>0</v>
      </c>
      <c r="U9" s="447">
        <v>0</v>
      </c>
      <c r="V9" s="447">
        <v>0</v>
      </c>
      <c r="W9" s="447">
        <v>0</v>
      </c>
      <c r="X9" s="447">
        <v>0</v>
      </c>
      <c r="Y9" s="447">
        <v>0</v>
      </c>
      <c r="Z9" s="447">
        <v>0</v>
      </c>
      <c r="AA9" s="447">
        <v>0</v>
      </c>
      <c r="AB9" s="447">
        <v>0</v>
      </c>
      <c r="AC9" s="447">
        <v>0</v>
      </c>
      <c r="AD9" s="447">
        <v>0</v>
      </c>
      <c r="AE9" s="447">
        <v>0</v>
      </c>
      <c r="AF9" s="447">
        <v>0</v>
      </c>
      <c r="AG9" s="447">
        <v>0</v>
      </c>
      <c r="AH9" s="447">
        <v>0</v>
      </c>
      <c r="AI9" s="447">
        <v>0</v>
      </c>
      <c r="AJ9" s="447">
        <v>0</v>
      </c>
      <c r="AK9" s="447">
        <v>0</v>
      </c>
      <c r="AL9" s="447">
        <v>0</v>
      </c>
      <c r="AM9" s="447">
        <v>0</v>
      </c>
      <c r="AN9" s="447">
        <v>0</v>
      </c>
      <c r="AO9" s="447">
        <v>2</v>
      </c>
      <c r="AP9" s="447">
        <v>2</v>
      </c>
      <c r="AQ9" s="447">
        <v>2</v>
      </c>
      <c r="AR9" s="447">
        <v>3</v>
      </c>
      <c r="AS9" s="447">
        <v>36</v>
      </c>
      <c r="AT9" s="447">
        <v>41</v>
      </c>
      <c r="AU9" s="447">
        <v>40</v>
      </c>
      <c r="AV9" s="447">
        <v>34</v>
      </c>
      <c r="AW9" s="447">
        <v>0</v>
      </c>
      <c r="AX9" s="448">
        <v>0</v>
      </c>
    </row>
    <row r="10" spans="1:50" ht="13">
      <c r="A10" s="451" t="s">
        <v>775</v>
      </c>
      <c r="B10" s="449">
        <v>5</v>
      </c>
      <c r="C10" s="449">
        <v>6</v>
      </c>
      <c r="D10" s="449">
        <v>6</v>
      </c>
      <c r="E10" s="449">
        <v>7</v>
      </c>
      <c r="F10" s="449">
        <v>7</v>
      </c>
      <c r="G10" s="449">
        <v>7</v>
      </c>
      <c r="H10" s="449">
        <v>8</v>
      </c>
      <c r="I10" s="449">
        <v>8</v>
      </c>
      <c r="J10" s="449">
        <v>8</v>
      </c>
      <c r="K10" s="449">
        <v>9</v>
      </c>
      <c r="L10" s="449">
        <v>10</v>
      </c>
      <c r="M10" s="449">
        <v>10</v>
      </c>
      <c r="N10" s="449">
        <v>9.9519999999999982</v>
      </c>
      <c r="O10" s="449">
        <v>10.049000000000007</v>
      </c>
      <c r="P10" s="449">
        <v>10.092000000000013</v>
      </c>
      <c r="Q10" s="449">
        <v>11.730999999999995</v>
      </c>
      <c r="R10" s="449">
        <v>33.572857142857146</v>
      </c>
      <c r="S10" s="449">
        <v>34.638666666666666</v>
      </c>
      <c r="T10" s="449">
        <v>15.438750000000001</v>
      </c>
      <c r="U10" s="449">
        <v>12.349411764705877</v>
      </c>
      <c r="V10" s="449">
        <v>155.26111111111112</v>
      </c>
      <c r="W10" s="449">
        <v>178.553</v>
      </c>
      <c r="X10" s="449">
        <v>181.52</v>
      </c>
      <c r="Y10" s="449">
        <v>195.596</v>
      </c>
      <c r="Z10" s="449">
        <v>210.5</v>
      </c>
      <c r="AA10" s="449">
        <v>205.131</v>
      </c>
      <c r="AB10" s="449">
        <v>153.405</v>
      </c>
      <c r="AC10" s="449">
        <v>183.56</v>
      </c>
      <c r="AD10" s="449">
        <v>352</v>
      </c>
      <c r="AE10" s="449">
        <v>452</v>
      </c>
      <c r="AF10" s="449">
        <v>1287.5999999999999</v>
      </c>
      <c r="AG10" s="449">
        <v>1848.4</v>
      </c>
      <c r="AH10" s="449">
        <v>1638.4</v>
      </c>
      <c r="AI10" s="449">
        <v>2371.4</v>
      </c>
      <c r="AJ10" s="449">
        <v>3145</v>
      </c>
      <c r="AK10" s="449">
        <v>4280</v>
      </c>
      <c r="AL10" s="449">
        <v>5275.4</v>
      </c>
      <c r="AM10" s="449">
        <v>6616.8</v>
      </c>
      <c r="AN10" s="449">
        <v>8817.7999999999993</v>
      </c>
      <c r="AO10" s="449">
        <v>209915</v>
      </c>
      <c r="AP10" s="449">
        <v>56031</v>
      </c>
      <c r="AQ10" s="449">
        <v>65251</v>
      </c>
      <c r="AR10" s="449">
        <v>59375</v>
      </c>
      <c r="AS10" s="449">
        <v>68949</v>
      </c>
      <c r="AT10" s="449">
        <v>53544</v>
      </c>
      <c r="AU10" s="449">
        <v>56860</v>
      </c>
      <c r="AV10" s="449">
        <v>41004</v>
      </c>
      <c r="AW10" s="449">
        <v>38582</v>
      </c>
      <c r="AX10" s="450">
        <v>40200</v>
      </c>
    </row>
    <row r="11" spans="1:50" ht="13">
      <c r="A11" s="446" t="s">
        <v>753</v>
      </c>
      <c r="B11" s="449">
        <v>6.919490241319278</v>
      </c>
      <c r="C11" s="449">
        <v>8.9611167541666266</v>
      </c>
      <c r="D11" s="449">
        <v>8.2444736947276844</v>
      </c>
      <c r="E11" s="449">
        <v>8.803078608800865</v>
      </c>
      <c r="F11" s="449">
        <v>9.4716702163099242</v>
      </c>
      <c r="G11" s="449">
        <v>12.325859225201885</v>
      </c>
      <c r="H11" s="449">
        <v>20.528217856720577</v>
      </c>
      <c r="I11" s="449">
        <v>22.117517620810858</v>
      </c>
      <c r="J11" s="449">
        <v>15.779047859173975</v>
      </c>
      <c r="K11" s="449">
        <v>28.581730593816864</v>
      </c>
      <c r="L11" s="449">
        <v>25.356602669289156</v>
      </c>
      <c r="M11" s="449">
        <v>25.149370837552006</v>
      </c>
      <c r="N11" s="449">
        <v>22.067221101303069</v>
      </c>
      <c r="O11" s="449">
        <v>30.055221101303069</v>
      </c>
      <c r="P11" s="449">
        <v>24.753750735603198</v>
      </c>
      <c r="Q11" s="449">
        <v>31.207994955863811</v>
      </c>
      <c r="R11" s="449">
        <v>27.081994955863809</v>
      </c>
      <c r="S11" s="449">
        <v>29.309349726775963</v>
      </c>
      <c r="T11" s="449">
        <v>44.324349726775964</v>
      </c>
      <c r="U11" s="449">
        <v>42.429349726775961</v>
      </c>
      <c r="V11" s="449">
        <v>60.218349726775962</v>
      </c>
      <c r="W11" s="449">
        <v>79.386100462379162</v>
      </c>
      <c r="X11" s="449">
        <v>100.74310046237916</v>
      </c>
      <c r="Y11" s="449">
        <v>76.700100462379154</v>
      </c>
      <c r="Z11" s="449">
        <v>97.190100462379164</v>
      </c>
      <c r="AA11" s="449">
        <v>117.928</v>
      </c>
      <c r="AB11" s="449">
        <v>354.46399999999994</v>
      </c>
      <c r="AC11" s="449">
        <v>376.23699999999997</v>
      </c>
      <c r="AD11" s="449">
        <v>384.05799999999999</v>
      </c>
      <c r="AE11" s="449">
        <v>440.08668704995296</v>
      </c>
      <c r="AF11" s="449">
        <v>370.91649999999998</v>
      </c>
      <c r="AG11" s="449">
        <v>947.12599999999998</v>
      </c>
      <c r="AH11" s="449">
        <v>1388.0405000000001</v>
      </c>
      <c r="AI11" s="449">
        <v>1608.261</v>
      </c>
      <c r="AJ11" s="449">
        <v>2245.6154999999999</v>
      </c>
      <c r="AK11" s="449">
        <v>2459.9365000000003</v>
      </c>
      <c r="AL11" s="449">
        <v>2853.4102696718082</v>
      </c>
      <c r="AM11" s="449">
        <v>6499.2773088574122</v>
      </c>
      <c r="AN11" s="449">
        <v>6788.3325000000004</v>
      </c>
      <c r="AO11" s="449">
        <v>12769</v>
      </c>
      <c r="AP11" s="449">
        <v>17767</v>
      </c>
      <c r="AQ11" s="449">
        <v>18229</v>
      </c>
      <c r="AR11" s="449">
        <v>19299</v>
      </c>
      <c r="AS11" s="449">
        <v>38481</v>
      </c>
      <c r="AT11" s="449">
        <v>35842</v>
      </c>
      <c r="AU11" s="449">
        <v>36556</v>
      </c>
      <c r="AV11" s="449">
        <v>34675</v>
      </c>
      <c r="AW11" s="449">
        <v>33290</v>
      </c>
      <c r="AX11" s="450">
        <v>38095</v>
      </c>
    </row>
    <row r="12" spans="1:50" ht="13">
      <c r="A12" s="446" t="s">
        <v>754</v>
      </c>
      <c r="B12" s="449">
        <v>4.7155514750561345</v>
      </c>
      <c r="C12" s="449">
        <v>4.8843858828915518</v>
      </c>
      <c r="D12" s="449">
        <v>5.2594501380519514</v>
      </c>
      <c r="E12" s="449">
        <v>5.3691936639848619</v>
      </c>
      <c r="F12" s="449">
        <v>6.4678406940549973</v>
      </c>
      <c r="G12" s="449">
        <v>7.3067554904251484</v>
      </c>
      <c r="H12" s="449">
        <v>8.5813564919491601</v>
      </c>
      <c r="I12" s="449">
        <v>9.8201316712058571</v>
      </c>
      <c r="J12" s="449">
        <v>11.38730819179241</v>
      </c>
      <c r="K12" s="449">
        <v>13.369879398425624</v>
      </c>
      <c r="L12" s="449">
        <v>15.619304902283851</v>
      </c>
      <c r="M12" s="449">
        <v>17.172738996479687</v>
      </c>
      <c r="N12" s="449">
        <v>18.690176879052171</v>
      </c>
      <c r="O12" s="449">
        <v>20.515195645019791</v>
      </c>
      <c r="P12" s="449">
        <v>26.557536199656813</v>
      </c>
      <c r="Q12" s="449">
        <v>38.18473438217309</v>
      </c>
      <c r="R12" s="449">
        <v>46.800767420011546</v>
      </c>
      <c r="S12" s="449">
        <v>59.64961383514752</v>
      </c>
      <c r="T12" s="449">
        <v>74.377999820484789</v>
      </c>
      <c r="U12" s="449">
        <v>100.02590940743582</v>
      </c>
      <c r="V12" s="449">
        <v>131.44138808147591</v>
      </c>
      <c r="W12" s="449">
        <v>158.81231645208445</v>
      </c>
      <c r="X12" s="449">
        <v>185.87345457835085</v>
      </c>
      <c r="Y12" s="449">
        <v>213.73409333736515</v>
      </c>
      <c r="Z12" s="449">
        <v>256.92051897028614</v>
      </c>
      <c r="AA12" s="449">
        <v>295.75041013209307</v>
      </c>
      <c r="AB12" s="449">
        <v>334.90380434657737</v>
      </c>
      <c r="AC12" s="449">
        <v>415.33824418508141</v>
      </c>
      <c r="AD12" s="449">
        <v>519.48478109275334</v>
      </c>
      <c r="AE12" s="449">
        <v>621.95971641358767</v>
      </c>
      <c r="AF12" s="449">
        <v>799.34873202583162</v>
      </c>
      <c r="AG12" s="449">
        <v>1045.2845841839089</v>
      </c>
      <c r="AH12" s="449">
        <v>1356.1155759102471</v>
      </c>
      <c r="AI12" s="449">
        <v>1774.2525335943096</v>
      </c>
      <c r="AJ12" s="449">
        <v>2405.8424923556267</v>
      </c>
      <c r="AK12" s="449">
        <v>3134.3218549033863</v>
      </c>
      <c r="AL12" s="449">
        <v>4087.9003960559767</v>
      </c>
      <c r="AM12" s="449">
        <v>5113.2681282705762</v>
      </c>
      <c r="AN12" s="449">
        <v>6205.90197393788</v>
      </c>
      <c r="AO12" s="449">
        <v>7664.9890669176093</v>
      </c>
      <c r="AP12" s="449">
        <v>9156.6708364523565</v>
      </c>
      <c r="AQ12" s="449">
        <v>11782.57078670798</v>
      </c>
      <c r="AR12" s="449">
        <v>14355.841661117915</v>
      </c>
      <c r="AS12" s="449">
        <v>17745.12970755565</v>
      </c>
      <c r="AT12" s="449">
        <v>21479.652843694126</v>
      </c>
      <c r="AU12" s="449">
        <v>24780.244009139657</v>
      </c>
      <c r="AV12" s="449">
        <v>28996.204726975342</v>
      </c>
      <c r="AW12" s="449">
        <v>33334.257704182455</v>
      </c>
      <c r="AX12" s="450">
        <v>36506.717502060936</v>
      </c>
    </row>
    <row r="13" spans="1:50" ht="13">
      <c r="A13" s="451" t="s">
        <v>755</v>
      </c>
      <c r="B13" s="449">
        <v>409.04994232088796</v>
      </c>
      <c r="C13" s="449">
        <v>464.18232370661894</v>
      </c>
      <c r="D13" s="449">
        <v>481.29594972876998</v>
      </c>
      <c r="E13" s="449">
        <v>500.14959254937884</v>
      </c>
      <c r="F13" s="449">
        <v>526.29282649656466</v>
      </c>
      <c r="G13" s="449">
        <v>564.51912293103612</v>
      </c>
      <c r="H13" s="449">
        <v>594.50697732792651</v>
      </c>
      <c r="I13" s="449">
        <v>617.40320560808448</v>
      </c>
      <c r="J13" s="449">
        <v>683.87390610246769</v>
      </c>
      <c r="K13" s="449">
        <v>752.13217904171779</v>
      </c>
      <c r="L13" s="449">
        <v>818.74317226796529</v>
      </c>
      <c r="M13" s="449">
        <v>822.52513173010391</v>
      </c>
      <c r="N13" s="449">
        <v>1061.1582230124393</v>
      </c>
      <c r="O13" s="449">
        <v>1130.3636742645233</v>
      </c>
      <c r="P13" s="449">
        <v>1128.1614027611624</v>
      </c>
      <c r="Q13" s="449">
        <v>1191.3571846252962</v>
      </c>
      <c r="R13" s="449">
        <v>1265.4243164306472</v>
      </c>
      <c r="S13" s="449">
        <v>1330.7098382578365</v>
      </c>
      <c r="T13" s="449">
        <v>1459.0237492062238</v>
      </c>
      <c r="U13" s="449">
        <v>1672.4503620888477</v>
      </c>
      <c r="V13" s="449">
        <v>1817.3186056784111</v>
      </c>
      <c r="W13" s="449">
        <v>2219.568370272561</v>
      </c>
      <c r="X13" s="449">
        <v>2696.0456194957496</v>
      </c>
      <c r="Y13" s="449">
        <v>3101.432181472288</v>
      </c>
      <c r="Z13" s="449">
        <v>3658.3537122326388</v>
      </c>
      <c r="AA13" s="449">
        <v>3909.8892797353474</v>
      </c>
      <c r="AB13" s="449">
        <v>4494.6928534941599</v>
      </c>
      <c r="AC13" s="449">
        <v>6752.3371171820982</v>
      </c>
      <c r="AD13" s="449">
        <v>13546.890257235684</v>
      </c>
      <c r="AE13" s="449">
        <v>24149.502645202505</v>
      </c>
      <c r="AF13" s="449">
        <v>39559.423750000002</v>
      </c>
      <c r="AG13" s="449">
        <v>38359.905000000006</v>
      </c>
      <c r="AH13" s="449">
        <v>45221</v>
      </c>
      <c r="AI13" s="449">
        <v>55952.93</v>
      </c>
      <c r="AJ13" s="449">
        <v>71534.521999999997</v>
      </c>
      <c r="AK13" s="449">
        <v>89960.712000000014</v>
      </c>
      <c r="AL13" s="449">
        <v>105805.535</v>
      </c>
      <c r="AM13" s="449">
        <v>139851.19500000001</v>
      </c>
      <c r="AN13" s="449">
        <v>184274.15</v>
      </c>
      <c r="AO13" s="449">
        <v>228245</v>
      </c>
      <c r="AP13" s="449">
        <v>282213</v>
      </c>
      <c r="AQ13" s="449">
        <v>382267</v>
      </c>
      <c r="AR13" s="449">
        <v>436033</v>
      </c>
      <c r="AS13" s="449">
        <v>523923</v>
      </c>
      <c r="AT13" s="449">
        <v>660513</v>
      </c>
      <c r="AU13" s="449">
        <v>792436</v>
      </c>
      <c r="AV13" s="447">
        <v>903646</v>
      </c>
      <c r="AW13" s="449">
        <v>955836</v>
      </c>
      <c r="AX13" s="450">
        <v>1019480</v>
      </c>
    </row>
    <row r="14" spans="1:50" ht="13">
      <c r="A14" s="457" t="s">
        <v>770</v>
      </c>
      <c r="B14" s="458">
        <v>310.54270007110938</v>
      </c>
      <c r="C14" s="458">
        <v>353.00801524567413</v>
      </c>
      <c r="D14" s="458">
        <v>365.47666113763358</v>
      </c>
      <c r="E14" s="458">
        <v>362.67877590232632</v>
      </c>
      <c r="F14" s="458">
        <v>379.50909283630119</v>
      </c>
      <c r="G14" s="458">
        <v>414.29625464560883</v>
      </c>
      <c r="H14" s="458">
        <v>429.65424674130469</v>
      </c>
      <c r="I14" s="458">
        <v>465.04418891810474</v>
      </c>
      <c r="J14" s="458">
        <v>517.6266007721847</v>
      </c>
      <c r="K14" s="458">
        <v>576.07124210569611</v>
      </c>
      <c r="L14" s="458">
        <v>624.13517616670356</v>
      </c>
      <c r="M14" s="458">
        <v>651.98783086213996</v>
      </c>
      <c r="N14" s="458">
        <v>883.22806776425909</v>
      </c>
      <c r="O14" s="458">
        <v>932.79503339735106</v>
      </c>
      <c r="P14" s="458">
        <v>952.14202231036472</v>
      </c>
      <c r="Q14" s="458">
        <v>991.43616448180376</v>
      </c>
      <c r="R14" s="458">
        <v>1080.2108115656549</v>
      </c>
      <c r="S14" s="458">
        <v>1116.5138425173802</v>
      </c>
      <c r="T14" s="458">
        <v>1174.8994131469017</v>
      </c>
      <c r="U14" s="458">
        <v>1304.204794448045</v>
      </c>
      <c r="V14" s="458">
        <v>1420.1075077649311</v>
      </c>
      <c r="W14" s="458">
        <v>1723.0601953020102</v>
      </c>
      <c r="X14" s="458">
        <v>2128.1358033520887</v>
      </c>
      <c r="Y14" s="458">
        <v>2480.789917490853</v>
      </c>
      <c r="Z14" s="458">
        <v>3013.5032056972304</v>
      </c>
      <c r="AA14" s="458">
        <v>3296.7343573309581</v>
      </c>
      <c r="AB14" s="458">
        <v>3761.950268193008</v>
      </c>
      <c r="AC14" s="458">
        <v>5926.2943734871569</v>
      </c>
      <c r="AD14" s="458">
        <v>12837.41453365149</v>
      </c>
      <c r="AE14" s="458">
        <v>23253.299093831312</v>
      </c>
      <c r="AF14" s="458">
        <v>37908.423750000002</v>
      </c>
      <c r="AG14" s="458">
        <v>37699.105000000003</v>
      </c>
      <c r="AH14" s="458">
        <v>44360</v>
      </c>
      <c r="AI14" s="458">
        <v>54772.43</v>
      </c>
      <c r="AJ14" s="458">
        <v>70164.122000000003</v>
      </c>
      <c r="AK14" s="458">
        <v>88271.612000000008</v>
      </c>
      <c r="AL14" s="458">
        <v>104217.035</v>
      </c>
      <c r="AM14" s="458">
        <v>137541.095</v>
      </c>
      <c r="AN14" s="458">
        <v>181038.75</v>
      </c>
      <c r="AO14" s="458">
        <v>215610</v>
      </c>
      <c r="AP14" s="458">
        <v>272144</v>
      </c>
      <c r="AQ14" s="458">
        <v>367767</v>
      </c>
      <c r="AR14" s="458">
        <v>420399</v>
      </c>
      <c r="AS14" s="458">
        <v>504241</v>
      </c>
      <c r="AT14" s="458">
        <v>626129</v>
      </c>
      <c r="AU14" s="458">
        <v>753255</v>
      </c>
      <c r="AV14" s="458">
        <v>830886</v>
      </c>
      <c r="AW14" s="458">
        <v>886523</v>
      </c>
      <c r="AX14" s="459">
        <v>970556</v>
      </c>
    </row>
    <row r="15" spans="1:50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8"/>
    </row>
    <row r="16" spans="1:50" ht="13">
      <c r="A16" s="446" t="s">
        <v>756</v>
      </c>
      <c r="B16" s="449">
        <v>210.185</v>
      </c>
      <c r="C16" s="449">
        <v>197.25199999999998</v>
      </c>
      <c r="D16" s="449">
        <v>184.65400000000005</v>
      </c>
      <c r="E16" s="449">
        <v>155.35</v>
      </c>
      <c r="F16" s="449">
        <v>163.11300000000003</v>
      </c>
      <c r="G16" s="449">
        <v>160.607</v>
      </c>
      <c r="H16" s="449">
        <v>156.41900000000001</v>
      </c>
      <c r="I16" s="449">
        <v>158.47800000000001</v>
      </c>
      <c r="J16" s="449">
        <v>153.29499999999999</v>
      </c>
      <c r="K16" s="449">
        <v>213.90899999999996</v>
      </c>
      <c r="L16" s="449">
        <v>209.83899999999997</v>
      </c>
      <c r="M16" s="449">
        <v>203.41</v>
      </c>
      <c r="N16" s="449">
        <v>316.5</v>
      </c>
      <c r="O16" s="449">
        <v>305.411</v>
      </c>
      <c r="P16" s="449">
        <v>308.88</v>
      </c>
      <c r="Q16" s="449">
        <v>311.39999999999998</v>
      </c>
      <c r="R16" s="449">
        <v>339.50799999999998</v>
      </c>
      <c r="S16" s="449">
        <v>343.50799999999998</v>
      </c>
      <c r="T16" s="449">
        <v>357.25799999999998</v>
      </c>
      <c r="U16" s="449">
        <v>544.25799999999992</v>
      </c>
      <c r="V16" s="449">
        <v>597.25799999999992</v>
      </c>
      <c r="W16" s="449">
        <v>950.00799999999992</v>
      </c>
      <c r="X16" s="449">
        <v>845.50799999999992</v>
      </c>
      <c r="Y16" s="449">
        <v>1026.0079999999998</v>
      </c>
      <c r="Z16" s="449">
        <v>1001.0079999999999</v>
      </c>
      <c r="AA16" s="449">
        <v>677.13499999999999</v>
      </c>
      <c r="AB16" s="449">
        <v>1571.7850000000001</v>
      </c>
      <c r="AC16" s="449">
        <v>2137.2760000000003</v>
      </c>
      <c r="AD16" s="449">
        <v>2091.4349999999999</v>
      </c>
      <c r="AE16" s="449">
        <v>4406.0240000000003</v>
      </c>
      <c r="AF16" s="460">
        <v>4590.0129999999999</v>
      </c>
      <c r="AG16" s="460">
        <v>4361.6779999999999</v>
      </c>
      <c r="AH16" s="447">
        <v>5627.2780000000002</v>
      </c>
      <c r="AI16" s="447">
        <v>8205.5589999999993</v>
      </c>
      <c r="AJ16" s="447">
        <v>6036</v>
      </c>
      <c r="AK16" s="447">
        <v>13049.7</v>
      </c>
      <c r="AL16" s="447">
        <v>17010.702000000001</v>
      </c>
      <c r="AM16" s="447">
        <v>13588</v>
      </c>
      <c r="AN16" s="447">
        <v>27462</v>
      </c>
      <c r="AO16" s="447">
        <v>46559</v>
      </c>
      <c r="AP16" s="447">
        <v>68505</v>
      </c>
      <c r="AQ16" s="447">
        <v>88593</v>
      </c>
      <c r="AR16" s="447">
        <v>146874</v>
      </c>
      <c r="AS16" s="447">
        <v>178713</v>
      </c>
      <c r="AT16" s="447">
        <v>218720</v>
      </c>
      <c r="AU16" s="447">
        <v>300406</v>
      </c>
      <c r="AV16" s="447">
        <v>305015</v>
      </c>
      <c r="AW16" s="447">
        <v>348395</v>
      </c>
      <c r="AX16" s="448">
        <v>359921</v>
      </c>
    </row>
    <row r="17" spans="1:50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8"/>
    </row>
    <row r="18" spans="1:50" ht="13">
      <c r="A18" s="446" t="s">
        <v>757</v>
      </c>
      <c r="B18" s="449">
        <v>210.185</v>
      </c>
      <c r="C18" s="449">
        <v>197.25199999999998</v>
      </c>
      <c r="D18" s="449">
        <v>184.65400000000005</v>
      </c>
      <c r="E18" s="449">
        <v>155.35</v>
      </c>
      <c r="F18" s="449">
        <v>163.11300000000003</v>
      </c>
      <c r="G18" s="449">
        <v>160.607</v>
      </c>
      <c r="H18" s="449">
        <v>156.41900000000001</v>
      </c>
      <c r="I18" s="449">
        <v>158.47800000000001</v>
      </c>
      <c r="J18" s="449">
        <v>153.29499999999999</v>
      </c>
      <c r="K18" s="449">
        <v>213.90899999999996</v>
      </c>
      <c r="L18" s="449">
        <v>209.83899999999997</v>
      </c>
      <c r="M18" s="449">
        <v>203.41</v>
      </c>
      <c r="N18" s="449">
        <v>316.5</v>
      </c>
      <c r="O18" s="449">
        <v>305.411</v>
      </c>
      <c r="P18" s="449">
        <v>308.88</v>
      </c>
      <c r="Q18" s="449">
        <v>311.39999999999998</v>
      </c>
      <c r="R18" s="449">
        <v>339.50799999999998</v>
      </c>
      <c r="S18" s="449">
        <v>343.50799999999998</v>
      </c>
      <c r="T18" s="449">
        <v>357.25799999999998</v>
      </c>
      <c r="U18" s="449">
        <v>544.25799999999992</v>
      </c>
      <c r="V18" s="449">
        <v>597.25799999999992</v>
      </c>
      <c r="W18" s="449">
        <v>950.00799999999992</v>
      </c>
      <c r="X18" s="449">
        <v>845.50799999999992</v>
      </c>
      <c r="Y18" s="449">
        <v>1026.0079999999998</v>
      </c>
      <c r="Z18" s="449">
        <v>1001.0079999999999</v>
      </c>
      <c r="AA18" s="449">
        <v>677.13499999999999</v>
      </c>
      <c r="AB18" s="449">
        <v>1571.7850000000001</v>
      </c>
      <c r="AC18" s="449">
        <v>2137.2760000000003</v>
      </c>
      <c r="AD18" s="449">
        <v>2091.4349999999999</v>
      </c>
      <c r="AE18" s="449">
        <v>4406.0240000000003</v>
      </c>
      <c r="AF18" s="449">
        <v>4590.0129999999999</v>
      </c>
      <c r="AG18" s="449">
        <v>4361.6779999999999</v>
      </c>
      <c r="AH18" s="449">
        <v>5627.2780000000002</v>
      </c>
      <c r="AI18" s="449">
        <v>8205.5589999999993</v>
      </c>
      <c r="AJ18" s="449">
        <v>6036</v>
      </c>
      <c r="AK18" s="449">
        <v>13049.7</v>
      </c>
      <c r="AL18" s="449">
        <v>17010.702000000001</v>
      </c>
      <c r="AM18" s="449">
        <v>13588</v>
      </c>
      <c r="AN18" s="449">
        <v>27462</v>
      </c>
      <c r="AO18" s="449">
        <v>46559</v>
      </c>
      <c r="AP18" s="449">
        <v>68505</v>
      </c>
      <c r="AQ18" s="449">
        <v>88593</v>
      </c>
      <c r="AR18" s="449">
        <v>146874</v>
      </c>
      <c r="AS18" s="449">
        <v>178713</v>
      </c>
      <c r="AT18" s="449">
        <v>218720</v>
      </c>
      <c r="AU18" s="449">
        <v>300406</v>
      </c>
      <c r="AV18" s="449">
        <v>305015</v>
      </c>
      <c r="AW18" s="449">
        <v>348395</v>
      </c>
      <c r="AX18" s="450">
        <v>359921</v>
      </c>
    </row>
    <row r="19" spans="1:50" ht="13">
      <c r="A19" s="457" t="s">
        <v>770</v>
      </c>
      <c r="B19" s="449">
        <v>210.16300000000004</v>
      </c>
      <c r="C19" s="449">
        <v>197.10199999999998</v>
      </c>
      <c r="D19" s="449">
        <v>184.56300000000005</v>
      </c>
      <c r="E19" s="449">
        <v>155.19999999999999</v>
      </c>
      <c r="F19" s="449">
        <v>162.73200000000003</v>
      </c>
      <c r="G19" s="449">
        <v>160.29900000000001</v>
      </c>
      <c r="H19" s="449">
        <v>156.35900000000001</v>
      </c>
      <c r="I19" s="449">
        <v>157.9</v>
      </c>
      <c r="J19" s="449">
        <v>153.16999999999999</v>
      </c>
      <c r="K19" s="449">
        <v>213.80899999999997</v>
      </c>
      <c r="L19" s="449">
        <v>209.33</v>
      </c>
      <c r="M19" s="449">
        <v>203.41</v>
      </c>
      <c r="N19" s="449">
        <v>316.5</v>
      </c>
      <c r="O19" s="449">
        <v>305.411</v>
      </c>
      <c r="P19" s="449">
        <v>308.88</v>
      </c>
      <c r="Q19" s="449">
        <v>311.39999999999998</v>
      </c>
      <c r="R19" s="449">
        <v>336.50799999999998</v>
      </c>
      <c r="S19" s="449">
        <v>339.50799999999998</v>
      </c>
      <c r="T19" s="449">
        <v>356.25799999999998</v>
      </c>
      <c r="U19" s="449">
        <v>543.25799999999992</v>
      </c>
      <c r="V19" s="449">
        <v>596.25799999999992</v>
      </c>
      <c r="W19" s="449">
        <v>949.00799999999992</v>
      </c>
      <c r="X19" s="449">
        <v>835.50799999999992</v>
      </c>
      <c r="Y19" s="449">
        <v>972.00799999999992</v>
      </c>
      <c r="Z19" s="449">
        <v>971.00799999999992</v>
      </c>
      <c r="AA19" s="449">
        <v>676.13499999999999</v>
      </c>
      <c r="AB19" s="449">
        <v>1569.7850000000001</v>
      </c>
      <c r="AC19" s="449">
        <v>2137.2760000000003</v>
      </c>
      <c r="AD19" s="449">
        <v>2080.4349999999999</v>
      </c>
      <c r="AE19" s="449">
        <v>4377.0240000000003</v>
      </c>
      <c r="AF19" s="449">
        <v>4570.9459999999999</v>
      </c>
      <c r="AG19" s="449">
        <v>4325.17</v>
      </c>
      <c r="AH19" s="449">
        <v>5625.1980000000003</v>
      </c>
      <c r="AI19" s="449">
        <v>7040</v>
      </c>
      <c r="AJ19" s="449">
        <v>5968</v>
      </c>
      <c r="AK19" s="449">
        <v>13046.7</v>
      </c>
      <c r="AL19" s="449">
        <v>17001</v>
      </c>
      <c r="AM19" s="449">
        <v>12895</v>
      </c>
      <c r="AN19" s="449">
        <v>27418</v>
      </c>
      <c r="AO19" s="447">
        <v>46491</v>
      </c>
      <c r="AP19" s="447">
        <v>66887</v>
      </c>
      <c r="AQ19" s="447">
        <v>83455</v>
      </c>
      <c r="AR19" s="447">
        <v>98451</v>
      </c>
      <c r="AS19" s="447">
        <v>113366</v>
      </c>
      <c r="AT19" s="447">
        <v>130720</v>
      </c>
      <c r="AU19" s="447">
        <v>176731</v>
      </c>
      <c r="AV19" s="447">
        <v>184254</v>
      </c>
      <c r="AW19" s="447">
        <v>195482</v>
      </c>
      <c r="AX19" s="448">
        <v>208832</v>
      </c>
    </row>
    <row r="20" spans="1:5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0" ht="13">
      <c r="A21" s="446" t="s">
        <v>758</v>
      </c>
      <c r="B21" s="449">
        <v>641.09028403726336</v>
      </c>
      <c r="C21" s="449">
        <v>687.06142634367711</v>
      </c>
      <c r="D21" s="449">
        <v>688.38467356154968</v>
      </c>
      <c r="E21" s="449">
        <v>678.25486482216456</v>
      </c>
      <c r="F21" s="449">
        <v>716.02313740692966</v>
      </c>
      <c r="G21" s="449">
        <v>755.44243764666317</v>
      </c>
      <c r="H21" s="449">
        <v>790.70455167659622</v>
      </c>
      <c r="I21" s="449">
        <v>818.00385490010126</v>
      </c>
      <c r="J21" s="449">
        <v>874.37626215343403</v>
      </c>
      <c r="K21" s="449">
        <v>1018.4937890339603</v>
      </c>
      <c r="L21" s="449">
        <v>1082.3490798395383</v>
      </c>
      <c r="M21" s="449">
        <v>1081.7322415641356</v>
      </c>
      <c r="N21" s="449">
        <v>1432.2086209927945</v>
      </c>
      <c r="O21" s="449">
        <v>1500.3460910108463</v>
      </c>
      <c r="P21" s="449">
        <v>1502.5076896964226</v>
      </c>
      <c r="Q21" s="449">
        <v>1589.732913963333</v>
      </c>
      <c r="R21" s="449">
        <v>1715.3629359493798</v>
      </c>
      <c r="S21" s="449">
        <v>1801.0594684864268</v>
      </c>
      <c r="T21" s="449">
        <v>1953.2698487534847</v>
      </c>
      <c r="U21" s="449">
        <v>2377.9730329877652</v>
      </c>
      <c r="V21" s="449">
        <v>2764.0864545977738</v>
      </c>
      <c r="W21" s="449">
        <v>3589.3337871870244</v>
      </c>
      <c r="X21" s="449">
        <v>4013.5011745364795</v>
      </c>
      <c r="Y21" s="449">
        <v>4619.7773752720323</v>
      </c>
      <c r="Z21" s="449">
        <v>5229.8693316653043</v>
      </c>
      <c r="AA21" s="449">
        <v>5212.9576898674404</v>
      </c>
      <c r="AB21" s="449">
        <v>6917.4466578407373</v>
      </c>
      <c r="AC21" s="449">
        <v>9874.7103613671807</v>
      </c>
      <c r="AD21" s="449">
        <v>16903.776038328437</v>
      </c>
      <c r="AE21" s="449">
        <v>30078.527048666048</v>
      </c>
      <c r="AF21" s="449">
        <v>46620.301982025834</v>
      </c>
      <c r="AG21" s="449">
        <v>46579.393584183912</v>
      </c>
      <c r="AH21" s="449">
        <v>55304.834075910243</v>
      </c>
      <c r="AI21" s="449">
        <v>69918.402533594301</v>
      </c>
      <c r="AJ21" s="449">
        <v>85366.979992355627</v>
      </c>
      <c r="AK21" s="449">
        <v>112884.6703549034</v>
      </c>
      <c r="AL21" s="449">
        <v>135032.94766572778</v>
      </c>
      <c r="AM21" s="449">
        <v>171668.54043712799</v>
      </c>
      <c r="AN21" s="449">
        <v>233548.18447393787</v>
      </c>
      <c r="AO21" s="449">
        <v>505154.98906691762</v>
      </c>
      <c r="AP21" s="449">
        <v>433674.67083645234</v>
      </c>
      <c r="AQ21" s="449">
        <v>566124.57078670803</v>
      </c>
      <c r="AR21" s="449">
        <v>675939.84166111797</v>
      </c>
      <c r="AS21" s="449">
        <v>835033.12970755564</v>
      </c>
      <c r="AT21" s="449">
        <v>990257.65284369409</v>
      </c>
      <c r="AU21" s="449">
        <v>1211165.2440091397</v>
      </c>
      <c r="AV21" s="449">
        <v>1313457.2047269754</v>
      </c>
      <c r="AW21" s="449">
        <v>1409437.2577041825</v>
      </c>
      <c r="AX21" s="450">
        <v>1494203.7175020608</v>
      </c>
    </row>
    <row r="22" spans="1:5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</row>
    <row r="23" spans="1:50" ht="13">
      <c r="A23" s="446" t="s">
        <v>759</v>
      </c>
      <c r="B23" s="449">
        <v>381.83079379594415</v>
      </c>
      <c r="C23" s="449">
        <v>443.96230958951048</v>
      </c>
      <c r="D23" s="449">
        <v>482.00319986682206</v>
      </c>
      <c r="E23" s="449">
        <v>476.27678621336372</v>
      </c>
      <c r="F23" s="449">
        <v>508.11746719061955</v>
      </c>
      <c r="G23" s="449">
        <v>531.70257842146123</v>
      </c>
      <c r="H23" s="449">
        <v>566.00033381987566</v>
      </c>
      <c r="I23" s="449">
        <v>606.80933727929039</v>
      </c>
      <c r="J23" s="449">
        <v>644.09721429425997</v>
      </c>
      <c r="K23" s="449">
        <v>713.84305844014352</v>
      </c>
      <c r="L23" s="449">
        <v>776.05747717024917</v>
      </c>
      <c r="M23" s="449">
        <v>849.27487072658369</v>
      </c>
      <c r="N23" s="449">
        <v>1036.3773573873805</v>
      </c>
      <c r="O23" s="449">
        <v>1076.7971606056276</v>
      </c>
      <c r="P23" s="449">
        <v>993.41651555323506</v>
      </c>
      <c r="Q23" s="449">
        <v>1116.8479539803875</v>
      </c>
      <c r="R23" s="449">
        <v>1215.8885518977065</v>
      </c>
      <c r="S23" s="449">
        <v>1194.5497088026755</v>
      </c>
      <c r="T23" s="449">
        <v>1384.5901279003783</v>
      </c>
      <c r="U23" s="449">
        <v>1723.5579405606725</v>
      </c>
      <c r="V23" s="449">
        <v>2011.2064513457608</v>
      </c>
      <c r="W23" s="449">
        <v>2212.4859275843251</v>
      </c>
      <c r="X23" s="449">
        <v>2489.0739334840182</v>
      </c>
      <c r="Y23" s="449">
        <v>3020.1147965313176</v>
      </c>
      <c r="Z23" s="449">
        <v>3161.1275882783702</v>
      </c>
      <c r="AA23" s="449">
        <v>3545.9097293193859</v>
      </c>
      <c r="AB23" s="449">
        <v>4020.8947655101779</v>
      </c>
      <c r="AC23" s="449">
        <v>6338.4937627175432</v>
      </c>
      <c r="AD23" s="449">
        <v>13388.736685057134</v>
      </c>
      <c r="AE23" s="449">
        <v>21881.11787211143</v>
      </c>
      <c r="AF23" s="449">
        <v>35934.114482025834</v>
      </c>
      <c r="AG23" s="449">
        <v>37846.90058418391</v>
      </c>
      <c r="AH23" s="449">
        <v>45898.429575910253</v>
      </c>
      <c r="AI23" s="449">
        <v>63323.000533594306</v>
      </c>
      <c r="AJ23" s="449">
        <v>79288.050492355629</v>
      </c>
      <c r="AK23" s="449">
        <v>95617.796854903383</v>
      </c>
      <c r="AL23" s="449">
        <v>118616.79739605598</v>
      </c>
      <c r="AM23" s="449">
        <v>149508.54612827057</v>
      </c>
      <c r="AN23" s="449">
        <v>192564.89297393788</v>
      </c>
      <c r="AO23" s="449">
        <v>301685.98906691762</v>
      </c>
      <c r="AP23" s="449">
        <v>302464.67083645239</v>
      </c>
      <c r="AQ23" s="449">
        <v>387859.57078670798</v>
      </c>
      <c r="AR23" s="449">
        <v>492879.84166111791</v>
      </c>
      <c r="AS23" s="449">
        <v>619713.12970755564</v>
      </c>
      <c r="AT23" s="449">
        <v>760178.6528436942</v>
      </c>
      <c r="AU23" s="449">
        <v>862554.24400913971</v>
      </c>
      <c r="AV23" s="449">
        <v>938759.20472697541</v>
      </c>
      <c r="AW23" s="449">
        <v>1026278.2577041824</v>
      </c>
      <c r="AX23" s="450">
        <v>1136339.7175020608</v>
      </c>
    </row>
    <row r="24" spans="1:50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8"/>
    </row>
    <row r="25" spans="1:50" ht="13">
      <c r="A25" s="446" t="s">
        <v>760</v>
      </c>
      <c r="B25" s="449">
        <v>354.43105154616558</v>
      </c>
      <c r="C25" s="449">
        <v>409.04800112856572</v>
      </c>
      <c r="D25" s="449">
        <v>440.01191127568563</v>
      </c>
      <c r="E25" s="449">
        <v>436.69756956631119</v>
      </c>
      <c r="F25" s="449">
        <v>449.53273353035615</v>
      </c>
      <c r="G25" s="449">
        <v>467.642710136034</v>
      </c>
      <c r="H25" s="449">
        <v>503.62810323325385</v>
      </c>
      <c r="I25" s="449">
        <v>547.48982058931063</v>
      </c>
      <c r="J25" s="449">
        <v>581.33340896397704</v>
      </c>
      <c r="K25" s="449">
        <v>637.69962150412186</v>
      </c>
      <c r="L25" s="449">
        <v>687.53348106898738</v>
      </c>
      <c r="M25" s="449">
        <v>749.13256985861972</v>
      </c>
      <c r="N25" s="449">
        <v>911.94370213920024</v>
      </c>
      <c r="O25" s="449">
        <v>957.3805197384554</v>
      </c>
      <c r="P25" s="449">
        <v>901.30973510243757</v>
      </c>
      <c r="Q25" s="449">
        <v>988.70093383689505</v>
      </c>
      <c r="R25" s="449">
        <v>1065.3995470327143</v>
      </c>
      <c r="S25" s="449">
        <v>988.66771306221904</v>
      </c>
      <c r="T25" s="449">
        <v>1151.7282918410565</v>
      </c>
      <c r="U25" s="449">
        <v>1486.9653729198699</v>
      </c>
      <c r="V25" s="449">
        <v>1747.1118534322807</v>
      </c>
      <c r="W25" s="449">
        <v>1921.5957526137745</v>
      </c>
      <c r="X25" s="449">
        <v>2128.3296173403573</v>
      </c>
      <c r="Y25" s="449">
        <v>2552.7590325498822</v>
      </c>
      <c r="Z25" s="449">
        <v>2646.4825817429619</v>
      </c>
      <c r="AA25" s="449">
        <v>2980.5508069149964</v>
      </c>
      <c r="AB25" s="449">
        <v>3381.3281802090255</v>
      </c>
      <c r="AC25" s="449">
        <v>5337.2910190226012</v>
      </c>
      <c r="AD25" s="449">
        <v>8052.7769614729423</v>
      </c>
      <c r="AE25" s="449">
        <v>8414.4323207402376</v>
      </c>
      <c r="AF25" s="449">
        <v>18409.192482025832</v>
      </c>
      <c r="AG25" s="449">
        <v>24327.274584183906</v>
      </c>
      <c r="AH25" s="449">
        <v>28993.995575910249</v>
      </c>
      <c r="AI25" s="449">
        <v>39904.082533594308</v>
      </c>
      <c r="AJ25" s="449">
        <v>50772.780492355625</v>
      </c>
      <c r="AK25" s="449">
        <v>63904.359854903385</v>
      </c>
      <c r="AL25" s="449">
        <v>81975.489396055986</v>
      </c>
      <c r="AM25" s="449">
        <v>104849.57012827057</v>
      </c>
      <c r="AN25" s="449">
        <v>132222.30297393788</v>
      </c>
      <c r="AO25" s="449">
        <v>156656.98906691762</v>
      </c>
      <c r="AP25" s="449">
        <v>180340.67083645237</v>
      </c>
      <c r="AQ25" s="449">
        <v>238623.57078670798</v>
      </c>
      <c r="AR25" s="449">
        <v>308872.84166111791</v>
      </c>
      <c r="AS25" s="449">
        <v>405122.12970755564</v>
      </c>
      <c r="AT25" s="449">
        <v>516514.65284369414</v>
      </c>
      <c r="AU25" s="449">
        <v>582526.24400913971</v>
      </c>
      <c r="AV25" s="449">
        <v>647345.20472697541</v>
      </c>
      <c r="AW25" s="449">
        <v>722171.25770418241</v>
      </c>
      <c r="AX25" s="450">
        <v>797774.71750206093</v>
      </c>
    </row>
    <row r="26" spans="1:50" ht="13">
      <c r="A26" s="446" t="s">
        <v>761</v>
      </c>
      <c r="B26" s="449">
        <v>205.39670007110939</v>
      </c>
      <c r="C26" s="449">
        <v>217.92701524567414</v>
      </c>
      <c r="D26" s="449">
        <v>268.70166113763366</v>
      </c>
      <c r="E26" s="449">
        <v>271.12987590232632</v>
      </c>
      <c r="F26" s="449">
        <v>280.1410928363012</v>
      </c>
      <c r="G26" s="449">
        <v>297.53425464560883</v>
      </c>
      <c r="H26" s="449">
        <v>317.59724674130473</v>
      </c>
      <c r="I26" s="449">
        <v>320.6471889181048</v>
      </c>
      <c r="J26" s="449">
        <v>356.87160077218471</v>
      </c>
      <c r="K26" s="449">
        <v>377.65224210569625</v>
      </c>
      <c r="L26" s="449">
        <v>403.32517616670356</v>
      </c>
      <c r="M26" s="449">
        <v>418.18583086213999</v>
      </c>
      <c r="N26" s="449">
        <v>514.42606776425907</v>
      </c>
      <c r="O26" s="449">
        <v>551.03603339735116</v>
      </c>
      <c r="P26" s="449">
        <v>579.15712231036457</v>
      </c>
      <c r="Q26" s="449">
        <v>606.91216448180376</v>
      </c>
      <c r="R26" s="449">
        <v>678.16281156565492</v>
      </c>
      <c r="S26" s="449">
        <v>692.0258425173804</v>
      </c>
      <c r="T26" s="449">
        <v>714.95941314690174</v>
      </c>
      <c r="U26" s="449">
        <v>797.08779444804509</v>
      </c>
      <c r="V26" s="449">
        <v>956.52550776493104</v>
      </c>
      <c r="W26" s="449">
        <v>1076.3871953020102</v>
      </c>
      <c r="X26" s="449">
        <v>1141.2768033520883</v>
      </c>
      <c r="Y26" s="449">
        <v>1446.9746250235137</v>
      </c>
      <c r="Z26" s="449">
        <v>1600.0252277537884</v>
      </c>
      <c r="AA26" s="449">
        <v>1863.3843809277791</v>
      </c>
      <c r="AB26" s="449">
        <v>2312.3918398460173</v>
      </c>
      <c r="AC26" s="449">
        <v>3208.6370797282998</v>
      </c>
      <c r="AD26" s="449">
        <v>4861.9814289752521</v>
      </c>
      <c r="AE26" s="449">
        <v>5850.4205938313089</v>
      </c>
      <c r="AF26" s="449">
        <v>13511.37</v>
      </c>
      <c r="AG26" s="449">
        <v>17519.25</v>
      </c>
      <c r="AH26" s="449">
        <v>21009.25</v>
      </c>
      <c r="AI26" s="449">
        <v>28400.5</v>
      </c>
      <c r="AJ26" s="449">
        <v>35692.322999999997</v>
      </c>
      <c r="AK26" s="449">
        <v>45074.811000000002</v>
      </c>
      <c r="AL26" s="449">
        <v>55368.25</v>
      </c>
      <c r="AM26" s="449">
        <v>72140.75</v>
      </c>
      <c r="AN26" s="449">
        <v>90851.316000000006</v>
      </c>
      <c r="AO26" s="449">
        <v>115978</v>
      </c>
      <c r="AP26" s="449">
        <v>141186</v>
      </c>
      <c r="AQ26" s="449">
        <v>192105</v>
      </c>
      <c r="AR26" s="449">
        <v>229017</v>
      </c>
      <c r="AS26" s="449">
        <v>313857</v>
      </c>
      <c r="AT26" s="449">
        <v>387968</v>
      </c>
      <c r="AU26" s="449">
        <v>455142</v>
      </c>
      <c r="AV26" s="449">
        <v>499890</v>
      </c>
      <c r="AW26" s="449">
        <v>541103</v>
      </c>
      <c r="AX26" s="450">
        <v>599532</v>
      </c>
    </row>
    <row r="27" spans="1:50" ht="13">
      <c r="A27" s="446" t="s">
        <v>762</v>
      </c>
      <c r="B27" s="449">
        <v>149.03435147505618</v>
      </c>
      <c r="C27" s="449">
        <v>191.12098588289157</v>
      </c>
      <c r="D27" s="449">
        <v>171.31025013805197</v>
      </c>
      <c r="E27" s="449">
        <v>165.56769366398487</v>
      </c>
      <c r="F27" s="449">
        <v>169.39164069405496</v>
      </c>
      <c r="G27" s="449">
        <v>170.10845549042517</v>
      </c>
      <c r="H27" s="449">
        <v>186.03085649194912</v>
      </c>
      <c r="I27" s="449">
        <v>226.84263167120582</v>
      </c>
      <c r="J27" s="449">
        <v>224.46180819179233</v>
      </c>
      <c r="K27" s="449">
        <v>260.04737939842562</v>
      </c>
      <c r="L27" s="449">
        <v>284.20830490228383</v>
      </c>
      <c r="M27" s="449">
        <v>330.94673899647972</v>
      </c>
      <c r="N27" s="449">
        <v>397.51763437494117</v>
      </c>
      <c r="O27" s="449">
        <v>406.34448634110424</v>
      </c>
      <c r="P27" s="449">
        <v>322.152612792073</v>
      </c>
      <c r="Q27" s="449">
        <v>381.78876935509129</v>
      </c>
      <c r="R27" s="449">
        <v>387.23673546705936</v>
      </c>
      <c r="S27" s="449">
        <v>296.64187054483864</v>
      </c>
      <c r="T27" s="449">
        <v>436.76887869415475</v>
      </c>
      <c r="U27" s="449">
        <v>689.87757847182479</v>
      </c>
      <c r="V27" s="449">
        <v>790.58634566734963</v>
      </c>
      <c r="W27" s="449">
        <v>845.20855731176425</v>
      </c>
      <c r="X27" s="449">
        <v>987.05281398826901</v>
      </c>
      <c r="Y27" s="449">
        <v>1105.7844075263686</v>
      </c>
      <c r="Z27" s="449">
        <v>1046.4573539891735</v>
      </c>
      <c r="AA27" s="449">
        <v>1117.1664259872173</v>
      </c>
      <c r="AB27" s="449">
        <v>1068.9363403630082</v>
      </c>
      <c r="AC27" s="449">
        <v>2128.6539392943014</v>
      </c>
      <c r="AD27" s="449">
        <v>3190.7955324976901</v>
      </c>
      <c r="AE27" s="449">
        <v>2564.0117269089287</v>
      </c>
      <c r="AF27" s="449">
        <v>4897.8224820258311</v>
      </c>
      <c r="AG27" s="449">
        <v>6808.024584183906</v>
      </c>
      <c r="AH27" s="449">
        <v>7984.7455759102486</v>
      </c>
      <c r="AI27" s="449">
        <v>11503.582533594308</v>
      </c>
      <c r="AJ27" s="449">
        <v>15080.457492355628</v>
      </c>
      <c r="AK27" s="449">
        <v>18829.548854903383</v>
      </c>
      <c r="AL27" s="449">
        <v>26607.239396055986</v>
      </c>
      <c r="AM27" s="449">
        <v>32708.82012827057</v>
      </c>
      <c r="AN27" s="449">
        <v>41370.986973937877</v>
      </c>
      <c r="AO27" s="449">
        <v>40678.989066917624</v>
      </c>
      <c r="AP27" s="449">
        <v>39154.670836452366</v>
      </c>
      <c r="AQ27" s="449">
        <v>46518.570786707976</v>
      </c>
      <c r="AR27" s="449">
        <v>79855.841661117913</v>
      </c>
      <c r="AS27" s="449">
        <v>91265.129707555636</v>
      </c>
      <c r="AT27" s="449">
        <v>128546.65284369414</v>
      </c>
      <c r="AU27" s="449">
        <v>127384.24400913971</v>
      </c>
      <c r="AV27" s="449">
        <v>147455.20472697541</v>
      </c>
      <c r="AW27" s="449">
        <v>181068.25770418247</v>
      </c>
      <c r="AX27" s="450">
        <v>198242.71750206093</v>
      </c>
    </row>
    <row r="28" spans="1:50" ht="13">
      <c r="A28" s="446" t="s">
        <v>763</v>
      </c>
      <c r="B28" s="449">
        <v>0</v>
      </c>
      <c r="C28" s="449">
        <v>0</v>
      </c>
      <c r="D28" s="449">
        <v>0</v>
      </c>
      <c r="E28" s="449">
        <v>1</v>
      </c>
      <c r="F28" s="449">
        <v>1</v>
      </c>
      <c r="G28" s="449">
        <v>1</v>
      </c>
      <c r="H28" s="449">
        <v>1</v>
      </c>
      <c r="I28" s="449">
        <v>1</v>
      </c>
      <c r="J28" s="449">
        <v>1</v>
      </c>
      <c r="K28" s="449">
        <v>4</v>
      </c>
      <c r="L28" s="449">
        <v>4</v>
      </c>
      <c r="M28" s="449">
        <v>4</v>
      </c>
      <c r="N28" s="449">
        <v>4</v>
      </c>
      <c r="O28" s="449">
        <v>4</v>
      </c>
      <c r="P28" s="449">
        <v>4</v>
      </c>
      <c r="Q28" s="449">
        <v>4</v>
      </c>
      <c r="R28" s="449">
        <v>4</v>
      </c>
      <c r="S28" s="449">
        <v>4</v>
      </c>
      <c r="T28" s="449">
        <v>4</v>
      </c>
      <c r="U28" s="449">
        <v>2</v>
      </c>
      <c r="V28" s="449">
        <v>3</v>
      </c>
      <c r="W28" s="449">
        <v>2</v>
      </c>
      <c r="X28" s="449">
        <v>5</v>
      </c>
      <c r="Y28" s="449">
        <v>4</v>
      </c>
      <c r="Z28" s="449">
        <v>2</v>
      </c>
      <c r="AA28" s="449">
        <v>2</v>
      </c>
      <c r="AB28" s="449">
        <v>24</v>
      </c>
      <c r="AC28" s="449">
        <v>14</v>
      </c>
      <c r="AD28" s="449">
        <v>15</v>
      </c>
      <c r="AE28" s="449">
        <v>32</v>
      </c>
      <c r="AF28" s="449">
        <v>10</v>
      </c>
      <c r="AG28" s="449">
        <v>78</v>
      </c>
      <c r="AH28" s="449">
        <v>67.436000000000007</v>
      </c>
      <c r="AI28" s="449">
        <v>42</v>
      </c>
      <c r="AJ28" s="449">
        <v>395.82100000000003</v>
      </c>
      <c r="AK28" s="449">
        <v>1186.93</v>
      </c>
      <c r="AL28" s="449">
        <v>1331</v>
      </c>
      <c r="AM28" s="449">
        <v>1661</v>
      </c>
      <c r="AN28" s="449">
        <v>2558.1</v>
      </c>
      <c r="AO28" s="449">
        <v>2480</v>
      </c>
      <c r="AP28" s="449">
        <v>3499</v>
      </c>
      <c r="AQ28" s="449">
        <v>8681</v>
      </c>
      <c r="AR28" s="449">
        <v>5979</v>
      </c>
      <c r="AS28" s="449">
        <v>7417</v>
      </c>
      <c r="AT28" s="449">
        <v>6099</v>
      </c>
      <c r="AU28" s="449">
        <v>7494</v>
      </c>
      <c r="AV28" s="449">
        <v>7823</v>
      </c>
      <c r="AW28" s="449">
        <v>5217</v>
      </c>
      <c r="AX28" s="450">
        <v>5437</v>
      </c>
    </row>
    <row r="29" spans="1:50" ht="13">
      <c r="A29" s="446" t="s">
        <v>764</v>
      </c>
      <c r="B29" s="449">
        <v>0</v>
      </c>
      <c r="C29" s="449">
        <v>0</v>
      </c>
      <c r="D29" s="449">
        <v>0</v>
      </c>
      <c r="E29" s="449">
        <v>0</v>
      </c>
      <c r="F29" s="449">
        <v>0</v>
      </c>
      <c r="G29" s="449">
        <v>0</v>
      </c>
      <c r="H29" s="449">
        <v>0</v>
      </c>
      <c r="I29" s="449">
        <v>0</v>
      </c>
      <c r="J29" s="449">
        <v>0</v>
      </c>
      <c r="K29" s="449">
        <v>0</v>
      </c>
      <c r="L29" s="449">
        <v>0</v>
      </c>
      <c r="M29" s="449">
        <v>0</v>
      </c>
      <c r="N29" s="449">
        <v>0</v>
      </c>
      <c r="O29" s="449">
        <v>1</v>
      </c>
      <c r="P29" s="449">
        <v>0</v>
      </c>
      <c r="Q29" s="449">
        <v>0</v>
      </c>
      <c r="R29" s="449">
        <v>2</v>
      </c>
      <c r="S29" s="449">
        <v>10</v>
      </c>
      <c r="T29" s="449">
        <v>11</v>
      </c>
      <c r="U29" s="449">
        <v>11</v>
      </c>
      <c r="V29" s="449">
        <v>33</v>
      </c>
      <c r="W29" s="449">
        <v>32</v>
      </c>
      <c r="X29" s="449">
        <v>19</v>
      </c>
      <c r="Y29" s="449">
        <v>73</v>
      </c>
      <c r="Z29" s="449">
        <v>96</v>
      </c>
      <c r="AA29" s="449">
        <v>141</v>
      </c>
      <c r="AB29" s="449">
        <v>51</v>
      </c>
      <c r="AC29" s="449">
        <v>25</v>
      </c>
      <c r="AD29" s="449">
        <v>91</v>
      </c>
      <c r="AE29" s="449">
        <v>112</v>
      </c>
      <c r="AF29" s="449">
        <v>338</v>
      </c>
      <c r="AG29" s="449">
        <v>305</v>
      </c>
      <c r="AH29" s="449">
        <v>591.27200000000005</v>
      </c>
      <c r="AI29" s="449">
        <v>920.67899999999997</v>
      </c>
      <c r="AJ29" s="449">
        <v>1237.789</v>
      </c>
      <c r="AK29" s="449">
        <v>1381</v>
      </c>
      <c r="AL29" s="449">
        <v>1512</v>
      </c>
      <c r="AM29" s="449">
        <v>1745</v>
      </c>
      <c r="AN29" s="449">
        <v>2050</v>
      </c>
      <c r="AO29" s="449">
        <v>34987</v>
      </c>
      <c r="AP29" s="449">
        <v>44655</v>
      </c>
      <c r="AQ29" s="449">
        <v>47106</v>
      </c>
      <c r="AR29" s="449">
        <v>47841</v>
      </c>
      <c r="AS29" s="449">
        <v>40983</v>
      </c>
      <c r="AT29" s="449">
        <v>36004</v>
      </c>
      <c r="AU29" s="449">
        <v>33510</v>
      </c>
      <c r="AV29" s="449">
        <v>21546</v>
      </c>
      <c r="AW29" s="449">
        <v>34281</v>
      </c>
      <c r="AX29" s="450">
        <v>36906</v>
      </c>
    </row>
    <row r="30" spans="1:50" ht="13">
      <c r="A30" s="451" t="s">
        <v>755</v>
      </c>
      <c r="B30" s="449">
        <v>27.399742249778569</v>
      </c>
      <c r="C30" s="449">
        <v>34.914308460944795</v>
      </c>
      <c r="D30" s="449">
        <v>41.991288591136417</v>
      </c>
      <c r="E30" s="449">
        <v>38.579216647052526</v>
      </c>
      <c r="F30" s="449">
        <v>57.584733660263424</v>
      </c>
      <c r="G30" s="449">
        <v>63.059868285427235</v>
      </c>
      <c r="H30" s="449">
        <v>61.372230586621789</v>
      </c>
      <c r="I30" s="449">
        <v>58.31951668997975</v>
      </c>
      <c r="J30" s="449">
        <v>61.763805330282985</v>
      </c>
      <c r="K30" s="449">
        <v>72.1434369360217</v>
      </c>
      <c r="L30" s="449">
        <v>84.523996101261829</v>
      </c>
      <c r="M30" s="449">
        <v>96.142300867963954</v>
      </c>
      <c r="N30" s="449">
        <v>120.43365524818023</v>
      </c>
      <c r="O30" s="449">
        <v>114.41664086717222</v>
      </c>
      <c r="P30" s="449">
        <v>88.106780450797544</v>
      </c>
      <c r="Q30" s="449">
        <v>124.14702014349243</v>
      </c>
      <c r="R30" s="449">
        <v>144.4890048649923</v>
      </c>
      <c r="S30" s="449">
        <v>191.88199574045632</v>
      </c>
      <c r="T30" s="449">
        <v>217.86183605932192</v>
      </c>
      <c r="U30" s="449">
        <v>223.59256764080263</v>
      </c>
      <c r="V30" s="449">
        <v>228.09459791348002</v>
      </c>
      <c r="W30" s="449">
        <v>256.89017497055045</v>
      </c>
      <c r="X30" s="449">
        <v>336.74431614366085</v>
      </c>
      <c r="Y30" s="449">
        <v>390.35576398143519</v>
      </c>
      <c r="Z30" s="449">
        <v>416.64500653540847</v>
      </c>
      <c r="AA30" s="449">
        <v>422.35892240438926</v>
      </c>
      <c r="AB30" s="449">
        <v>564.56658530115226</v>
      </c>
      <c r="AC30" s="449">
        <v>962.20274369494166</v>
      </c>
      <c r="AD30" s="449">
        <v>5229.9597235841929</v>
      </c>
      <c r="AE30" s="449">
        <v>13322.685551371193</v>
      </c>
      <c r="AF30" s="449">
        <v>17176.921999999999</v>
      </c>
      <c r="AG30" s="449">
        <v>13136.626000000002</v>
      </c>
      <c r="AH30" s="449">
        <v>16245.725999999999</v>
      </c>
      <c r="AI30" s="449">
        <v>22456.239000000001</v>
      </c>
      <c r="AJ30" s="449">
        <v>26881.66</v>
      </c>
      <c r="AK30" s="449">
        <v>29145.507000000001</v>
      </c>
      <c r="AL30" s="449">
        <v>33798.307999999997</v>
      </c>
      <c r="AM30" s="449">
        <v>41252.976000000002</v>
      </c>
      <c r="AN30" s="449">
        <v>55734.49</v>
      </c>
      <c r="AO30" s="449">
        <v>107562</v>
      </c>
      <c r="AP30" s="449">
        <v>73970</v>
      </c>
      <c r="AQ30" s="449">
        <v>93449</v>
      </c>
      <c r="AR30" s="449">
        <v>130187</v>
      </c>
      <c r="AS30" s="449">
        <v>166191</v>
      </c>
      <c r="AT30" s="449">
        <v>201561</v>
      </c>
      <c r="AU30" s="449">
        <v>239024</v>
      </c>
      <c r="AV30" s="449">
        <v>262045</v>
      </c>
      <c r="AW30" s="449">
        <v>264609</v>
      </c>
      <c r="AX30" s="450">
        <v>296222</v>
      </c>
    </row>
    <row r="31" spans="1:50" ht="13">
      <c r="A31" s="457" t="s">
        <v>770</v>
      </c>
      <c r="B31" s="449">
        <v>4.7460000000000004</v>
      </c>
      <c r="C31" s="449">
        <v>8.1199999999999992</v>
      </c>
      <c r="D31" s="449">
        <v>6.274</v>
      </c>
      <c r="E31" s="449">
        <v>4.8879999999999999</v>
      </c>
      <c r="F31" s="449">
        <v>14.833</v>
      </c>
      <c r="G31" s="449">
        <v>8.9459999999999997</v>
      </c>
      <c r="H31" s="449">
        <v>11.315999999999999</v>
      </c>
      <c r="I31" s="449">
        <v>10.64</v>
      </c>
      <c r="J31" s="449">
        <v>11.063000000000001</v>
      </c>
      <c r="K31" s="449">
        <v>13.027999999999999</v>
      </c>
      <c r="L31" s="449">
        <v>14.962</v>
      </c>
      <c r="M31" s="449">
        <v>12.04</v>
      </c>
      <c r="N31" s="449">
        <v>39.912999999999997</v>
      </c>
      <c r="O31" s="449">
        <v>43.701999999999998</v>
      </c>
      <c r="P31" s="449">
        <v>20.523</v>
      </c>
      <c r="Q31" s="449">
        <v>21.5</v>
      </c>
      <c r="R31" s="449">
        <v>24.928000000000001</v>
      </c>
      <c r="S31" s="449">
        <v>19.644000000000002</v>
      </c>
      <c r="T31" s="449">
        <v>28.954000000000004</v>
      </c>
      <c r="U31" s="449">
        <v>28.737000000000002</v>
      </c>
      <c r="V31" s="449">
        <v>28.179000000000002</v>
      </c>
      <c r="W31" s="449">
        <v>34.408999999999999</v>
      </c>
      <c r="X31" s="449">
        <v>38.819000000000003</v>
      </c>
      <c r="Y31" s="449">
        <v>52.06</v>
      </c>
      <c r="Z31" s="449">
        <v>56.756</v>
      </c>
      <c r="AA31" s="449">
        <v>97.591999999999999</v>
      </c>
      <c r="AB31" s="449">
        <v>343.096</v>
      </c>
      <c r="AC31" s="449">
        <v>513.86899999999991</v>
      </c>
      <c r="AD31" s="449">
        <v>460.69</v>
      </c>
      <c r="AE31" s="449">
        <v>539.46500000000003</v>
      </c>
      <c r="AF31" s="449">
        <v>1580.84</v>
      </c>
      <c r="AG31" s="449">
        <v>979.95800000000008</v>
      </c>
      <c r="AH31" s="449">
        <v>938.89800000000014</v>
      </c>
      <c r="AI31" s="449">
        <v>1324.7049999999999</v>
      </c>
      <c r="AJ31" s="449">
        <v>2031.2420000000002</v>
      </c>
      <c r="AK31" s="449">
        <v>1855.5550000000001</v>
      </c>
      <c r="AL31" s="449">
        <v>1766.0450000000001</v>
      </c>
      <c r="AM31" s="449">
        <v>1930.598</v>
      </c>
      <c r="AN31" s="449">
        <v>2732.5369999999998</v>
      </c>
      <c r="AO31" s="449">
        <v>48202</v>
      </c>
      <c r="AP31" s="449">
        <v>3638</v>
      </c>
      <c r="AQ31" s="449">
        <v>6664</v>
      </c>
      <c r="AR31" s="449">
        <v>7805</v>
      </c>
      <c r="AS31" s="449">
        <v>11332</v>
      </c>
      <c r="AT31" s="449">
        <v>10956</v>
      </c>
      <c r="AU31" s="449">
        <v>22028</v>
      </c>
      <c r="AV31" s="449">
        <v>7912</v>
      </c>
      <c r="AW31" s="449">
        <v>24130</v>
      </c>
      <c r="AX31" s="450">
        <v>18575</v>
      </c>
    </row>
    <row r="32" spans="1:50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8"/>
    </row>
    <row r="33" spans="1:50" ht="13">
      <c r="A33" s="446" t="s">
        <v>765</v>
      </c>
      <c r="B33" s="449">
        <v>206.79499999999999</v>
      </c>
      <c r="C33" s="449">
        <v>202.506</v>
      </c>
      <c r="D33" s="449">
        <v>204.44800000000004</v>
      </c>
      <c r="E33" s="449">
        <v>168.20500000000001</v>
      </c>
      <c r="F33" s="449">
        <v>193.315</v>
      </c>
      <c r="G33" s="449">
        <v>205.40200000000002</v>
      </c>
      <c r="H33" s="449">
        <v>205.60822110130306</v>
      </c>
      <c r="I33" s="449">
        <v>228.51622110130307</v>
      </c>
      <c r="J33" s="449">
        <v>214.1232211013031</v>
      </c>
      <c r="K33" s="449">
        <v>289.12022110130312</v>
      </c>
      <c r="L33" s="449">
        <v>274.38622110130308</v>
      </c>
      <c r="M33" s="449">
        <v>241.29122110130308</v>
      </c>
      <c r="N33" s="449">
        <v>324.65422110130311</v>
      </c>
      <c r="O33" s="449">
        <v>332.76422110130312</v>
      </c>
      <c r="P33" s="449">
        <v>409.11075073560323</v>
      </c>
      <c r="Q33" s="449">
        <v>447.10799495586377</v>
      </c>
      <c r="R33" s="449">
        <v>429.6619949558638</v>
      </c>
      <c r="S33" s="449">
        <v>421.17334972677594</v>
      </c>
      <c r="T33" s="449">
        <v>421.62834972677592</v>
      </c>
      <c r="U33" s="449">
        <v>599.95034972677581</v>
      </c>
      <c r="V33" s="449">
        <v>827.29734972677579</v>
      </c>
      <c r="W33" s="449">
        <v>1162.9851004623793</v>
      </c>
      <c r="X33" s="449">
        <v>961.43210046237903</v>
      </c>
      <c r="Y33" s="449">
        <v>997.64810046237903</v>
      </c>
      <c r="Z33" s="449">
        <v>1026.4421004623791</v>
      </c>
      <c r="AA33" s="449">
        <v>935.471</v>
      </c>
      <c r="AB33" s="449">
        <v>889.15299999999991</v>
      </c>
      <c r="AC33" s="449">
        <v>1758.644</v>
      </c>
      <c r="AD33" s="449">
        <v>1846.8029999999999</v>
      </c>
      <c r="AE33" s="449">
        <v>2784.7883717579252</v>
      </c>
      <c r="AF33" s="449">
        <v>4410.6579999999994</v>
      </c>
      <c r="AG33" s="449">
        <v>5265.1660000000002</v>
      </c>
      <c r="AH33" s="449">
        <v>6319.0479999999998</v>
      </c>
      <c r="AI33" s="449">
        <v>9200.6589999999997</v>
      </c>
      <c r="AJ33" s="449">
        <v>12276.899000000001</v>
      </c>
      <c r="AK33" s="449">
        <v>13861.539000000001</v>
      </c>
      <c r="AL33" s="449">
        <v>17381.587372185648</v>
      </c>
      <c r="AM33" s="449">
        <v>19042.296013857995</v>
      </c>
      <c r="AN33" s="449">
        <v>26591.641000000003</v>
      </c>
      <c r="AO33" s="449">
        <v>163585</v>
      </c>
      <c r="AP33" s="449">
        <v>64201</v>
      </c>
      <c r="AQ33" s="449">
        <v>78535</v>
      </c>
      <c r="AR33" s="449">
        <v>139373</v>
      </c>
      <c r="AS33" s="449">
        <v>229796</v>
      </c>
      <c r="AT33" s="449">
        <v>250926</v>
      </c>
      <c r="AU33" s="449">
        <v>341220</v>
      </c>
      <c r="AV33" s="449">
        <v>346390</v>
      </c>
      <c r="AW33" s="449">
        <v>329862.4805556963</v>
      </c>
      <c r="AX33" s="450">
        <v>389284.90493934666</v>
      </c>
    </row>
    <row r="34" spans="1:5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50"/>
    </row>
    <row r="35" spans="1:50" ht="13">
      <c r="A35" s="446" t="s">
        <v>766</v>
      </c>
      <c r="B35" s="449">
        <v>206.78700000000003</v>
      </c>
      <c r="C35" s="449">
        <v>193.006</v>
      </c>
      <c r="D35" s="449">
        <v>193.97800000000004</v>
      </c>
      <c r="E35" s="449">
        <v>166.92500000000001</v>
      </c>
      <c r="F35" s="449">
        <v>190.88700000000003</v>
      </c>
      <c r="G35" s="449">
        <v>189.12300000000002</v>
      </c>
      <c r="H35" s="449">
        <v>198.09222110130307</v>
      </c>
      <c r="I35" s="449">
        <v>203.22622110130308</v>
      </c>
      <c r="J35" s="449">
        <v>190.65622110130309</v>
      </c>
      <c r="K35" s="449">
        <v>261.20222110130311</v>
      </c>
      <c r="L35" s="449">
        <v>260.73222110130308</v>
      </c>
      <c r="M35" s="449">
        <v>241.29122110130308</v>
      </c>
      <c r="N35" s="449">
        <v>324.65422110130311</v>
      </c>
      <c r="O35" s="449">
        <v>332.76422110130312</v>
      </c>
      <c r="P35" s="449">
        <v>409.11075073560323</v>
      </c>
      <c r="Q35" s="449">
        <v>447.10799495586377</v>
      </c>
      <c r="R35" s="449">
        <v>428.6619949558638</v>
      </c>
      <c r="S35" s="449">
        <v>415.17334972677594</v>
      </c>
      <c r="T35" s="449">
        <v>403.62834972677592</v>
      </c>
      <c r="U35" s="449">
        <v>587.95034972677581</v>
      </c>
      <c r="V35" s="449">
        <v>789.29734972677579</v>
      </c>
      <c r="W35" s="449">
        <v>1132.9851004623793</v>
      </c>
      <c r="X35" s="449">
        <v>957.43210046237903</v>
      </c>
      <c r="Y35" s="449">
        <v>993.64810046237903</v>
      </c>
      <c r="Z35" s="449">
        <v>1026.4421004623791</v>
      </c>
      <c r="AA35" s="449">
        <v>907.471</v>
      </c>
      <c r="AB35" s="449">
        <v>871.15299999999991</v>
      </c>
      <c r="AC35" s="449">
        <v>1387.644</v>
      </c>
      <c r="AD35" s="449">
        <v>1436.8029999999999</v>
      </c>
      <c r="AE35" s="449">
        <v>2684.7883717579252</v>
      </c>
      <c r="AF35" s="449">
        <v>3819.6579999999999</v>
      </c>
      <c r="AG35" s="449">
        <v>4829.1660000000002</v>
      </c>
      <c r="AH35" s="449">
        <v>5934.0479999999998</v>
      </c>
      <c r="AI35" s="449">
        <v>8880.6589999999997</v>
      </c>
      <c r="AJ35" s="449">
        <v>11871.899000000001</v>
      </c>
      <c r="AK35" s="449">
        <v>12890.539000000001</v>
      </c>
      <c r="AL35" s="449">
        <v>15804.587372185648</v>
      </c>
      <c r="AM35" s="449">
        <v>15424.296013857993</v>
      </c>
      <c r="AN35" s="449">
        <v>21407.641000000003</v>
      </c>
      <c r="AO35" s="449">
        <v>32372</v>
      </c>
      <c r="AP35" s="449">
        <v>48007</v>
      </c>
      <c r="AQ35" s="449">
        <v>63990</v>
      </c>
      <c r="AR35" s="449">
        <v>74423</v>
      </c>
      <c r="AS35" s="449">
        <v>107257</v>
      </c>
      <c r="AT35" s="449">
        <v>122435</v>
      </c>
      <c r="AU35" s="449">
        <v>167167</v>
      </c>
      <c r="AV35" s="449">
        <v>170722</v>
      </c>
      <c r="AW35" s="449">
        <v>190956.48055569633</v>
      </c>
      <c r="AX35" s="450">
        <v>214661.90493934666</v>
      </c>
    </row>
    <row r="36" spans="1:50" ht="13">
      <c r="A36" s="446" t="s">
        <v>757</v>
      </c>
      <c r="B36" s="449">
        <v>8.0000000000000002E-3</v>
      </c>
      <c r="C36" s="449">
        <v>9.5</v>
      </c>
      <c r="D36" s="449">
        <v>10.47</v>
      </c>
      <c r="E36" s="449">
        <v>1.28</v>
      </c>
      <c r="F36" s="449">
        <v>2.4279999999999999</v>
      </c>
      <c r="G36" s="449">
        <v>16.279</v>
      </c>
      <c r="H36" s="449">
        <v>7.516</v>
      </c>
      <c r="I36" s="449">
        <v>25.29</v>
      </c>
      <c r="J36" s="449">
        <v>23.466999999999999</v>
      </c>
      <c r="K36" s="449">
        <v>27.917999999999999</v>
      </c>
      <c r="L36" s="449">
        <v>13.654</v>
      </c>
      <c r="M36" s="449">
        <v>0</v>
      </c>
      <c r="N36" s="449">
        <v>0</v>
      </c>
      <c r="O36" s="449">
        <v>0</v>
      </c>
      <c r="P36" s="449">
        <v>0</v>
      </c>
      <c r="Q36" s="449">
        <v>0</v>
      </c>
      <c r="R36" s="449">
        <v>1</v>
      </c>
      <c r="S36" s="449">
        <v>6</v>
      </c>
      <c r="T36" s="449">
        <v>18</v>
      </c>
      <c r="U36" s="449">
        <v>12</v>
      </c>
      <c r="V36" s="449">
        <v>38</v>
      </c>
      <c r="W36" s="449">
        <v>30</v>
      </c>
      <c r="X36" s="449">
        <v>4</v>
      </c>
      <c r="Y36" s="449">
        <v>4</v>
      </c>
      <c r="Z36" s="449">
        <v>0</v>
      </c>
      <c r="AA36" s="449">
        <v>28</v>
      </c>
      <c r="AB36" s="449">
        <v>18</v>
      </c>
      <c r="AC36" s="449">
        <v>371</v>
      </c>
      <c r="AD36" s="449">
        <v>410</v>
      </c>
      <c r="AE36" s="449">
        <v>100</v>
      </c>
      <c r="AF36" s="449">
        <v>591</v>
      </c>
      <c r="AG36" s="449">
        <v>436</v>
      </c>
      <c r="AH36" s="449">
        <v>385</v>
      </c>
      <c r="AI36" s="449">
        <v>320</v>
      </c>
      <c r="AJ36" s="449">
        <v>405</v>
      </c>
      <c r="AK36" s="449">
        <v>971</v>
      </c>
      <c r="AL36" s="449">
        <v>1577</v>
      </c>
      <c r="AM36" s="449">
        <v>3618</v>
      </c>
      <c r="AN36" s="449">
        <v>5184</v>
      </c>
      <c r="AO36" s="449">
        <v>131213</v>
      </c>
      <c r="AP36" s="449">
        <v>16194</v>
      </c>
      <c r="AQ36" s="449">
        <v>14545</v>
      </c>
      <c r="AR36" s="449">
        <v>64950</v>
      </c>
      <c r="AS36" s="449">
        <v>122539</v>
      </c>
      <c r="AT36" s="449">
        <v>128491</v>
      </c>
      <c r="AU36" s="449">
        <v>174053</v>
      </c>
      <c r="AV36" s="449">
        <v>175668</v>
      </c>
      <c r="AW36" s="449">
        <v>138906</v>
      </c>
      <c r="AX36" s="450">
        <v>174623</v>
      </c>
    </row>
    <row r="37" spans="1:50" ht="13">
      <c r="A37" s="457" t="s">
        <v>770</v>
      </c>
      <c r="B37" s="449">
        <v>0</v>
      </c>
      <c r="C37" s="449">
        <v>9.4529999999999994</v>
      </c>
      <c r="D37" s="449">
        <v>10.414999999999999</v>
      </c>
      <c r="E37" s="449">
        <v>1.0549999999999999</v>
      </c>
      <c r="F37" s="449">
        <v>1.978</v>
      </c>
      <c r="G37" s="449">
        <v>15.512</v>
      </c>
      <c r="H37" s="449">
        <v>7.01</v>
      </c>
      <c r="I37" s="449">
        <v>25.164000000000001</v>
      </c>
      <c r="J37" s="449">
        <v>23.352</v>
      </c>
      <c r="K37" s="449">
        <v>27.917999999999999</v>
      </c>
      <c r="L37" s="449">
        <v>13.654</v>
      </c>
      <c r="M37" s="449">
        <v>0</v>
      </c>
      <c r="N37" s="449">
        <v>0</v>
      </c>
      <c r="O37" s="449">
        <v>0</v>
      </c>
      <c r="P37" s="449">
        <v>0</v>
      </c>
      <c r="Q37" s="449">
        <v>0</v>
      </c>
      <c r="R37" s="449">
        <v>0</v>
      </c>
      <c r="S37" s="449">
        <v>2</v>
      </c>
      <c r="T37" s="449">
        <v>13</v>
      </c>
      <c r="U37" s="449">
        <v>7</v>
      </c>
      <c r="V37" s="449">
        <v>29</v>
      </c>
      <c r="W37" s="449">
        <v>14</v>
      </c>
      <c r="X37" s="449">
        <v>4</v>
      </c>
      <c r="Y37" s="449">
        <v>4</v>
      </c>
      <c r="Z37" s="449">
        <v>0</v>
      </c>
      <c r="AA37" s="449">
        <v>7</v>
      </c>
      <c r="AB37" s="449">
        <v>13</v>
      </c>
      <c r="AC37" s="449">
        <v>308</v>
      </c>
      <c r="AD37" s="449">
        <v>333</v>
      </c>
      <c r="AE37" s="449">
        <v>18</v>
      </c>
      <c r="AF37" s="449">
        <v>36.972999999999999</v>
      </c>
      <c r="AG37" s="449">
        <v>8.1370000000000005</v>
      </c>
      <c r="AH37" s="449">
        <v>198.11</v>
      </c>
      <c r="AI37" s="449">
        <v>73</v>
      </c>
      <c r="AJ37" s="449">
        <v>126.98699999999999</v>
      </c>
      <c r="AK37" s="449">
        <v>65</v>
      </c>
      <c r="AL37" s="449">
        <v>527</v>
      </c>
      <c r="AM37" s="449">
        <v>1618</v>
      </c>
      <c r="AN37" s="449">
        <v>1174</v>
      </c>
      <c r="AO37" s="447">
        <v>121200</v>
      </c>
      <c r="AP37" s="447">
        <v>1850</v>
      </c>
      <c r="AQ37" s="447">
        <v>3569</v>
      </c>
      <c r="AR37" s="447">
        <v>6403</v>
      </c>
      <c r="AS37" s="447">
        <v>2641</v>
      </c>
      <c r="AT37" s="447">
        <v>951</v>
      </c>
      <c r="AU37" s="447">
        <v>556</v>
      </c>
      <c r="AV37" s="447">
        <v>4029</v>
      </c>
      <c r="AW37" s="447">
        <v>5875</v>
      </c>
      <c r="AX37" s="448">
        <v>5028</v>
      </c>
    </row>
    <row r="38" spans="1:5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8"/>
    </row>
    <row r="39" spans="1:50" ht="13">
      <c r="A39" s="446" t="s">
        <v>767</v>
      </c>
      <c r="B39" s="449">
        <v>588.62579379594422</v>
      </c>
      <c r="C39" s="449">
        <v>646.46830958951045</v>
      </c>
      <c r="D39" s="449">
        <v>686.45119986682209</v>
      </c>
      <c r="E39" s="449">
        <v>644.48178621336365</v>
      </c>
      <c r="F39" s="449">
        <v>701.4324671906196</v>
      </c>
      <c r="G39" s="449">
        <v>737.10457842146127</v>
      </c>
      <c r="H39" s="449">
        <v>771.60855492117867</v>
      </c>
      <c r="I39" s="449">
        <v>835.32555838059352</v>
      </c>
      <c r="J39" s="449">
        <v>858.22043539556307</v>
      </c>
      <c r="K39" s="449">
        <v>1002.9632795414466</v>
      </c>
      <c r="L39" s="449">
        <v>1050.4436982715522</v>
      </c>
      <c r="M39" s="449">
        <v>1090.5660918278868</v>
      </c>
      <c r="N39" s="449">
        <v>1361.0315784886836</v>
      </c>
      <c r="O39" s="449">
        <v>1409.5613817069307</v>
      </c>
      <c r="P39" s="449">
        <v>1402.5272662888383</v>
      </c>
      <c r="Q39" s="449">
        <v>1563.9559489362514</v>
      </c>
      <c r="R39" s="449">
        <v>1645.5505468535703</v>
      </c>
      <c r="S39" s="449">
        <v>1615.7230585294515</v>
      </c>
      <c r="T39" s="449">
        <v>1806.2184776271542</v>
      </c>
      <c r="U39" s="449">
        <v>2323.5082902874483</v>
      </c>
      <c r="V39" s="449">
        <v>2838.5038010725366</v>
      </c>
      <c r="W39" s="449">
        <v>3375.4710280467043</v>
      </c>
      <c r="X39" s="449">
        <v>3450.5060339463971</v>
      </c>
      <c r="Y39" s="449">
        <v>4017.7628969936968</v>
      </c>
      <c r="Z39" s="449">
        <v>4187.5696887407494</v>
      </c>
      <c r="AA39" s="449">
        <v>4481.3807293193859</v>
      </c>
      <c r="AB39" s="449">
        <v>4910.0477655101777</v>
      </c>
      <c r="AC39" s="449">
        <v>8097.1377627175434</v>
      </c>
      <c r="AD39" s="449">
        <v>15235.539685057134</v>
      </c>
      <c r="AE39" s="449">
        <v>24665.906243869355</v>
      </c>
      <c r="AF39" s="449">
        <v>40344.77248202583</v>
      </c>
      <c r="AG39" s="449">
        <v>43112.066584183907</v>
      </c>
      <c r="AH39" s="449">
        <v>52217.477575910256</v>
      </c>
      <c r="AI39" s="449">
        <v>72523.659533594298</v>
      </c>
      <c r="AJ39" s="449">
        <v>91564.949492355634</v>
      </c>
      <c r="AK39" s="449">
        <v>109479.33585490339</v>
      </c>
      <c r="AL39" s="449">
        <v>135998.38476824161</v>
      </c>
      <c r="AM39" s="449">
        <v>168550.84214212856</v>
      </c>
      <c r="AN39" s="449">
        <v>219156.53397393788</v>
      </c>
      <c r="AO39" s="449">
        <v>465270.98906691762</v>
      </c>
      <c r="AP39" s="449">
        <v>366665.67083645239</v>
      </c>
      <c r="AQ39" s="449">
        <v>466394.57078670798</v>
      </c>
      <c r="AR39" s="449">
        <v>632252.84166111797</v>
      </c>
      <c r="AS39" s="449">
        <v>849509.12970755564</v>
      </c>
      <c r="AT39" s="449">
        <v>1011104.6528436942</v>
      </c>
      <c r="AU39" s="449">
        <v>1203774.2440091397</v>
      </c>
      <c r="AV39" s="449">
        <v>1285149.2047269754</v>
      </c>
      <c r="AW39" s="449">
        <v>1356140.7382598787</v>
      </c>
      <c r="AX39" s="450">
        <v>1525624.6224414075</v>
      </c>
    </row>
    <row r="40" spans="1:5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8"/>
    </row>
    <row r="41" spans="1:50" ht="13.5" thickBot="1">
      <c r="A41" s="452" t="s">
        <v>768</v>
      </c>
      <c r="B41" s="453">
        <v>52.46449024131914</v>
      </c>
      <c r="C41" s="453">
        <v>40.593116754166658</v>
      </c>
      <c r="D41" s="453">
        <v>1.9334736947275815</v>
      </c>
      <c r="E41" s="453">
        <v>33.773078608800915</v>
      </c>
      <c r="F41" s="453">
        <v>14.590670216310059</v>
      </c>
      <c r="G41" s="453">
        <v>18.337859225201896</v>
      </c>
      <c r="H41" s="453">
        <v>19.095996755417559</v>
      </c>
      <c r="I41" s="453">
        <v>-17.32170348049226</v>
      </c>
      <c r="J41" s="453">
        <v>16.155826757870955</v>
      </c>
      <c r="K41" s="453">
        <v>15.530509492513715</v>
      </c>
      <c r="L41" s="453">
        <v>31.905381567986069</v>
      </c>
      <c r="M41" s="453">
        <v>-8.8338502637511738</v>
      </c>
      <c r="N41" s="453">
        <v>71.177042504110887</v>
      </c>
      <c r="O41" s="453">
        <v>90.784709303915633</v>
      </c>
      <c r="P41" s="453">
        <v>99.98042340758434</v>
      </c>
      <c r="Q41" s="453">
        <v>25.776965027081587</v>
      </c>
      <c r="R41" s="453">
        <v>69.812389095809522</v>
      </c>
      <c r="S41" s="453">
        <v>185.33640995697533</v>
      </c>
      <c r="T41" s="453">
        <v>147.05137112633042</v>
      </c>
      <c r="U41" s="453">
        <v>54.464742700316947</v>
      </c>
      <c r="V41" s="453">
        <v>-74.41734647476278</v>
      </c>
      <c r="W41" s="453">
        <v>213.86275914032012</v>
      </c>
      <c r="X41" s="453">
        <v>562.99514059008243</v>
      </c>
      <c r="Y41" s="453">
        <v>602.01447827833545</v>
      </c>
      <c r="Z41" s="453">
        <v>1042.299642924555</v>
      </c>
      <c r="AA41" s="453">
        <v>731.57696054805456</v>
      </c>
      <c r="AB41" s="453">
        <v>2007.3988923305596</v>
      </c>
      <c r="AC41" s="453">
        <v>1777.5725986496373</v>
      </c>
      <c r="AD41" s="453">
        <v>1668.2363532713025</v>
      </c>
      <c r="AE41" s="453">
        <v>5412.6208047966938</v>
      </c>
      <c r="AF41" s="453">
        <v>6275.5295000000042</v>
      </c>
      <c r="AG41" s="453">
        <v>3467.3270000000048</v>
      </c>
      <c r="AH41" s="453">
        <v>3087.3564999999871</v>
      </c>
      <c r="AI41" s="453">
        <v>-2605.2569999999978</v>
      </c>
      <c r="AJ41" s="453">
        <v>-6197.9695000000065</v>
      </c>
      <c r="AK41" s="453">
        <v>3405.3345000000118</v>
      </c>
      <c r="AL41" s="453">
        <v>-965.43710251382436</v>
      </c>
      <c r="AM41" s="453">
        <v>3117.6982949994272</v>
      </c>
      <c r="AN41" s="453">
        <v>14391.650499999989</v>
      </c>
      <c r="AO41" s="453">
        <v>39884</v>
      </c>
      <c r="AP41" s="453">
        <v>67008.999999999942</v>
      </c>
      <c r="AQ41" s="453">
        <v>99730.000000000058</v>
      </c>
      <c r="AR41" s="453">
        <v>43687</v>
      </c>
      <c r="AS41" s="453">
        <v>-14476</v>
      </c>
      <c r="AT41" s="453">
        <v>-20847.000000000116</v>
      </c>
      <c r="AU41" s="453">
        <v>7391</v>
      </c>
      <c r="AV41" s="453">
        <v>28308</v>
      </c>
      <c r="AW41" s="453">
        <v>53296.51944430382</v>
      </c>
      <c r="AX41" s="454">
        <v>-31420.904939346714</v>
      </c>
    </row>
    <row r="43" spans="1:50" ht="52">
      <c r="A43" s="461" t="s">
        <v>776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87" orientation="landscape" horizontalDpi="429496729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CBF4-3E37-40DF-94CF-7A206D4EB393}">
  <sheetPr codeName="Sheet14">
    <pageSetUpPr fitToPage="1"/>
  </sheetPr>
  <dimension ref="A1:AX45"/>
  <sheetViews>
    <sheetView showGridLines="0" workbookViewId="0">
      <selection activeCell="A15" sqref="A15"/>
    </sheetView>
  </sheetViews>
  <sheetFormatPr defaultRowHeight="12.5"/>
  <cols>
    <col min="1" max="1" width="53.54296875" style="396" customWidth="1"/>
    <col min="2" max="15" width="5.26953125" style="396" customWidth="1"/>
    <col min="16" max="16" width="4.453125" style="396" customWidth="1"/>
    <col min="17" max="34" width="5.26953125" style="396" customWidth="1"/>
    <col min="35" max="40" width="7.81640625" style="396" customWidth="1"/>
    <col min="41" max="42" width="6.1796875" style="396" customWidth="1"/>
    <col min="43" max="47" width="7.54296875" style="396" customWidth="1"/>
    <col min="48" max="50" width="10.7265625" style="396" customWidth="1"/>
    <col min="51" max="256" width="8.7265625" style="396"/>
    <col min="257" max="257" width="53.54296875" style="396" customWidth="1"/>
    <col min="258" max="271" width="5.26953125" style="396" customWidth="1"/>
    <col min="272" max="272" width="4.453125" style="396" customWidth="1"/>
    <col min="273" max="290" width="5.26953125" style="396" customWidth="1"/>
    <col min="291" max="296" width="7.81640625" style="396" customWidth="1"/>
    <col min="297" max="298" width="6.1796875" style="396" customWidth="1"/>
    <col min="299" max="303" width="7.54296875" style="396" customWidth="1"/>
    <col min="304" max="306" width="10.7265625" style="396" customWidth="1"/>
    <col min="307" max="512" width="8.7265625" style="396"/>
    <col min="513" max="513" width="53.54296875" style="396" customWidth="1"/>
    <col min="514" max="527" width="5.26953125" style="396" customWidth="1"/>
    <col min="528" max="528" width="4.453125" style="396" customWidth="1"/>
    <col min="529" max="546" width="5.26953125" style="396" customWidth="1"/>
    <col min="547" max="552" width="7.81640625" style="396" customWidth="1"/>
    <col min="553" max="554" width="6.1796875" style="396" customWidth="1"/>
    <col min="555" max="559" width="7.54296875" style="396" customWidth="1"/>
    <col min="560" max="562" width="10.7265625" style="396" customWidth="1"/>
    <col min="563" max="768" width="8.7265625" style="396"/>
    <col min="769" max="769" width="53.54296875" style="396" customWidth="1"/>
    <col min="770" max="783" width="5.26953125" style="396" customWidth="1"/>
    <col min="784" max="784" width="4.453125" style="396" customWidth="1"/>
    <col min="785" max="802" width="5.26953125" style="396" customWidth="1"/>
    <col min="803" max="808" width="7.81640625" style="396" customWidth="1"/>
    <col min="809" max="810" width="6.1796875" style="396" customWidth="1"/>
    <col min="811" max="815" width="7.54296875" style="396" customWidth="1"/>
    <col min="816" max="818" width="10.7265625" style="396" customWidth="1"/>
    <col min="819" max="1024" width="8.7265625" style="396"/>
    <col min="1025" max="1025" width="53.54296875" style="396" customWidth="1"/>
    <col min="1026" max="1039" width="5.26953125" style="396" customWidth="1"/>
    <col min="1040" max="1040" width="4.453125" style="396" customWidth="1"/>
    <col min="1041" max="1058" width="5.26953125" style="396" customWidth="1"/>
    <col min="1059" max="1064" width="7.81640625" style="396" customWidth="1"/>
    <col min="1065" max="1066" width="6.1796875" style="396" customWidth="1"/>
    <col min="1067" max="1071" width="7.54296875" style="396" customWidth="1"/>
    <col min="1072" max="1074" width="10.7265625" style="396" customWidth="1"/>
    <col min="1075" max="1280" width="8.7265625" style="396"/>
    <col min="1281" max="1281" width="53.54296875" style="396" customWidth="1"/>
    <col min="1282" max="1295" width="5.26953125" style="396" customWidth="1"/>
    <col min="1296" max="1296" width="4.453125" style="396" customWidth="1"/>
    <col min="1297" max="1314" width="5.26953125" style="396" customWidth="1"/>
    <col min="1315" max="1320" width="7.81640625" style="396" customWidth="1"/>
    <col min="1321" max="1322" width="6.1796875" style="396" customWidth="1"/>
    <col min="1323" max="1327" width="7.54296875" style="396" customWidth="1"/>
    <col min="1328" max="1330" width="10.7265625" style="396" customWidth="1"/>
    <col min="1331" max="1536" width="8.7265625" style="396"/>
    <col min="1537" max="1537" width="53.54296875" style="396" customWidth="1"/>
    <col min="1538" max="1551" width="5.26953125" style="396" customWidth="1"/>
    <col min="1552" max="1552" width="4.453125" style="396" customWidth="1"/>
    <col min="1553" max="1570" width="5.26953125" style="396" customWidth="1"/>
    <col min="1571" max="1576" width="7.81640625" style="396" customWidth="1"/>
    <col min="1577" max="1578" width="6.1796875" style="396" customWidth="1"/>
    <col min="1579" max="1583" width="7.54296875" style="396" customWidth="1"/>
    <col min="1584" max="1586" width="10.7265625" style="396" customWidth="1"/>
    <col min="1587" max="1792" width="8.7265625" style="396"/>
    <col min="1793" max="1793" width="53.54296875" style="396" customWidth="1"/>
    <col min="1794" max="1807" width="5.26953125" style="396" customWidth="1"/>
    <col min="1808" max="1808" width="4.453125" style="396" customWidth="1"/>
    <col min="1809" max="1826" width="5.26953125" style="396" customWidth="1"/>
    <col min="1827" max="1832" width="7.81640625" style="396" customWidth="1"/>
    <col min="1833" max="1834" width="6.1796875" style="396" customWidth="1"/>
    <col min="1835" max="1839" width="7.54296875" style="396" customWidth="1"/>
    <col min="1840" max="1842" width="10.7265625" style="396" customWidth="1"/>
    <col min="1843" max="2048" width="8.7265625" style="396"/>
    <col min="2049" max="2049" width="53.54296875" style="396" customWidth="1"/>
    <col min="2050" max="2063" width="5.26953125" style="396" customWidth="1"/>
    <col min="2064" max="2064" width="4.453125" style="396" customWidth="1"/>
    <col min="2065" max="2082" width="5.26953125" style="396" customWidth="1"/>
    <col min="2083" max="2088" width="7.81640625" style="396" customWidth="1"/>
    <col min="2089" max="2090" width="6.1796875" style="396" customWidth="1"/>
    <col min="2091" max="2095" width="7.54296875" style="396" customWidth="1"/>
    <col min="2096" max="2098" width="10.7265625" style="396" customWidth="1"/>
    <col min="2099" max="2304" width="8.7265625" style="396"/>
    <col min="2305" max="2305" width="53.54296875" style="396" customWidth="1"/>
    <col min="2306" max="2319" width="5.26953125" style="396" customWidth="1"/>
    <col min="2320" max="2320" width="4.453125" style="396" customWidth="1"/>
    <col min="2321" max="2338" width="5.26953125" style="396" customWidth="1"/>
    <col min="2339" max="2344" width="7.81640625" style="396" customWidth="1"/>
    <col min="2345" max="2346" width="6.1796875" style="396" customWidth="1"/>
    <col min="2347" max="2351" width="7.54296875" style="396" customWidth="1"/>
    <col min="2352" max="2354" width="10.7265625" style="396" customWidth="1"/>
    <col min="2355" max="2560" width="8.7265625" style="396"/>
    <col min="2561" max="2561" width="53.54296875" style="396" customWidth="1"/>
    <col min="2562" max="2575" width="5.26953125" style="396" customWidth="1"/>
    <col min="2576" max="2576" width="4.453125" style="396" customWidth="1"/>
    <col min="2577" max="2594" width="5.26953125" style="396" customWidth="1"/>
    <col min="2595" max="2600" width="7.81640625" style="396" customWidth="1"/>
    <col min="2601" max="2602" width="6.1796875" style="396" customWidth="1"/>
    <col min="2603" max="2607" width="7.54296875" style="396" customWidth="1"/>
    <col min="2608" max="2610" width="10.7265625" style="396" customWidth="1"/>
    <col min="2611" max="2816" width="8.7265625" style="396"/>
    <col min="2817" max="2817" width="53.54296875" style="396" customWidth="1"/>
    <col min="2818" max="2831" width="5.26953125" style="396" customWidth="1"/>
    <col min="2832" max="2832" width="4.453125" style="396" customWidth="1"/>
    <col min="2833" max="2850" width="5.26953125" style="396" customWidth="1"/>
    <col min="2851" max="2856" width="7.81640625" style="396" customWidth="1"/>
    <col min="2857" max="2858" width="6.1796875" style="396" customWidth="1"/>
    <col min="2859" max="2863" width="7.54296875" style="396" customWidth="1"/>
    <col min="2864" max="2866" width="10.7265625" style="396" customWidth="1"/>
    <col min="2867" max="3072" width="8.7265625" style="396"/>
    <col min="3073" max="3073" width="53.54296875" style="396" customWidth="1"/>
    <col min="3074" max="3087" width="5.26953125" style="396" customWidth="1"/>
    <col min="3088" max="3088" width="4.453125" style="396" customWidth="1"/>
    <col min="3089" max="3106" width="5.26953125" style="396" customWidth="1"/>
    <col min="3107" max="3112" width="7.81640625" style="396" customWidth="1"/>
    <col min="3113" max="3114" width="6.1796875" style="396" customWidth="1"/>
    <col min="3115" max="3119" width="7.54296875" style="396" customWidth="1"/>
    <col min="3120" max="3122" width="10.7265625" style="396" customWidth="1"/>
    <col min="3123" max="3328" width="8.7265625" style="396"/>
    <col min="3329" max="3329" width="53.54296875" style="396" customWidth="1"/>
    <col min="3330" max="3343" width="5.26953125" style="396" customWidth="1"/>
    <col min="3344" max="3344" width="4.453125" style="396" customWidth="1"/>
    <col min="3345" max="3362" width="5.26953125" style="396" customWidth="1"/>
    <col min="3363" max="3368" width="7.81640625" style="396" customWidth="1"/>
    <col min="3369" max="3370" width="6.1796875" style="396" customWidth="1"/>
    <col min="3371" max="3375" width="7.54296875" style="396" customWidth="1"/>
    <col min="3376" max="3378" width="10.7265625" style="396" customWidth="1"/>
    <col min="3379" max="3584" width="8.7265625" style="396"/>
    <col min="3585" max="3585" width="53.54296875" style="396" customWidth="1"/>
    <col min="3586" max="3599" width="5.26953125" style="396" customWidth="1"/>
    <col min="3600" max="3600" width="4.453125" style="396" customWidth="1"/>
    <col min="3601" max="3618" width="5.26953125" style="396" customWidth="1"/>
    <col min="3619" max="3624" width="7.81640625" style="396" customWidth="1"/>
    <col min="3625" max="3626" width="6.1796875" style="396" customWidth="1"/>
    <col min="3627" max="3631" width="7.54296875" style="396" customWidth="1"/>
    <col min="3632" max="3634" width="10.7265625" style="396" customWidth="1"/>
    <col min="3635" max="3840" width="8.7265625" style="396"/>
    <col min="3841" max="3841" width="53.54296875" style="396" customWidth="1"/>
    <col min="3842" max="3855" width="5.26953125" style="396" customWidth="1"/>
    <col min="3856" max="3856" width="4.453125" style="396" customWidth="1"/>
    <col min="3857" max="3874" width="5.26953125" style="396" customWidth="1"/>
    <col min="3875" max="3880" width="7.81640625" style="396" customWidth="1"/>
    <col min="3881" max="3882" width="6.1796875" style="396" customWidth="1"/>
    <col min="3883" max="3887" width="7.54296875" style="396" customWidth="1"/>
    <col min="3888" max="3890" width="10.7265625" style="396" customWidth="1"/>
    <col min="3891" max="4096" width="8.7265625" style="396"/>
    <col min="4097" max="4097" width="53.54296875" style="396" customWidth="1"/>
    <col min="4098" max="4111" width="5.26953125" style="396" customWidth="1"/>
    <col min="4112" max="4112" width="4.453125" style="396" customWidth="1"/>
    <col min="4113" max="4130" width="5.26953125" style="396" customWidth="1"/>
    <col min="4131" max="4136" width="7.81640625" style="396" customWidth="1"/>
    <col min="4137" max="4138" width="6.1796875" style="396" customWidth="1"/>
    <col min="4139" max="4143" width="7.54296875" style="396" customWidth="1"/>
    <col min="4144" max="4146" width="10.7265625" style="396" customWidth="1"/>
    <col min="4147" max="4352" width="8.7265625" style="396"/>
    <col min="4353" max="4353" width="53.54296875" style="396" customWidth="1"/>
    <col min="4354" max="4367" width="5.26953125" style="396" customWidth="1"/>
    <col min="4368" max="4368" width="4.453125" style="396" customWidth="1"/>
    <col min="4369" max="4386" width="5.26953125" style="396" customWidth="1"/>
    <col min="4387" max="4392" width="7.81640625" style="396" customWidth="1"/>
    <col min="4393" max="4394" width="6.1796875" style="396" customWidth="1"/>
    <col min="4395" max="4399" width="7.54296875" style="396" customWidth="1"/>
    <col min="4400" max="4402" width="10.7265625" style="396" customWidth="1"/>
    <col min="4403" max="4608" width="8.7265625" style="396"/>
    <col min="4609" max="4609" width="53.54296875" style="396" customWidth="1"/>
    <col min="4610" max="4623" width="5.26953125" style="396" customWidth="1"/>
    <col min="4624" max="4624" width="4.453125" style="396" customWidth="1"/>
    <col min="4625" max="4642" width="5.26953125" style="396" customWidth="1"/>
    <col min="4643" max="4648" width="7.81640625" style="396" customWidth="1"/>
    <col min="4649" max="4650" width="6.1796875" style="396" customWidth="1"/>
    <col min="4651" max="4655" width="7.54296875" style="396" customWidth="1"/>
    <col min="4656" max="4658" width="10.7265625" style="396" customWidth="1"/>
    <col min="4659" max="4864" width="8.7265625" style="396"/>
    <col min="4865" max="4865" width="53.54296875" style="396" customWidth="1"/>
    <col min="4866" max="4879" width="5.26953125" style="396" customWidth="1"/>
    <col min="4880" max="4880" width="4.453125" style="396" customWidth="1"/>
    <col min="4881" max="4898" width="5.26953125" style="396" customWidth="1"/>
    <col min="4899" max="4904" width="7.81640625" style="396" customWidth="1"/>
    <col min="4905" max="4906" width="6.1796875" style="396" customWidth="1"/>
    <col min="4907" max="4911" width="7.54296875" style="396" customWidth="1"/>
    <col min="4912" max="4914" width="10.7265625" style="396" customWidth="1"/>
    <col min="4915" max="5120" width="8.7265625" style="396"/>
    <col min="5121" max="5121" width="53.54296875" style="396" customWidth="1"/>
    <col min="5122" max="5135" width="5.26953125" style="396" customWidth="1"/>
    <col min="5136" max="5136" width="4.453125" style="396" customWidth="1"/>
    <col min="5137" max="5154" width="5.26953125" style="396" customWidth="1"/>
    <col min="5155" max="5160" width="7.81640625" style="396" customWidth="1"/>
    <col min="5161" max="5162" width="6.1796875" style="396" customWidth="1"/>
    <col min="5163" max="5167" width="7.54296875" style="396" customWidth="1"/>
    <col min="5168" max="5170" width="10.7265625" style="396" customWidth="1"/>
    <col min="5171" max="5376" width="8.7265625" style="396"/>
    <col min="5377" max="5377" width="53.54296875" style="396" customWidth="1"/>
    <col min="5378" max="5391" width="5.26953125" style="396" customWidth="1"/>
    <col min="5392" max="5392" width="4.453125" style="396" customWidth="1"/>
    <col min="5393" max="5410" width="5.26953125" style="396" customWidth="1"/>
    <col min="5411" max="5416" width="7.81640625" style="396" customWidth="1"/>
    <col min="5417" max="5418" width="6.1796875" style="396" customWidth="1"/>
    <col min="5419" max="5423" width="7.54296875" style="396" customWidth="1"/>
    <col min="5424" max="5426" width="10.7265625" style="396" customWidth="1"/>
    <col min="5427" max="5632" width="8.7265625" style="396"/>
    <col min="5633" max="5633" width="53.54296875" style="396" customWidth="1"/>
    <col min="5634" max="5647" width="5.26953125" style="396" customWidth="1"/>
    <col min="5648" max="5648" width="4.453125" style="396" customWidth="1"/>
    <col min="5649" max="5666" width="5.26953125" style="396" customWidth="1"/>
    <col min="5667" max="5672" width="7.81640625" style="396" customWidth="1"/>
    <col min="5673" max="5674" width="6.1796875" style="396" customWidth="1"/>
    <col min="5675" max="5679" width="7.54296875" style="396" customWidth="1"/>
    <col min="5680" max="5682" width="10.7265625" style="396" customWidth="1"/>
    <col min="5683" max="5888" width="8.7265625" style="396"/>
    <col min="5889" max="5889" width="53.54296875" style="396" customWidth="1"/>
    <col min="5890" max="5903" width="5.26953125" style="396" customWidth="1"/>
    <col min="5904" max="5904" width="4.453125" style="396" customWidth="1"/>
    <col min="5905" max="5922" width="5.26953125" style="396" customWidth="1"/>
    <col min="5923" max="5928" width="7.81640625" style="396" customWidth="1"/>
    <col min="5929" max="5930" width="6.1796875" style="396" customWidth="1"/>
    <col min="5931" max="5935" width="7.54296875" style="396" customWidth="1"/>
    <col min="5936" max="5938" width="10.7265625" style="396" customWidth="1"/>
    <col min="5939" max="6144" width="8.7265625" style="396"/>
    <col min="6145" max="6145" width="53.54296875" style="396" customWidth="1"/>
    <col min="6146" max="6159" width="5.26953125" style="396" customWidth="1"/>
    <col min="6160" max="6160" width="4.453125" style="396" customWidth="1"/>
    <col min="6161" max="6178" width="5.26953125" style="396" customWidth="1"/>
    <col min="6179" max="6184" width="7.81640625" style="396" customWidth="1"/>
    <col min="6185" max="6186" width="6.1796875" style="396" customWidth="1"/>
    <col min="6187" max="6191" width="7.54296875" style="396" customWidth="1"/>
    <col min="6192" max="6194" width="10.7265625" style="396" customWidth="1"/>
    <col min="6195" max="6400" width="8.7265625" style="396"/>
    <col min="6401" max="6401" width="53.54296875" style="396" customWidth="1"/>
    <col min="6402" max="6415" width="5.26953125" style="396" customWidth="1"/>
    <col min="6416" max="6416" width="4.453125" style="396" customWidth="1"/>
    <col min="6417" max="6434" width="5.26953125" style="396" customWidth="1"/>
    <col min="6435" max="6440" width="7.81640625" style="396" customWidth="1"/>
    <col min="6441" max="6442" width="6.1796875" style="396" customWidth="1"/>
    <col min="6443" max="6447" width="7.54296875" style="396" customWidth="1"/>
    <col min="6448" max="6450" width="10.7265625" style="396" customWidth="1"/>
    <col min="6451" max="6656" width="8.7265625" style="396"/>
    <col min="6657" max="6657" width="53.54296875" style="396" customWidth="1"/>
    <col min="6658" max="6671" width="5.26953125" style="396" customWidth="1"/>
    <col min="6672" max="6672" width="4.453125" style="396" customWidth="1"/>
    <col min="6673" max="6690" width="5.26953125" style="396" customWidth="1"/>
    <col min="6691" max="6696" width="7.81640625" style="396" customWidth="1"/>
    <col min="6697" max="6698" width="6.1796875" style="396" customWidth="1"/>
    <col min="6699" max="6703" width="7.54296875" style="396" customWidth="1"/>
    <col min="6704" max="6706" width="10.7265625" style="396" customWidth="1"/>
    <col min="6707" max="6912" width="8.7265625" style="396"/>
    <col min="6913" max="6913" width="53.54296875" style="396" customWidth="1"/>
    <col min="6914" max="6927" width="5.26953125" style="396" customWidth="1"/>
    <col min="6928" max="6928" width="4.453125" style="396" customWidth="1"/>
    <col min="6929" max="6946" width="5.26953125" style="396" customWidth="1"/>
    <col min="6947" max="6952" width="7.81640625" style="396" customWidth="1"/>
    <col min="6953" max="6954" width="6.1796875" style="396" customWidth="1"/>
    <col min="6955" max="6959" width="7.54296875" style="396" customWidth="1"/>
    <col min="6960" max="6962" width="10.7265625" style="396" customWidth="1"/>
    <col min="6963" max="7168" width="8.7265625" style="396"/>
    <col min="7169" max="7169" width="53.54296875" style="396" customWidth="1"/>
    <col min="7170" max="7183" width="5.26953125" style="396" customWidth="1"/>
    <col min="7184" max="7184" width="4.453125" style="396" customWidth="1"/>
    <col min="7185" max="7202" width="5.26953125" style="396" customWidth="1"/>
    <col min="7203" max="7208" width="7.81640625" style="396" customWidth="1"/>
    <col min="7209" max="7210" width="6.1796875" style="396" customWidth="1"/>
    <col min="7211" max="7215" width="7.54296875" style="396" customWidth="1"/>
    <col min="7216" max="7218" width="10.7265625" style="396" customWidth="1"/>
    <col min="7219" max="7424" width="8.7265625" style="396"/>
    <col min="7425" max="7425" width="53.54296875" style="396" customWidth="1"/>
    <col min="7426" max="7439" width="5.26953125" style="396" customWidth="1"/>
    <col min="7440" max="7440" width="4.453125" style="396" customWidth="1"/>
    <col min="7441" max="7458" width="5.26953125" style="396" customWidth="1"/>
    <col min="7459" max="7464" width="7.81640625" style="396" customWidth="1"/>
    <col min="7465" max="7466" width="6.1796875" style="396" customWidth="1"/>
    <col min="7467" max="7471" width="7.54296875" style="396" customWidth="1"/>
    <col min="7472" max="7474" width="10.7265625" style="396" customWidth="1"/>
    <col min="7475" max="7680" width="8.7265625" style="396"/>
    <col min="7681" max="7681" width="53.54296875" style="396" customWidth="1"/>
    <col min="7682" max="7695" width="5.26953125" style="396" customWidth="1"/>
    <col min="7696" max="7696" width="4.453125" style="396" customWidth="1"/>
    <col min="7697" max="7714" width="5.26953125" style="396" customWidth="1"/>
    <col min="7715" max="7720" width="7.81640625" style="396" customWidth="1"/>
    <col min="7721" max="7722" width="6.1796875" style="396" customWidth="1"/>
    <col min="7723" max="7727" width="7.54296875" style="396" customWidth="1"/>
    <col min="7728" max="7730" width="10.7265625" style="396" customWidth="1"/>
    <col min="7731" max="7936" width="8.7265625" style="396"/>
    <col min="7937" max="7937" width="53.54296875" style="396" customWidth="1"/>
    <col min="7938" max="7951" width="5.26953125" style="396" customWidth="1"/>
    <col min="7952" max="7952" width="4.453125" style="396" customWidth="1"/>
    <col min="7953" max="7970" width="5.26953125" style="396" customWidth="1"/>
    <col min="7971" max="7976" width="7.81640625" style="396" customWidth="1"/>
    <col min="7977" max="7978" width="6.1796875" style="396" customWidth="1"/>
    <col min="7979" max="7983" width="7.54296875" style="396" customWidth="1"/>
    <col min="7984" max="7986" width="10.7265625" style="396" customWidth="1"/>
    <col min="7987" max="8192" width="8.7265625" style="396"/>
    <col min="8193" max="8193" width="53.54296875" style="396" customWidth="1"/>
    <col min="8194" max="8207" width="5.26953125" style="396" customWidth="1"/>
    <col min="8208" max="8208" width="4.453125" style="396" customWidth="1"/>
    <col min="8209" max="8226" width="5.26953125" style="396" customWidth="1"/>
    <col min="8227" max="8232" width="7.81640625" style="396" customWidth="1"/>
    <col min="8233" max="8234" width="6.1796875" style="396" customWidth="1"/>
    <col min="8235" max="8239" width="7.54296875" style="396" customWidth="1"/>
    <col min="8240" max="8242" width="10.7265625" style="396" customWidth="1"/>
    <col min="8243" max="8448" width="8.7265625" style="396"/>
    <col min="8449" max="8449" width="53.54296875" style="396" customWidth="1"/>
    <col min="8450" max="8463" width="5.26953125" style="396" customWidth="1"/>
    <col min="8464" max="8464" width="4.453125" style="396" customWidth="1"/>
    <col min="8465" max="8482" width="5.26953125" style="396" customWidth="1"/>
    <col min="8483" max="8488" width="7.81640625" style="396" customWidth="1"/>
    <col min="8489" max="8490" width="6.1796875" style="396" customWidth="1"/>
    <col min="8491" max="8495" width="7.54296875" style="396" customWidth="1"/>
    <col min="8496" max="8498" width="10.7265625" style="396" customWidth="1"/>
    <col min="8499" max="8704" width="8.7265625" style="396"/>
    <col min="8705" max="8705" width="53.54296875" style="396" customWidth="1"/>
    <col min="8706" max="8719" width="5.26953125" style="396" customWidth="1"/>
    <col min="8720" max="8720" width="4.453125" style="396" customWidth="1"/>
    <col min="8721" max="8738" width="5.26953125" style="396" customWidth="1"/>
    <col min="8739" max="8744" width="7.81640625" style="396" customWidth="1"/>
    <col min="8745" max="8746" width="6.1796875" style="396" customWidth="1"/>
    <col min="8747" max="8751" width="7.54296875" style="396" customWidth="1"/>
    <col min="8752" max="8754" width="10.7265625" style="396" customWidth="1"/>
    <col min="8755" max="8960" width="8.7265625" style="396"/>
    <col min="8961" max="8961" width="53.54296875" style="396" customWidth="1"/>
    <col min="8962" max="8975" width="5.26953125" style="396" customWidth="1"/>
    <col min="8976" max="8976" width="4.453125" style="396" customWidth="1"/>
    <col min="8977" max="8994" width="5.26953125" style="396" customWidth="1"/>
    <col min="8995" max="9000" width="7.81640625" style="396" customWidth="1"/>
    <col min="9001" max="9002" width="6.1796875" style="396" customWidth="1"/>
    <col min="9003" max="9007" width="7.54296875" style="396" customWidth="1"/>
    <col min="9008" max="9010" width="10.7265625" style="396" customWidth="1"/>
    <col min="9011" max="9216" width="8.7265625" style="396"/>
    <col min="9217" max="9217" width="53.54296875" style="396" customWidth="1"/>
    <col min="9218" max="9231" width="5.26953125" style="396" customWidth="1"/>
    <col min="9232" max="9232" width="4.453125" style="396" customWidth="1"/>
    <col min="9233" max="9250" width="5.26953125" style="396" customWidth="1"/>
    <col min="9251" max="9256" width="7.81640625" style="396" customWidth="1"/>
    <col min="9257" max="9258" width="6.1796875" style="396" customWidth="1"/>
    <col min="9259" max="9263" width="7.54296875" style="396" customWidth="1"/>
    <col min="9264" max="9266" width="10.7265625" style="396" customWidth="1"/>
    <col min="9267" max="9472" width="8.7265625" style="396"/>
    <col min="9473" max="9473" width="53.54296875" style="396" customWidth="1"/>
    <col min="9474" max="9487" width="5.26953125" style="396" customWidth="1"/>
    <col min="9488" max="9488" width="4.453125" style="396" customWidth="1"/>
    <col min="9489" max="9506" width="5.26953125" style="396" customWidth="1"/>
    <col min="9507" max="9512" width="7.81640625" style="396" customWidth="1"/>
    <col min="9513" max="9514" width="6.1796875" style="396" customWidth="1"/>
    <col min="9515" max="9519" width="7.54296875" style="396" customWidth="1"/>
    <col min="9520" max="9522" width="10.7265625" style="396" customWidth="1"/>
    <col min="9523" max="9728" width="8.7265625" style="396"/>
    <col min="9729" max="9729" width="53.54296875" style="396" customWidth="1"/>
    <col min="9730" max="9743" width="5.26953125" style="396" customWidth="1"/>
    <col min="9744" max="9744" width="4.453125" style="396" customWidth="1"/>
    <col min="9745" max="9762" width="5.26953125" style="396" customWidth="1"/>
    <col min="9763" max="9768" width="7.81640625" style="396" customWidth="1"/>
    <col min="9769" max="9770" width="6.1796875" style="396" customWidth="1"/>
    <col min="9771" max="9775" width="7.54296875" style="396" customWidth="1"/>
    <col min="9776" max="9778" width="10.7265625" style="396" customWidth="1"/>
    <col min="9779" max="9984" width="8.7265625" style="396"/>
    <col min="9985" max="9985" width="53.54296875" style="396" customWidth="1"/>
    <col min="9986" max="9999" width="5.26953125" style="396" customWidth="1"/>
    <col min="10000" max="10000" width="4.453125" style="396" customWidth="1"/>
    <col min="10001" max="10018" width="5.26953125" style="396" customWidth="1"/>
    <col min="10019" max="10024" width="7.81640625" style="396" customWidth="1"/>
    <col min="10025" max="10026" width="6.1796875" style="396" customWidth="1"/>
    <col min="10027" max="10031" width="7.54296875" style="396" customWidth="1"/>
    <col min="10032" max="10034" width="10.7265625" style="396" customWidth="1"/>
    <col min="10035" max="10240" width="8.7265625" style="396"/>
    <col min="10241" max="10241" width="53.54296875" style="396" customWidth="1"/>
    <col min="10242" max="10255" width="5.26953125" style="396" customWidth="1"/>
    <col min="10256" max="10256" width="4.453125" style="396" customWidth="1"/>
    <col min="10257" max="10274" width="5.26953125" style="396" customWidth="1"/>
    <col min="10275" max="10280" width="7.81640625" style="396" customWidth="1"/>
    <col min="10281" max="10282" width="6.1796875" style="396" customWidth="1"/>
    <col min="10283" max="10287" width="7.54296875" style="396" customWidth="1"/>
    <col min="10288" max="10290" width="10.7265625" style="396" customWidth="1"/>
    <col min="10291" max="10496" width="8.7265625" style="396"/>
    <col min="10497" max="10497" width="53.54296875" style="396" customWidth="1"/>
    <col min="10498" max="10511" width="5.26953125" style="396" customWidth="1"/>
    <col min="10512" max="10512" width="4.453125" style="396" customWidth="1"/>
    <col min="10513" max="10530" width="5.26953125" style="396" customWidth="1"/>
    <col min="10531" max="10536" width="7.81640625" style="396" customWidth="1"/>
    <col min="10537" max="10538" width="6.1796875" style="396" customWidth="1"/>
    <col min="10539" max="10543" width="7.54296875" style="396" customWidth="1"/>
    <col min="10544" max="10546" width="10.7265625" style="396" customWidth="1"/>
    <col min="10547" max="10752" width="8.7265625" style="396"/>
    <col min="10753" max="10753" width="53.54296875" style="396" customWidth="1"/>
    <col min="10754" max="10767" width="5.26953125" style="396" customWidth="1"/>
    <col min="10768" max="10768" width="4.453125" style="396" customWidth="1"/>
    <col min="10769" max="10786" width="5.26953125" style="396" customWidth="1"/>
    <col min="10787" max="10792" width="7.81640625" style="396" customWidth="1"/>
    <col min="10793" max="10794" width="6.1796875" style="396" customWidth="1"/>
    <col min="10795" max="10799" width="7.54296875" style="396" customWidth="1"/>
    <col min="10800" max="10802" width="10.7265625" style="396" customWidth="1"/>
    <col min="10803" max="11008" width="8.7265625" style="396"/>
    <col min="11009" max="11009" width="53.54296875" style="396" customWidth="1"/>
    <col min="11010" max="11023" width="5.26953125" style="396" customWidth="1"/>
    <col min="11024" max="11024" width="4.453125" style="396" customWidth="1"/>
    <col min="11025" max="11042" width="5.26953125" style="396" customWidth="1"/>
    <col min="11043" max="11048" width="7.81640625" style="396" customWidth="1"/>
    <col min="11049" max="11050" width="6.1796875" style="396" customWidth="1"/>
    <col min="11051" max="11055" width="7.54296875" style="396" customWidth="1"/>
    <col min="11056" max="11058" width="10.7265625" style="396" customWidth="1"/>
    <col min="11059" max="11264" width="8.7265625" style="396"/>
    <col min="11265" max="11265" width="53.54296875" style="396" customWidth="1"/>
    <col min="11266" max="11279" width="5.26953125" style="396" customWidth="1"/>
    <col min="11280" max="11280" width="4.453125" style="396" customWidth="1"/>
    <col min="11281" max="11298" width="5.26953125" style="396" customWidth="1"/>
    <col min="11299" max="11304" width="7.81640625" style="396" customWidth="1"/>
    <col min="11305" max="11306" width="6.1796875" style="396" customWidth="1"/>
    <col min="11307" max="11311" width="7.54296875" style="396" customWidth="1"/>
    <col min="11312" max="11314" width="10.7265625" style="396" customWidth="1"/>
    <col min="11315" max="11520" width="8.7265625" style="396"/>
    <col min="11521" max="11521" width="53.54296875" style="396" customWidth="1"/>
    <col min="11522" max="11535" width="5.26953125" style="396" customWidth="1"/>
    <col min="11536" max="11536" width="4.453125" style="396" customWidth="1"/>
    <col min="11537" max="11554" width="5.26953125" style="396" customWidth="1"/>
    <col min="11555" max="11560" width="7.81640625" style="396" customWidth="1"/>
    <col min="11561" max="11562" width="6.1796875" style="396" customWidth="1"/>
    <col min="11563" max="11567" width="7.54296875" style="396" customWidth="1"/>
    <col min="11568" max="11570" width="10.7265625" style="396" customWidth="1"/>
    <col min="11571" max="11776" width="8.7265625" style="396"/>
    <col min="11777" max="11777" width="53.54296875" style="396" customWidth="1"/>
    <col min="11778" max="11791" width="5.26953125" style="396" customWidth="1"/>
    <col min="11792" max="11792" width="4.453125" style="396" customWidth="1"/>
    <col min="11793" max="11810" width="5.26953125" style="396" customWidth="1"/>
    <col min="11811" max="11816" width="7.81640625" style="396" customWidth="1"/>
    <col min="11817" max="11818" width="6.1796875" style="396" customWidth="1"/>
    <col min="11819" max="11823" width="7.54296875" style="396" customWidth="1"/>
    <col min="11824" max="11826" width="10.7265625" style="396" customWidth="1"/>
    <col min="11827" max="12032" width="8.7265625" style="396"/>
    <col min="12033" max="12033" width="53.54296875" style="396" customWidth="1"/>
    <col min="12034" max="12047" width="5.26953125" style="396" customWidth="1"/>
    <col min="12048" max="12048" width="4.453125" style="396" customWidth="1"/>
    <col min="12049" max="12066" width="5.26953125" style="396" customWidth="1"/>
    <col min="12067" max="12072" width="7.81640625" style="396" customWidth="1"/>
    <col min="12073" max="12074" width="6.1796875" style="396" customWidth="1"/>
    <col min="12075" max="12079" width="7.54296875" style="396" customWidth="1"/>
    <col min="12080" max="12082" width="10.7265625" style="396" customWidth="1"/>
    <col min="12083" max="12288" width="8.7265625" style="396"/>
    <col min="12289" max="12289" width="53.54296875" style="396" customWidth="1"/>
    <col min="12290" max="12303" width="5.26953125" style="396" customWidth="1"/>
    <col min="12304" max="12304" width="4.453125" style="396" customWidth="1"/>
    <col min="12305" max="12322" width="5.26953125" style="396" customWidth="1"/>
    <col min="12323" max="12328" width="7.81640625" style="396" customWidth="1"/>
    <col min="12329" max="12330" width="6.1796875" style="396" customWidth="1"/>
    <col min="12331" max="12335" width="7.54296875" style="396" customWidth="1"/>
    <col min="12336" max="12338" width="10.7265625" style="396" customWidth="1"/>
    <col min="12339" max="12544" width="8.7265625" style="396"/>
    <col min="12545" max="12545" width="53.54296875" style="396" customWidth="1"/>
    <col min="12546" max="12559" width="5.26953125" style="396" customWidth="1"/>
    <col min="12560" max="12560" width="4.453125" style="396" customWidth="1"/>
    <col min="12561" max="12578" width="5.26953125" style="396" customWidth="1"/>
    <col min="12579" max="12584" width="7.81640625" style="396" customWidth="1"/>
    <col min="12585" max="12586" width="6.1796875" style="396" customWidth="1"/>
    <col min="12587" max="12591" width="7.54296875" style="396" customWidth="1"/>
    <col min="12592" max="12594" width="10.7265625" style="396" customWidth="1"/>
    <col min="12595" max="12800" width="8.7265625" style="396"/>
    <col min="12801" max="12801" width="53.54296875" style="396" customWidth="1"/>
    <col min="12802" max="12815" width="5.26953125" style="396" customWidth="1"/>
    <col min="12816" max="12816" width="4.453125" style="396" customWidth="1"/>
    <col min="12817" max="12834" width="5.26953125" style="396" customWidth="1"/>
    <col min="12835" max="12840" width="7.81640625" style="396" customWidth="1"/>
    <col min="12841" max="12842" width="6.1796875" style="396" customWidth="1"/>
    <col min="12843" max="12847" width="7.54296875" style="396" customWidth="1"/>
    <col min="12848" max="12850" width="10.7265625" style="396" customWidth="1"/>
    <col min="12851" max="13056" width="8.7265625" style="396"/>
    <col min="13057" max="13057" width="53.54296875" style="396" customWidth="1"/>
    <col min="13058" max="13071" width="5.26953125" style="396" customWidth="1"/>
    <col min="13072" max="13072" width="4.453125" style="396" customWidth="1"/>
    <col min="13073" max="13090" width="5.26953125" style="396" customWidth="1"/>
    <col min="13091" max="13096" width="7.81640625" style="396" customWidth="1"/>
    <col min="13097" max="13098" width="6.1796875" style="396" customWidth="1"/>
    <col min="13099" max="13103" width="7.54296875" style="396" customWidth="1"/>
    <col min="13104" max="13106" width="10.7265625" style="396" customWidth="1"/>
    <col min="13107" max="13312" width="8.7265625" style="396"/>
    <col min="13313" max="13313" width="53.54296875" style="396" customWidth="1"/>
    <col min="13314" max="13327" width="5.26953125" style="396" customWidth="1"/>
    <col min="13328" max="13328" width="4.453125" style="396" customWidth="1"/>
    <col min="13329" max="13346" width="5.26953125" style="396" customWidth="1"/>
    <col min="13347" max="13352" width="7.81640625" style="396" customWidth="1"/>
    <col min="13353" max="13354" width="6.1796875" style="396" customWidth="1"/>
    <col min="13355" max="13359" width="7.54296875" style="396" customWidth="1"/>
    <col min="13360" max="13362" width="10.7265625" style="396" customWidth="1"/>
    <col min="13363" max="13568" width="8.7265625" style="396"/>
    <col min="13569" max="13569" width="53.54296875" style="396" customWidth="1"/>
    <col min="13570" max="13583" width="5.26953125" style="396" customWidth="1"/>
    <col min="13584" max="13584" width="4.453125" style="396" customWidth="1"/>
    <col min="13585" max="13602" width="5.26953125" style="396" customWidth="1"/>
    <col min="13603" max="13608" width="7.81640625" style="396" customWidth="1"/>
    <col min="13609" max="13610" width="6.1796875" style="396" customWidth="1"/>
    <col min="13611" max="13615" width="7.54296875" style="396" customWidth="1"/>
    <col min="13616" max="13618" width="10.7265625" style="396" customWidth="1"/>
    <col min="13619" max="13824" width="8.7265625" style="396"/>
    <col min="13825" max="13825" width="53.54296875" style="396" customWidth="1"/>
    <col min="13826" max="13839" width="5.26953125" style="396" customWidth="1"/>
    <col min="13840" max="13840" width="4.453125" style="396" customWidth="1"/>
    <col min="13841" max="13858" width="5.26953125" style="396" customWidth="1"/>
    <col min="13859" max="13864" width="7.81640625" style="396" customWidth="1"/>
    <col min="13865" max="13866" width="6.1796875" style="396" customWidth="1"/>
    <col min="13867" max="13871" width="7.54296875" style="396" customWidth="1"/>
    <col min="13872" max="13874" width="10.7265625" style="396" customWidth="1"/>
    <col min="13875" max="14080" width="8.7265625" style="396"/>
    <col min="14081" max="14081" width="53.54296875" style="396" customWidth="1"/>
    <col min="14082" max="14095" width="5.26953125" style="396" customWidth="1"/>
    <col min="14096" max="14096" width="4.453125" style="396" customWidth="1"/>
    <col min="14097" max="14114" width="5.26953125" style="396" customWidth="1"/>
    <col min="14115" max="14120" width="7.81640625" style="396" customWidth="1"/>
    <col min="14121" max="14122" width="6.1796875" style="396" customWidth="1"/>
    <col min="14123" max="14127" width="7.54296875" style="396" customWidth="1"/>
    <col min="14128" max="14130" width="10.7265625" style="396" customWidth="1"/>
    <col min="14131" max="14336" width="8.7265625" style="396"/>
    <col min="14337" max="14337" width="53.54296875" style="396" customWidth="1"/>
    <col min="14338" max="14351" width="5.26953125" style="396" customWidth="1"/>
    <col min="14352" max="14352" width="4.453125" style="396" customWidth="1"/>
    <col min="14353" max="14370" width="5.26953125" style="396" customWidth="1"/>
    <col min="14371" max="14376" width="7.81640625" style="396" customWidth="1"/>
    <col min="14377" max="14378" width="6.1796875" style="396" customWidth="1"/>
    <col min="14379" max="14383" width="7.54296875" style="396" customWidth="1"/>
    <col min="14384" max="14386" width="10.7265625" style="396" customWidth="1"/>
    <col min="14387" max="14592" width="8.7265625" style="396"/>
    <col min="14593" max="14593" width="53.54296875" style="396" customWidth="1"/>
    <col min="14594" max="14607" width="5.26953125" style="396" customWidth="1"/>
    <col min="14608" max="14608" width="4.453125" style="396" customWidth="1"/>
    <col min="14609" max="14626" width="5.26953125" style="396" customWidth="1"/>
    <col min="14627" max="14632" width="7.81640625" style="396" customWidth="1"/>
    <col min="14633" max="14634" width="6.1796875" style="396" customWidth="1"/>
    <col min="14635" max="14639" width="7.54296875" style="396" customWidth="1"/>
    <col min="14640" max="14642" width="10.7265625" style="396" customWidth="1"/>
    <col min="14643" max="14848" width="8.7265625" style="396"/>
    <col min="14849" max="14849" width="53.54296875" style="396" customWidth="1"/>
    <col min="14850" max="14863" width="5.26953125" style="396" customWidth="1"/>
    <col min="14864" max="14864" width="4.453125" style="396" customWidth="1"/>
    <col min="14865" max="14882" width="5.26953125" style="396" customWidth="1"/>
    <col min="14883" max="14888" width="7.81640625" style="396" customWidth="1"/>
    <col min="14889" max="14890" width="6.1796875" style="396" customWidth="1"/>
    <col min="14891" max="14895" width="7.54296875" style="396" customWidth="1"/>
    <col min="14896" max="14898" width="10.7265625" style="396" customWidth="1"/>
    <col min="14899" max="15104" width="8.7265625" style="396"/>
    <col min="15105" max="15105" width="53.54296875" style="396" customWidth="1"/>
    <col min="15106" max="15119" width="5.26953125" style="396" customWidth="1"/>
    <col min="15120" max="15120" width="4.453125" style="396" customWidth="1"/>
    <col min="15121" max="15138" width="5.26953125" style="396" customWidth="1"/>
    <col min="15139" max="15144" width="7.81640625" style="396" customWidth="1"/>
    <col min="15145" max="15146" width="6.1796875" style="396" customWidth="1"/>
    <col min="15147" max="15151" width="7.54296875" style="396" customWidth="1"/>
    <col min="15152" max="15154" width="10.7265625" style="396" customWidth="1"/>
    <col min="15155" max="15360" width="8.7265625" style="396"/>
    <col min="15361" max="15361" width="53.54296875" style="396" customWidth="1"/>
    <col min="15362" max="15375" width="5.26953125" style="396" customWidth="1"/>
    <col min="15376" max="15376" width="4.453125" style="396" customWidth="1"/>
    <col min="15377" max="15394" width="5.26953125" style="396" customWidth="1"/>
    <col min="15395" max="15400" width="7.81640625" style="396" customWidth="1"/>
    <col min="15401" max="15402" width="6.1796875" style="396" customWidth="1"/>
    <col min="15403" max="15407" width="7.54296875" style="396" customWidth="1"/>
    <col min="15408" max="15410" width="10.7265625" style="396" customWidth="1"/>
    <col min="15411" max="15616" width="8.7265625" style="396"/>
    <col min="15617" max="15617" width="53.54296875" style="396" customWidth="1"/>
    <col min="15618" max="15631" width="5.26953125" style="396" customWidth="1"/>
    <col min="15632" max="15632" width="4.453125" style="396" customWidth="1"/>
    <col min="15633" max="15650" width="5.26953125" style="396" customWidth="1"/>
    <col min="15651" max="15656" width="7.81640625" style="396" customWidth="1"/>
    <col min="15657" max="15658" width="6.1796875" style="396" customWidth="1"/>
    <col min="15659" max="15663" width="7.54296875" style="396" customWidth="1"/>
    <col min="15664" max="15666" width="10.7265625" style="396" customWidth="1"/>
    <col min="15667" max="15872" width="8.7265625" style="396"/>
    <col min="15873" max="15873" width="53.54296875" style="396" customWidth="1"/>
    <col min="15874" max="15887" width="5.26953125" style="396" customWidth="1"/>
    <col min="15888" max="15888" width="4.453125" style="396" customWidth="1"/>
    <col min="15889" max="15906" width="5.26953125" style="396" customWidth="1"/>
    <col min="15907" max="15912" width="7.81640625" style="396" customWidth="1"/>
    <col min="15913" max="15914" width="6.1796875" style="396" customWidth="1"/>
    <col min="15915" max="15919" width="7.54296875" style="396" customWidth="1"/>
    <col min="15920" max="15922" width="10.7265625" style="396" customWidth="1"/>
    <col min="15923" max="16128" width="8.7265625" style="396"/>
    <col min="16129" max="16129" width="53.54296875" style="396" customWidth="1"/>
    <col min="16130" max="16143" width="5.26953125" style="396" customWidth="1"/>
    <col min="16144" max="16144" width="4.453125" style="396" customWidth="1"/>
    <col min="16145" max="16162" width="5.26953125" style="396" customWidth="1"/>
    <col min="16163" max="16168" width="7.81640625" style="396" customWidth="1"/>
    <col min="16169" max="16170" width="6.1796875" style="396" customWidth="1"/>
    <col min="16171" max="16175" width="7.54296875" style="396" customWidth="1"/>
    <col min="16176" max="16178" width="10.7265625" style="396" customWidth="1"/>
    <col min="16179" max="16384" width="8.7265625" style="396"/>
  </cols>
  <sheetData>
    <row r="1" spans="1:50" ht="13">
      <c r="A1" s="440" t="s">
        <v>777</v>
      </c>
    </row>
    <row r="2" spans="1:50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50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</row>
    <row r="4" spans="1:50" ht="13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0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0" ht="13">
      <c r="A6" s="446" t="s">
        <v>749</v>
      </c>
      <c r="B6" s="449">
        <v>1148.1251912039354</v>
      </c>
      <c r="C6" s="449">
        <v>1417.2428604161421</v>
      </c>
      <c r="D6" s="449">
        <v>1574.061324185127</v>
      </c>
      <c r="E6" s="449">
        <v>1619.0962624277659</v>
      </c>
      <c r="F6" s="449">
        <v>1669.1854093691775</v>
      </c>
      <c r="G6" s="449">
        <v>1767.3335033428275</v>
      </c>
      <c r="H6" s="449">
        <v>1803.7871332872994</v>
      </c>
      <c r="I6" s="449">
        <v>1877.9004696751272</v>
      </c>
      <c r="J6" s="449">
        <v>2159.3270601715867</v>
      </c>
      <c r="K6" s="449">
        <v>2316.9590853680229</v>
      </c>
      <c r="L6" s="449">
        <v>2536.2098917392309</v>
      </c>
      <c r="M6" s="449">
        <v>2743.5820832845088</v>
      </c>
      <c r="N6" s="449">
        <v>2874.5451871250884</v>
      </c>
      <c r="O6" s="449">
        <v>3118.5485816687205</v>
      </c>
      <c r="P6" s="449">
        <v>3509.8096307433916</v>
      </c>
      <c r="Q6" s="449">
        <v>3907.627265014266</v>
      </c>
      <c r="R6" s="449">
        <v>4417.0117845296663</v>
      </c>
      <c r="S6" s="449">
        <v>4855.9448327814398</v>
      </c>
      <c r="T6" s="449">
        <v>5437.4265440845356</v>
      </c>
      <c r="U6" s="449">
        <v>6339.7381373501612</v>
      </c>
      <c r="V6" s="449">
        <v>7017.166592677494</v>
      </c>
      <c r="W6" s="449">
        <v>8065.0089833005368</v>
      </c>
      <c r="X6" s="449">
        <v>9677.0391766669327</v>
      </c>
      <c r="Y6" s="449">
        <v>11542.942736272942</v>
      </c>
      <c r="Z6" s="449">
        <v>13710.194167379135</v>
      </c>
      <c r="AA6" s="449">
        <v>17319.494608685203</v>
      </c>
      <c r="AB6" s="449">
        <v>21623.415594832528</v>
      </c>
      <c r="AC6" s="449">
        <v>26881.386242486624</v>
      </c>
      <c r="AD6" s="449">
        <v>40422.482483379732</v>
      </c>
      <c r="AE6" s="449">
        <v>50470.777862768329</v>
      </c>
      <c r="AF6" s="449">
        <v>62421.893051419007</v>
      </c>
      <c r="AG6" s="449">
        <v>78101.965813562347</v>
      </c>
      <c r="AH6" s="449">
        <v>93116.049684859259</v>
      </c>
      <c r="AI6" s="449">
        <v>121435.57959773713</v>
      </c>
      <c r="AJ6" s="449">
        <v>151022.00964742425</v>
      </c>
      <c r="AK6" s="449">
        <v>197994.58553072179</v>
      </c>
      <c r="AL6" s="449">
        <v>254673.85634545807</v>
      </c>
      <c r="AM6" s="449">
        <v>331490.64432661358</v>
      </c>
      <c r="AN6" s="449">
        <v>393010.33340276428</v>
      </c>
      <c r="AO6" s="449">
        <v>545870.02411140071</v>
      </c>
      <c r="AP6" s="449">
        <v>650289.44613121008</v>
      </c>
      <c r="AQ6" s="449">
        <v>762337.29446244799</v>
      </c>
      <c r="AR6" s="449">
        <v>893683.12206317461</v>
      </c>
      <c r="AS6" s="449">
        <v>1066838.0196751989</v>
      </c>
      <c r="AT6" s="449">
        <v>1280384.5512549337</v>
      </c>
      <c r="AU6" s="449">
        <v>1586858.8955569898</v>
      </c>
      <c r="AV6" s="449">
        <v>1888169.1597338081</v>
      </c>
      <c r="AW6" s="449">
        <v>1913484.6494665423</v>
      </c>
      <c r="AX6" s="450">
        <v>2116307.3482650518</v>
      </c>
    </row>
    <row r="7" spans="1:50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0" ht="13">
      <c r="A8" s="451" t="s">
        <v>750</v>
      </c>
      <c r="B8" s="449">
        <v>0</v>
      </c>
      <c r="C8" s="449">
        <v>0</v>
      </c>
      <c r="D8" s="449">
        <v>0</v>
      </c>
      <c r="E8" s="449">
        <v>0</v>
      </c>
      <c r="F8" s="449">
        <v>0</v>
      </c>
      <c r="G8" s="449">
        <v>0</v>
      </c>
      <c r="H8" s="449">
        <v>0</v>
      </c>
      <c r="I8" s="449">
        <v>0</v>
      </c>
      <c r="J8" s="449">
        <v>0</v>
      </c>
      <c r="K8" s="449">
        <v>0</v>
      </c>
      <c r="L8" s="449">
        <v>0</v>
      </c>
      <c r="M8" s="449">
        <v>0</v>
      </c>
      <c r="N8" s="449">
        <v>0</v>
      </c>
      <c r="O8" s="449">
        <v>0</v>
      </c>
      <c r="P8" s="449">
        <v>0</v>
      </c>
      <c r="Q8" s="449">
        <v>0</v>
      </c>
      <c r="R8" s="449">
        <v>0</v>
      </c>
      <c r="S8" s="449">
        <v>0</v>
      </c>
      <c r="T8" s="449">
        <v>0</v>
      </c>
      <c r="U8" s="449">
        <v>0</v>
      </c>
      <c r="V8" s="449">
        <v>0</v>
      </c>
      <c r="W8" s="449">
        <v>0</v>
      </c>
      <c r="X8" s="449">
        <v>0</v>
      </c>
      <c r="Y8" s="449">
        <v>0</v>
      </c>
      <c r="Z8" s="449">
        <v>0</v>
      </c>
      <c r="AA8" s="449">
        <v>0</v>
      </c>
      <c r="AB8" s="449">
        <v>0</v>
      </c>
      <c r="AC8" s="449">
        <v>0</v>
      </c>
      <c r="AD8" s="449">
        <v>0</v>
      </c>
      <c r="AE8" s="449">
        <v>0</v>
      </c>
      <c r="AF8" s="449">
        <v>0</v>
      </c>
      <c r="AG8" s="449">
        <v>0</v>
      </c>
      <c r="AH8" s="449">
        <v>0</v>
      </c>
      <c r="AI8" s="449">
        <v>0</v>
      </c>
      <c r="AJ8" s="449">
        <v>0</v>
      </c>
      <c r="AK8" s="449">
        <v>0</v>
      </c>
      <c r="AL8" s="449">
        <v>0</v>
      </c>
      <c r="AM8" s="449">
        <v>0</v>
      </c>
      <c r="AN8" s="449">
        <v>0</v>
      </c>
      <c r="AO8" s="449">
        <v>0</v>
      </c>
      <c r="AP8" s="449">
        <v>0</v>
      </c>
      <c r="AQ8" s="449">
        <v>0</v>
      </c>
      <c r="AR8" s="449">
        <v>0</v>
      </c>
      <c r="AS8" s="449">
        <v>0</v>
      </c>
      <c r="AT8" s="449">
        <v>0</v>
      </c>
      <c r="AU8" s="449">
        <v>0</v>
      </c>
      <c r="AV8" s="449">
        <v>0</v>
      </c>
      <c r="AW8" s="449">
        <v>0</v>
      </c>
      <c r="AX8" s="450">
        <v>0</v>
      </c>
    </row>
    <row r="9" spans="1:50" ht="13">
      <c r="A9" s="446" t="s">
        <v>778</v>
      </c>
      <c r="B9" s="449">
        <v>1093.7410000000002</v>
      </c>
      <c r="C9" s="449">
        <v>1340.019</v>
      </c>
      <c r="D9" s="449">
        <v>1480.1655000000001</v>
      </c>
      <c r="E9" s="449">
        <v>1513.2850000000001</v>
      </c>
      <c r="F9" s="449">
        <v>1541.422</v>
      </c>
      <c r="G9" s="449">
        <v>1629.59</v>
      </c>
      <c r="H9" s="449">
        <v>1653.2269999999999</v>
      </c>
      <c r="I9" s="449">
        <v>1697.277</v>
      </c>
      <c r="J9" s="449">
        <v>1929.0519999999999</v>
      </c>
      <c r="K9" s="449">
        <v>2044.9470000000001</v>
      </c>
      <c r="L9" s="449">
        <v>2211.8139999999999</v>
      </c>
      <c r="M9" s="449">
        <v>2320.2440000000001</v>
      </c>
      <c r="N9" s="449">
        <v>2456.5820000000003</v>
      </c>
      <c r="O9" s="449">
        <v>2644.0340000000001</v>
      </c>
      <c r="P9" s="449">
        <v>2988.0129145484384</v>
      </c>
      <c r="Q9" s="449">
        <v>3316.0334882151369</v>
      </c>
      <c r="R9" s="449">
        <v>3736.0976471182289</v>
      </c>
      <c r="S9" s="449">
        <v>4151.7955606428677</v>
      </c>
      <c r="T9" s="449">
        <v>4651.8822287890507</v>
      </c>
      <c r="U9" s="449">
        <v>5461.2856515567801</v>
      </c>
      <c r="V9" s="449">
        <v>6075.9758289460569</v>
      </c>
      <c r="W9" s="449">
        <v>7011.1607609568791</v>
      </c>
      <c r="X9" s="449">
        <v>8320.4754475892478</v>
      </c>
      <c r="Y9" s="449">
        <v>10044.477888843163</v>
      </c>
      <c r="Z9" s="449">
        <v>12181.727084718619</v>
      </c>
      <c r="AA9" s="449">
        <v>15080.150035215625</v>
      </c>
      <c r="AB9" s="449">
        <v>18833.681</v>
      </c>
      <c r="AC9" s="449">
        <v>23412.435000000001</v>
      </c>
      <c r="AD9" s="449">
        <v>36251.012999999999</v>
      </c>
      <c r="AE9" s="449">
        <v>44660.953000000001</v>
      </c>
      <c r="AF9" s="449">
        <v>59275.115559357422</v>
      </c>
      <c r="AG9" s="449">
        <v>70996.837029999995</v>
      </c>
      <c r="AH9" s="449">
        <v>86109.535042100004</v>
      </c>
      <c r="AI9" s="449">
        <v>111496.9</v>
      </c>
      <c r="AJ9" s="449">
        <v>140755.85799999998</v>
      </c>
      <c r="AK9" s="449">
        <v>185566.78700000001</v>
      </c>
      <c r="AL9" s="449">
        <v>231910.20199999999</v>
      </c>
      <c r="AM9" s="449">
        <v>283189.15400000004</v>
      </c>
      <c r="AN9" s="449">
        <v>337083.51199999999</v>
      </c>
      <c r="AO9" s="449">
        <v>485595.74099999998</v>
      </c>
      <c r="AP9" s="449">
        <v>572641.652</v>
      </c>
      <c r="AQ9" s="449">
        <v>661894.63899999997</v>
      </c>
      <c r="AR9" s="449">
        <v>785569.83600000001</v>
      </c>
      <c r="AS9" s="449">
        <v>951792</v>
      </c>
      <c r="AT9" s="449">
        <v>1135298</v>
      </c>
      <c r="AU9" s="449">
        <v>1339467</v>
      </c>
      <c r="AV9" s="449">
        <v>1484035</v>
      </c>
      <c r="AW9" s="449">
        <v>1600004</v>
      </c>
      <c r="AX9" s="450">
        <v>1785146</v>
      </c>
    </row>
    <row r="10" spans="1:50" ht="13">
      <c r="A10" s="451" t="s">
        <v>752</v>
      </c>
      <c r="B10" s="449">
        <v>12.312999999999999</v>
      </c>
      <c r="C10" s="449">
        <v>14.416</v>
      </c>
      <c r="D10" s="449">
        <v>13.995999999999999</v>
      </c>
      <c r="E10" s="449">
        <v>15.260999999999999</v>
      </c>
      <c r="F10" s="449">
        <v>16.509</v>
      </c>
      <c r="G10" s="449">
        <v>17.526</v>
      </c>
      <c r="H10" s="449">
        <v>21.058999999999997</v>
      </c>
      <c r="I10" s="449">
        <v>23.042999999999999</v>
      </c>
      <c r="J10" s="449">
        <v>21.195</v>
      </c>
      <c r="K10" s="449">
        <v>25.34</v>
      </c>
      <c r="L10" s="449">
        <v>30.357999999999997</v>
      </c>
      <c r="M10" s="449">
        <v>29.926000000000002</v>
      </c>
      <c r="N10" s="449">
        <v>25.207999999999998</v>
      </c>
      <c r="O10" s="449">
        <v>31.241</v>
      </c>
      <c r="P10" s="449">
        <v>30.3</v>
      </c>
      <c r="Q10" s="449">
        <v>30.815000000000001</v>
      </c>
      <c r="R10" s="449">
        <v>28.347999999999999</v>
      </c>
      <c r="S10" s="449">
        <v>34.094000000000001</v>
      </c>
      <c r="T10" s="449">
        <v>33.364000000000004</v>
      </c>
      <c r="U10" s="449">
        <v>38.103000000000002</v>
      </c>
      <c r="V10" s="449">
        <v>41.947000000000003</v>
      </c>
      <c r="W10" s="449">
        <v>64.303327999999993</v>
      </c>
      <c r="X10" s="449">
        <v>91.894642464</v>
      </c>
      <c r="Y10" s="449">
        <v>42.272626877632</v>
      </c>
      <c r="Z10" s="449">
        <v>14.459990698982018</v>
      </c>
      <c r="AA10" s="449">
        <v>19.009470345543335</v>
      </c>
      <c r="AB10" s="449">
        <v>20.585699999999996</v>
      </c>
      <c r="AC10" s="449">
        <v>31.3416</v>
      </c>
      <c r="AD10" s="449">
        <v>36.570749999999997</v>
      </c>
      <c r="AE10" s="449">
        <v>63.541499999999999</v>
      </c>
      <c r="AF10" s="449">
        <v>76</v>
      </c>
      <c r="AG10" s="449">
        <v>262</v>
      </c>
      <c r="AH10" s="449">
        <v>351.46</v>
      </c>
      <c r="AI10" s="449">
        <v>495</v>
      </c>
      <c r="AJ10" s="449">
        <v>565</v>
      </c>
      <c r="AK10" s="449">
        <v>701</v>
      </c>
      <c r="AL10" s="449">
        <v>797</v>
      </c>
      <c r="AM10" s="449">
        <v>932</v>
      </c>
      <c r="AN10" s="449">
        <v>2467</v>
      </c>
      <c r="AO10" s="449">
        <v>3680</v>
      </c>
      <c r="AP10" s="449">
        <v>5672</v>
      </c>
      <c r="AQ10" s="449">
        <v>8444</v>
      </c>
      <c r="AR10" s="449">
        <v>6807</v>
      </c>
      <c r="AS10" s="449">
        <v>8508</v>
      </c>
      <c r="AT10" s="449">
        <v>9182</v>
      </c>
      <c r="AU10" s="449">
        <v>10784</v>
      </c>
      <c r="AV10" s="449">
        <v>11781</v>
      </c>
      <c r="AW10" s="449">
        <v>14475</v>
      </c>
      <c r="AX10" s="450">
        <v>69277</v>
      </c>
    </row>
    <row r="11" spans="1:50" ht="13">
      <c r="A11" s="446" t="s">
        <v>753</v>
      </c>
      <c r="B11" s="449">
        <v>32.164999999999999</v>
      </c>
      <c r="C11" s="449">
        <v>46.52</v>
      </c>
      <c r="D11" s="449">
        <v>63.71</v>
      </c>
      <c r="E11" s="449">
        <v>71.900000000000006</v>
      </c>
      <c r="F11" s="449">
        <v>86.251000000000005</v>
      </c>
      <c r="G11" s="449">
        <v>100.42100000000001</v>
      </c>
      <c r="H11" s="449">
        <v>111.434</v>
      </c>
      <c r="I11" s="449">
        <v>138.15100000000001</v>
      </c>
      <c r="J11" s="449">
        <v>189.5</v>
      </c>
      <c r="K11" s="449">
        <v>224.00399999999999</v>
      </c>
      <c r="L11" s="449">
        <v>263.35000000000002</v>
      </c>
      <c r="M11" s="449">
        <v>303.55700000000002</v>
      </c>
      <c r="N11" s="449">
        <v>338.07900000000001</v>
      </c>
      <c r="O11" s="449">
        <v>379.93299999999999</v>
      </c>
      <c r="P11" s="449">
        <v>419.74393326882517</v>
      </c>
      <c r="Q11" s="449">
        <v>477.81400000000002</v>
      </c>
      <c r="R11" s="449">
        <v>531.21199999999999</v>
      </c>
      <c r="S11" s="449">
        <v>554.76599999999996</v>
      </c>
      <c r="T11" s="449">
        <v>633.58500000000004</v>
      </c>
      <c r="U11" s="449">
        <v>705.16499999999996</v>
      </c>
      <c r="V11" s="449">
        <v>783.43899999999996</v>
      </c>
      <c r="W11" s="449">
        <v>888.76800000000003</v>
      </c>
      <c r="X11" s="449">
        <v>956.67200000000003</v>
      </c>
      <c r="Y11" s="449">
        <v>1103.5360000000001</v>
      </c>
      <c r="Z11" s="449">
        <v>1112.414</v>
      </c>
      <c r="AA11" s="449">
        <v>1220.49</v>
      </c>
      <c r="AB11" s="449">
        <v>1339.742</v>
      </c>
      <c r="AC11" s="449">
        <v>1354.2</v>
      </c>
      <c r="AD11" s="449">
        <v>1183.338</v>
      </c>
      <c r="AE11" s="449">
        <v>1027.1880000000001</v>
      </c>
      <c r="AF11" s="449">
        <v>584.03825101577172</v>
      </c>
      <c r="AG11" s="449">
        <v>460.21899999999999</v>
      </c>
      <c r="AH11" s="449">
        <v>488.08600000000001</v>
      </c>
      <c r="AI11" s="449">
        <v>615.01800000000003</v>
      </c>
      <c r="AJ11" s="449">
        <v>1027.3150000000001</v>
      </c>
      <c r="AK11" s="449">
        <v>701.68100000000004</v>
      </c>
      <c r="AL11" s="449">
        <v>729.03300000000002</v>
      </c>
      <c r="AM11" s="449">
        <v>616.81200000000001</v>
      </c>
      <c r="AN11" s="449">
        <v>1979.6390000000001</v>
      </c>
      <c r="AO11" s="449">
        <v>4378</v>
      </c>
      <c r="AP11" s="449">
        <v>8635</v>
      </c>
      <c r="AQ11" s="449">
        <v>10130</v>
      </c>
      <c r="AR11" s="449">
        <v>12724</v>
      </c>
      <c r="AS11" s="449">
        <v>21613</v>
      </c>
      <c r="AT11" s="449">
        <v>17536</v>
      </c>
      <c r="AU11" s="449">
        <v>10946</v>
      </c>
      <c r="AV11" s="449">
        <v>5211</v>
      </c>
      <c r="AW11" s="449">
        <v>7261</v>
      </c>
      <c r="AX11" s="450">
        <v>11023</v>
      </c>
    </row>
    <row r="12" spans="1:50" ht="13">
      <c r="A12" s="446" t="s">
        <v>754</v>
      </c>
      <c r="B12" s="449">
        <v>0.65367800560742506</v>
      </c>
      <c r="C12" s="449">
        <v>0.93323671185086177</v>
      </c>
      <c r="D12" s="449">
        <v>1.2409290195431695</v>
      </c>
      <c r="E12" s="449">
        <v>1.2679774373075736</v>
      </c>
      <c r="F12" s="449">
        <v>1.3201663454844506</v>
      </c>
      <c r="G12" s="449">
        <v>1.3714483967665019</v>
      </c>
      <c r="H12" s="449">
        <v>1.4202460671152659</v>
      </c>
      <c r="I12" s="449">
        <v>1.5698442267427299</v>
      </c>
      <c r="J12" s="449">
        <v>1.7247367068024846</v>
      </c>
      <c r="K12" s="449">
        <v>1.8391721534645393</v>
      </c>
      <c r="L12" s="449">
        <v>2.0186593329517186</v>
      </c>
      <c r="M12" s="449">
        <v>2.2237875380799239</v>
      </c>
      <c r="N12" s="449">
        <v>2.3776336919260777</v>
      </c>
      <c r="O12" s="449">
        <v>2.4801977944901803</v>
      </c>
      <c r="P12" s="449">
        <v>2.5820961272924396</v>
      </c>
      <c r="Q12" s="449">
        <v>2.838506383702696</v>
      </c>
      <c r="R12" s="449">
        <v>3.0436345888309013</v>
      </c>
      <c r="S12" s="449">
        <v>4.8905243455066945</v>
      </c>
      <c r="T12" s="449">
        <v>7.5678234215140208</v>
      </c>
      <c r="U12" s="449">
        <v>13.596255751612695</v>
      </c>
      <c r="V12" s="449">
        <v>20.191776050597319</v>
      </c>
      <c r="W12" s="449">
        <v>26.345486363777191</v>
      </c>
      <c r="X12" s="449">
        <v>36.63954140795807</v>
      </c>
      <c r="Y12" s="449">
        <v>47.795135867649066</v>
      </c>
      <c r="Z12" s="449">
        <v>68.004628748227162</v>
      </c>
      <c r="AA12" s="449">
        <v>88.857775976962287</v>
      </c>
      <c r="AB12" s="449">
        <v>109.05606238051706</v>
      </c>
      <c r="AC12" s="449">
        <v>142.93398484844278</v>
      </c>
      <c r="AD12" s="449">
        <v>179.17317470599784</v>
      </c>
      <c r="AE12" s="449">
        <v>198.36164335827397</v>
      </c>
      <c r="AF12" s="449">
        <v>240.36824104581075</v>
      </c>
      <c r="AG12" s="449">
        <v>288.99681356234811</v>
      </c>
      <c r="AH12" s="449">
        <v>331.69968485925796</v>
      </c>
      <c r="AI12" s="449">
        <v>390.62259773713288</v>
      </c>
      <c r="AJ12" s="449">
        <v>460.29764742426374</v>
      </c>
      <c r="AK12" s="449">
        <v>559.73253072176772</v>
      </c>
      <c r="AL12" s="449">
        <v>701.74234545810759</v>
      </c>
      <c r="AM12" s="449">
        <v>842.26132661351835</v>
      </c>
      <c r="AN12" s="449">
        <v>1022.6634027642214</v>
      </c>
      <c r="AO12" s="449">
        <v>1197.0621114007888</v>
      </c>
      <c r="AP12" s="449">
        <v>1464.692131210154</v>
      </c>
      <c r="AQ12" s="449">
        <v>1769.9044624479548</v>
      </c>
      <c r="AR12" s="449">
        <v>2085.5030631745094</v>
      </c>
      <c r="AS12" s="449">
        <v>2486.0196751988997</v>
      </c>
      <c r="AT12" s="449">
        <v>2989.5512549336499</v>
      </c>
      <c r="AU12" s="449">
        <v>3356.8955569898262</v>
      </c>
      <c r="AV12" s="449">
        <v>3695.159733808212</v>
      </c>
      <c r="AW12" s="449">
        <v>4061.6494665424061</v>
      </c>
      <c r="AX12" s="450">
        <v>4518.3482650520145</v>
      </c>
    </row>
    <row r="13" spans="1:50" ht="13">
      <c r="A13" s="451" t="s">
        <v>755</v>
      </c>
      <c r="B13" s="449">
        <v>9.2525131983278186</v>
      </c>
      <c r="C13" s="449">
        <v>15.354623704291344</v>
      </c>
      <c r="D13" s="449">
        <v>14.948895165583401</v>
      </c>
      <c r="E13" s="449">
        <v>17.382284990458242</v>
      </c>
      <c r="F13" s="449">
        <v>23.683243023693045</v>
      </c>
      <c r="G13" s="449">
        <v>18.425054946061007</v>
      </c>
      <c r="H13" s="449">
        <v>16.646887220184443</v>
      </c>
      <c r="I13" s="449">
        <v>17.859625448384449</v>
      </c>
      <c r="J13" s="449">
        <v>17.85532346478432</v>
      </c>
      <c r="K13" s="449">
        <v>20.828913214558316</v>
      </c>
      <c r="L13" s="449">
        <v>28.669232406279324</v>
      </c>
      <c r="M13" s="449">
        <v>87.63129574642943</v>
      </c>
      <c r="N13" s="449">
        <v>52.298553433161871</v>
      </c>
      <c r="O13" s="449">
        <v>60.860383874230003</v>
      </c>
      <c r="P13" s="449">
        <v>69.170686798835661</v>
      </c>
      <c r="Q13" s="449">
        <v>80.126270415426262</v>
      </c>
      <c r="R13" s="449">
        <v>118.31050282260613</v>
      </c>
      <c r="S13" s="449">
        <v>110.39874779306548</v>
      </c>
      <c r="T13" s="449">
        <v>111.02749187397153</v>
      </c>
      <c r="U13" s="449">
        <v>121.58823004176905</v>
      </c>
      <c r="V13" s="449">
        <v>95.61298768083924</v>
      </c>
      <c r="W13" s="449">
        <v>74.43140797988039</v>
      </c>
      <c r="X13" s="449">
        <v>271.35754520572704</v>
      </c>
      <c r="Y13" s="449">
        <v>304.86108468449822</v>
      </c>
      <c r="Z13" s="449">
        <v>333.58846321330526</v>
      </c>
      <c r="AA13" s="449">
        <v>910.98732714707171</v>
      </c>
      <c r="AB13" s="449">
        <v>1320.3508324520126</v>
      </c>
      <c r="AC13" s="449">
        <v>1940.4756576381806</v>
      </c>
      <c r="AD13" s="449">
        <v>2772.3875586737313</v>
      </c>
      <c r="AE13" s="449">
        <v>4520.7337194100519</v>
      </c>
      <c r="AF13" s="449">
        <v>2246.3710000000001</v>
      </c>
      <c r="AG13" s="449">
        <v>6093.9129700000003</v>
      </c>
      <c r="AH13" s="449">
        <v>5835.2689579000007</v>
      </c>
      <c r="AI13" s="449">
        <v>8438.0390000000007</v>
      </c>
      <c r="AJ13" s="449">
        <v>8213.5389999999989</v>
      </c>
      <c r="AK13" s="449">
        <v>10465.385</v>
      </c>
      <c r="AL13" s="449">
        <v>20535.879000000001</v>
      </c>
      <c r="AM13" s="449">
        <v>45910.417000000001</v>
      </c>
      <c r="AN13" s="449">
        <v>50457.519</v>
      </c>
      <c r="AO13" s="449">
        <v>51019.220999999998</v>
      </c>
      <c r="AP13" s="449">
        <v>61876.101999999999</v>
      </c>
      <c r="AQ13" s="449">
        <v>80098.751000000004</v>
      </c>
      <c r="AR13" s="449">
        <v>86496.782999999996</v>
      </c>
      <c r="AS13" s="449">
        <v>82439</v>
      </c>
      <c r="AT13" s="449">
        <v>115379</v>
      </c>
      <c r="AU13" s="449">
        <v>222305</v>
      </c>
      <c r="AV13" s="449">
        <v>383447</v>
      </c>
      <c r="AW13" s="449">
        <v>287683</v>
      </c>
      <c r="AX13" s="450">
        <v>246343</v>
      </c>
    </row>
    <row r="14" spans="1:50" ht="13">
      <c r="A14" s="457" t="s">
        <v>770</v>
      </c>
      <c r="B14" s="458">
        <v>3.696509584379025</v>
      </c>
      <c r="C14" s="458">
        <v>6.3424684360266941</v>
      </c>
      <c r="D14" s="458">
        <v>4.021235813708901</v>
      </c>
      <c r="E14" s="458">
        <v>4.5443119354723072</v>
      </c>
      <c r="F14" s="458">
        <v>12.93155135792272</v>
      </c>
      <c r="G14" s="458">
        <v>5.2027126066942504</v>
      </c>
      <c r="H14" s="458">
        <v>6.1860359895948296</v>
      </c>
      <c r="I14" s="458">
        <v>5.7374031676386368</v>
      </c>
      <c r="J14" s="458">
        <v>4.974040862458641</v>
      </c>
      <c r="K14" s="458">
        <v>5.5521346472412931</v>
      </c>
      <c r="L14" s="458">
        <v>6.1143082008080203</v>
      </c>
      <c r="M14" s="458">
        <v>61.912504694149888</v>
      </c>
      <c r="N14" s="458">
        <v>20.65470494133222</v>
      </c>
      <c r="O14" s="458">
        <v>28.652339677815846</v>
      </c>
      <c r="P14" s="458">
        <v>29.661327679178065</v>
      </c>
      <c r="Q14" s="458">
        <v>32.662273784584613</v>
      </c>
      <c r="R14" s="458">
        <v>32.679116418053994</v>
      </c>
      <c r="S14" s="458">
        <v>32.696690150247527</v>
      </c>
      <c r="T14" s="458">
        <v>13.682968194973125</v>
      </c>
      <c r="U14" s="458">
        <v>38.666718511095546</v>
      </c>
      <c r="V14" s="458">
        <v>27.634453460965741</v>
      </c>
      <c r="W14" s="458">
        <v>2.8807421199518952</v>
      </c>
      <c r="X14" s="458">
        <v>0.89114868300764827</v>
      </c>
      <c r="Y14" s="458">
        <v>111.88767982865573</v>
      </c>
      <c r="Z14" s="458">
        <v>153.88891159716485</v>
      </c>
      <c r="AA14" s="458">
        <v>199.2604904987607</v>
      </c>
      <c r="AB14" s="458">
        <v>267.34274470583119</v>
      </c>
      <c r="AC14" s="458">
        <v>479.67270948384572</v>
      </c>
      <c r="AD14" s="458">
        <v>1026.0672743418852</v>
      </c>
      <c r="AE14" s="458">
        <v>1363.1443588290647</v>
      </c>
      <c r="AF14" s="458">
        <v>2016</v>
      </c>
      <c r="AG14" s="458">
        <v>5807</v>
      </c>
      <c r="AH14" s="458">
        <v>5526.8860000000004</v>
      </c>
      <c r="AI14" s="458">
        <v>7987</v>
      </c>
      <c r="AJ14" s="458">
        <v>7444.3059999999996</v>
      </c>
      <c r="AK14" s="458">
        <v>9318.2780000000002</v>
      </c>
      <c r="AL14" s="458">
        <v>18748.195</v>
      </c>
      <c r="AM14" s="458">
        <v>43628.457999999999</v>
      </c>
      <c r="AN14" s="458">
        <v>47549.103000000003</v>
      </c>
      <c r="AO14" s="458">
        <v>34055</v>
      </c>
      <c r="AP14" s="458">
        <v>30124</v>
      </c>
      <c r="AQ14" s="458">
        <v>41307</v>
      </c>
      <c r="AR14" s="458">
        <v>43895</v>
      </c>
      <c r="AS14" s="458">
        <v>48549</v>
      </c>
      <c r="AT14" s="458">
        <v>59369</v>
      </c>
      <c r="AU14" s="458">
        <v>84689</v>
      </c>
      <c r="AV14" s="458">
        <v>201876</v>
      </c>
      <c r="AW14" s="458">
        <v>218620</v>
      </c>
      <c r="AX14" s="459">
        <v>159685</v>
      </c>
    </row>
    <row r="15" spans="1:50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8"/>
    </row>
    <row r="16" spans="1:50" ht="13">
      <c r="A16" s="446" t="s">
        <v>756</v>
      </c>
      <c r="B16" s="449">
        <v>8</v>
      </c>
      <c r="C16" s="449">
        <v>12</v>
      </c>
      <c r="D16" s="449">
        <v>11</v>
      </c>
      <c r="E16" s="449">
        <v>5</v>
      </c>
      <c r="F16" s="449">
        <v>6</v>
      </c>
      <c r="G16" s="449">
        <v>5</v>
      </c>
      <c r="H16" s="449">
        <v>8</v>
      </c>
      <c r="I16" s="449">
        <v>7</v>
      </c>
      <c r="J16" s="449">
        <v>9</v>
      </c>
      <c r="K16" s="449">
        <v>12</v>
      </c>
      <c r="L16" s="449">
        <v>10</v>
      </c>
      <c r="M16" s="449">
        <v>10</v>
      </c>
      <c r="N16" s="449">
        <v>2</v>
      </c>
      <c r="O16" s="449">
        <v>3</v>
      </c>
      <c r="P16" s="449">
        <v>3</v>
      </c>
      <c r="Q16" s="449">
        <v>1</v>
      </c>
      <c r="R16" s="449">
        <v>3</v>
      </c>
      <c r="S16" s="449">
        <v>6</v>
      </c>
      <c r="T16" s="449">
        <v>14</v>
      </c>
      <c r="U16" s="449">
        <v>4</v>
      </c>
      <c r="V16" s="449">
        <v>5</v>
      </c>
      <c r="W16" s="449">
        <v>9</v>
      </c>
      <c r="X16" s="449">
        <v>8</v>
      </c>
      <c r="Y16" s="449">
        <v>1</v>
      </c>
      <c r="Z16" s="449">
        <v>0</v>
      </c>
      <c r="AA16" s="449">
        <v>1</v>
      </c>
      <c r="AB16" s="449">
        <v>166</v>
      </c>
      <c r="AC16" s="449">
        <v>321</v>
      </c>
      <c r="AD16" s="449">
        <v>0</v>
      </c>
      <c r="AE16" s="449">
        <v>65</v>
      </c>
      <c r="AF16" s="460">
        <v>7</v>
      </c>
      <c r="AG16" s="460">
        <v>1060</v>
      </c>
      <c r="AH16" s="447">
        <v>1043</v>
      </c>
      <c r="AI16" s="447">
        <v>1671.681</v>
      </c>
      <c r="AJ16" s="447">
        <v>1697.5719999999999</v>
      </c>
      <c r="AK16" s="447">
        <v>1912.0150000000001</v>
      </c>
      <c r="AL16" s="447">
        <v>1802.6379999999999</v>
      </c>
      <c r="AM16" s="447">
        <v>1788.845</v>
      </c>
      <c r="AN16" s="447">
        <v>2032.886</v>
      </c>
      <c r="AO16" s="447">
        <v>12223</v>
      </c>
      <c r="AP16" s="447">
        <v>3982</v>
      </c>
      <c r="AQ16" s="447">
        <v>3973</v>
      </c>
      <c r="AR16" s="447">
        <v>2684</v>
      </c>
      <c r="AS16" s="447">
        <v>2575</v>
      </c>
      <c r="AT16" s="447">
        <v>2452</v>
      </c>
      <c r="AU16" s="447">
        <v>3686</v>
      </c>
      <c r="AV16" s="447">
        <v>3755</v>
      </c>
      <c r="AW16" s="447">
        <v>3934</v>
      </c>
      <c r="AX16" s="448">
        <v>4442</v>
      </c>
    </row>
    <row r="17" spans="1:50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8"/>
    </row>
    <row r="18" spans="1:50" ht="13">
      <c r="A18" s="446" t="s">
        <v>757</v>
      </c>
      <c r="B18" s="449">
        <v>8</v>
      </c>
      <c r="C18" s="449">
        <v>12</v>
      </c>
      <c r="D18" s="449">
        <v>11</v>
      </c>
      <c r="E18" s="449">
        <v>5</v>
      </c>
      <c r="F18" s="449">
        <v>6</v>
      </c>
      <c r="G18" s="449">
        <v>5</v>
      </c>
      <c r="H18" s="449">
        <v>8</v>
      </c>
      <c r="I18" s="449">
        <v>7</v>
      </c>
      <c r="J18" s="449">
        <v>9</v>
      </c>
      <c r="K18" s="449">
        <v>12</v>
      </c>
      <c r="L18" s="449">
        <v>10</v>
      </c>
      <c r="M18" s="449">
        <v>10</v>
      </c>
      <c r="N18" s="449">
        <v>2</v>
      </c>
      <c r="O18" s="449">
        <v>3</v>
      </c>
      <c r="P18" s="449">
        <v>3</v>
      </c>
      <c r="Q18" s="449">
        <v>1</v>
      </c>
      <c r="R18" s="449">
        <v>3</v>
      </c>
      <c r="S18" s="449">
        <v>6</v>
      </c>
      <c r="T18" s="449">
        <v>14</v>
      </c>
      <c r="U18" s="449">
        <v>4</v>
      </c>
      <c r="V18" s="449">
        <v>5</v>
      </c>
      <c r="W18" s="449">
        <v>9</v>
      </c>
      <c r="X18" s="449">
        <v>8</v>
      </c>
      <c r="Y18" s="449">
        <v>1</v>
      </c>
      <c r="Z18" s="449">
        <v>0</v>
      </c>
      <c r="AA18" s="449">
        <v>1</v>
      </c>
      <c r="AB18" s="449">
        <v>166</v>
      </c>
      <c r="AC18" s="449">
        <v>321</v>
      </c>
      <c r="AD18" s="449">
        <v>0</v>
      </c>
      <c r="AE18" s="449">
        <v>65</v>
      </c>
      <c r="AF18" s="449">
        <v>7</v>
      </c>
      <c r="AG18" s="449">
        <v>1060</v>
      </c>
      <c r="AH18" s="449">
        <v>1043</v>
      </c>
      <c r="AI18" s="449">
        <v>1671.681</v>
      </c>
      <c r="AJ18" s="449">
        <v>1697.5719999999999</v>
      </c>
      <c r="AK18" s="449">
        <v>1912.0150000000001</v>
      </c>
      <c r="AL18" s="449">
        <v>1802.6379999999999</v>
      </c>
      <c r="AM18" s="449">
        <v>1788.845</v>
      </c>
      <c r="AN18" s="449">
        <v>2032.886</v>
      </c>
      <c r="AO18" s="449">
        <v>12223</v>
      </c>
      <c r="AP18" s="449">
        <v>3982</v>
      </c>
      <c r="AQ18" s="449">
        <v>3973</v>
      </c>
      <c r="AR18" s="449">
        <v>2684</v>
      </c>
      <c r="AS18" s="449">
        <v>2575</v>
      </c>
      <c r="AT18" s="449">
        <v>2452</v>
      </c>
      <c r="AU18" s="449">
        <v>3686</v>
      </c>
      <c r="AV18" s="449">
        <v>3755</v>
      </c>
      <c r="AW18" s="449">
        <v>3934</v>
      </c>
      <c r="AX18" s="450">
        <v>4442</v>
      </c>
    </row>
    <row r="19" spans="1:50" ht="13">
      <c r="A19" s="457" t="s">
        <v>770</v>
      </c>
      <c r="B19" s="449">
        <v>0</v>
      </c>
      <c r="C19" s="449">
        <v>0</v>
      </c>
      <c r="D19" s="449">
        <v>5.3380000000000001</v>
      </c>
      <c r="E19" s="449">
        <v>1.621</v>
      </c>
      <c r="F19" s="449">
        <v>2.3220000000000001</v>
      </c>
      <c r="G19" s="449">
        <v>2.52</v>
      </c>
      <c r="H19" s="449">
        <v>1.859</v>
      </c>
      <c r="I19" s="449">
        <v>1.78</v>
      </c>
      <c r="J19" s="449">
        <v>2.37</v>
      </c>
      <c r="K19" s="449">
        <v>2.5539999999999998</v>
      </c>
      <c r="L19" s="449">
        <v>3.8519999999999999</v>
      </c>
      <c r="M19" s="449">
        <v>3.3919999999999999</v>
      </c>
      <c r="N19" s="449">
        <v>2</v>
      </c>
      <c r="O19" s="449">
        <v>3</v>
      </c>
      <c r="P19" s="449">
        <v>2</v>
      </c>
      <c r="Q19" s="449">
        <v>1</v>
      </c>
      <c r="R19" s="449">
        <v>3</v>
      </c>
      <c r="S19" s="449">
        <v>5</v>
      </c>
      <c r="T19" s="449">
        <v>5</v>
      </c>
      <c r="U19" s="449">
        <v>4</v>
      </c>
      <c r="V19" s="449">
        <v>5</v>
      </c>
      <c r="W19" s="449">
        <v>9</v>
      </c>
      <c r="X19" s="449">
        <v>8</v>
      </c>
      <c r="Y19" s="449">
        <v>1</v>
      </c>
      <c r="Z19" s="449">
        <v>0</v>
      </c>
      <c r="AA19" s="449">
        <v>1</v>
      </c>
      <c r="AB19" s="449">
        <v>166</v>
      </c>
      <c r="AC19" s="449">
        <v>321</v>
      </c>
      <c r="AD19" s="449">
        <v>0</v>
      </c>
      <c r="AE19" s="449">
        <v>64</v>
      </c>
      <c r="AF19" s="449">
        <v>7</v>
      </c>
      <c r="AG19" s="449">
        <v>1059</v>
      </c>
      <c r="AH19" s="449">
        <v>1043</v>
      </c>
      <c r="AI19" s="449">
        <v>1671.681</v>
      </c>
      <c r="AJ19" s="449">
        <v>1697.5719999999999</v>
      </c>
      <c r="AK19" s="449">
        <v>1912.0150000000001</v>
      </c>
      <c r="AL19" s="449">
        <v>1800.6379999999999</v>
      </c>
      <c r="AM19" s="449">
        <v>1580.2149999999999</v>
      </c>
      <c r="AN19" s="449">
        <v>1815.886</v>
      </c>
      <c r="AO19" s="447">
        <v>12019</v>
      </c>
      <c r="AP19" s="447">
        <v>3780</v>
      </c>
      <c r="AQ19" s="447">
        <v>3764</v>
      </c>
      <c r="AR19" s="447">
        <v>2462</v>
      </c>
      <c r="AS19" s="447">
        <v>2358</v>
      </c>
      <c r="AT19" s="447">
        <v>2241</v>
      </c>
      <c r="AU19" s="447">
        <v>3479</v>
      </c>
      <c r="AV19" s="447">
        <v>3549</v>
      </c>
      <c r="AW19" s="447">
        <v>3730</v>
      </c>
      <c r="AX19" s="448">
        <v>4083</v>
      </c>
    </row>
    <row r="20" spans="1:5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0" ht="13">
      <c r="A21" s="446" t="s">
        <v>758</v>
      </c>
      <c r="B21" s="449">
        <v>1156.1251912039354</v>
      </c>
      <c r="C21" s="449">
        <v>1429.2428604161421</v>
      </c>
      <c r="D21" s="449">
        <v>1585.061324185127</v>
      </c>
      <c r="E21" s="449">
        <v>1624.0962624277659</v>
      </c>
      <c r="F21" s="449">
        <v>1675.1854093691775</v>
      </c>
      <c r="G21" s="449">
        <v>1772.3335033428275</v>
      </c>
      <c r="H21" s="449">
        <v>1811.7871332872994</v>
      </c>
      <c r="I21" s="449">
        <v>1884.9004696751272</v>
      </c>
      <c r="J21" s="449">
        <v>2168.3270601715867</v>
      </c>
      <c r="K21" s="449">
        <v>2328.9590853680229</v>
      </c>
      <c r="L21" s="449">
        <v>2546.2098917392309</v>
      </c>
      <c r="M21" s="449">
        <v>2753.5820832845088</v>
      </c>
      <c r="N21" s="449">
        <v>2876.5451871250884</v>
      </c>
      <c r="O21" s="449">
        <v>3121.5485816687205</v>
      </c>
      <c r="P21" s="449">
        <v>3512.8096307433916</v>
      </c>
      <c r="Q21" s="449">
        <v>3908.627265014266</v>
      </c>
      <c r="R21" s="449">
        <v>4420.0117845296663</v>
      </c>
      <c r="S21" s="449">
        <v>4861.9448327814398</v>
      </c>
      <c r="T21" s="449">
        <v>5451.4265440845356</v>
      </c>
      <c r="U21" s="449">
        <v>6343.7381373501612</v>
      </c>
      <c r="V21" s="449">
        <v>7022.166592677494</v>
      </c>
      <c r="W21" s="449">
        <v>8074.0089833005368</v>
      </c>
      <c r="X21" s="449">
        <v>9685.0391766669327</v>
      </c>
      <c r="Y21" s="449">
        <v>11543.942736272942</v>
      </c>
      <c r="Z21" s="449">
        <v>13710.194167379135</v>
      </c>
      <c r="AA21" s="449">
        <v>17320.494608685203</v>
      </c>
      <c r="AB21" s="449">
        <v>21789.415594832528</v>
      </c>
      <c r="AC21" s="449">
        <v>27202.386242486624</v>
      </c>
      <c r="AD21" s="449">
        <v>40422.482483379732</v>
      </c>
      <c r="AE21" s="449">
        <v>50535.777862768329</v>
      </c>
      <c r="AF21" s="449">
        <v>62428.893051419007</v>
      </c>
      <c r="AG21" s="449">
        <v>79161.965813562347</v>
      </c>
      <c r="AH21" s="449">
        <v>94159.049684859259</v>
      </c>
      <c r="AI21" s="449">
        <v>123107.26059773713</v>
      </c>
      <c r="AJ21" s="449">
        <v>152719.58164742423</v>
      </c>
      <c r="AK21" s="449">
        <v>199906.6005307218</v>
      </c>
      <c r="AL21" s="449">
        <v>256476.49434545808</v>
      </c>
      <c r="AM21" s="449">
        <v>333279.48932661355</v>
      </c>
      <c r="AN21" s="449">
        <v>395043.21940276428</v>
      </c>
      <c r="AO21" s="449">
        <v>558093.02411140071</v>
      </c>
      <c r="AP21" s="449">
        <v>654271.44613121008</v>
      </c>
      <c r="AQ21" s="449">
        <v>766310.29446244799</v>
      </c>
      <c r="AR21" s="449">
        <v>896367.12206317461</v>
      </c>
      <c r="AS21" s="449">
        <v>1069413.0196751989</v>
      </c>
      <c r="AT21" s="449">
        <v>1282836.5512549337</v>
      </c>
      <c r="AU21" s="449">
        <v>1590544.8955569898</v>
      </c>
      <c r="AV21" s="449">
        <v>1891924.1597338081</v>
      </c>
      <c r="AW21" s="449">
        <v>1917418.6494665423</v>
      </c>
      <c r="AX21" s="450">
        <v>2120749.3482650518</v>
      </c>
    </row>
    <row r="22" spans="1:5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</row>
    <row r="23" spans="1:50" ht="13">
      <c r="A23" s="446" t="s">
        <v>759</v>
      </c>
      <c r="B23" s="449">
        <v>703.73119120393517</v>
      </c>
      <c r="C23" s="449">
        <v>982.0518604161424</v>
      </c>
      <c r="D23" s="449">
        <v>1124.8648241851265</v>
      </c>
      <c r="E23" s="449">
        <v>1078.5202624277658</v>
      </c>
      <c r="F23" s="449">
        <v>1095.5584093691775</v>
      </c>
      <c r="G23" s="449">
        <v>1136.5165033428275</v>
      </c>
      <c r="H23" s="449">
        <v>1164.4221332872996</v>
      </c>
      <c r="I23" s="449">
        <v>1212.8274696751273</v>
      </c>
      <c r="J23" s="449">
        <v>1376.9700601715867</v>
      </c>
      <c r="K23" s="449">
        <v>1444.9620853680231</v>
      </c>
      <c r="L23" s="449">
        <v>1583.6818917392311</v>
      </c>
      <c r="M23" s="449">
        <v>1727.477083284509</v>
      </c>
      <c r="N23" s="449">
        <v>1835.983482183756</v>
      </c>
      <c r="O23" s="449">
        <v>2036.9738419909045</v>
      </c>
      <c r="P23" s="449">
        <v>2248.4109557690781</v>
      </c>
      <c r="Q23" s="449">
        <v>2521.5710534896234</v>
      </c>
      <c r="R23" s="449">
        <v>2851.6511497160932</v>
      </c>
      <c r="S23" s="449">
        <v>3242.5554639969127</v>
      </c>
      <c r="T23" s="449">
        <v>3749.4033471005123</v>
      </c>
      <c r="U23" s="449">
        <v>4412.7087672822863</v>
      </c>
      <c r="V23" s="449">
        <v>5148.3593102704708</v>
      </c>
      <c r="W23" s="449">
        <v>6089.5831522237058</v>
      </c>
      <c r="X23" s="449">
        <v>7205.3899379306768</v>
      </c>
      <c r="Y23" s="449">
        <v>8296.642540723491</v>
      </c>
      <c r="Z23" s="449">
        <v>9745.0141803643673</v>
      </c>
      <c r="AA23" s="449">
        <v>14819.105112625273</v>
      </c>
      <c r="AB23" s="449">
        <v>19517.7881501267</v>
      </c>
      <c r="AC23" s="449">
        <v>25911.04943300278</v>
      </c>
      <c r="AD23" s="449">
        <v>37593.544459037847</v>
      </c>
      <c r="AE23" s="449">
        <v>52386.158003939272</v>
      </c>
      <c r="AF23" s="449">
        <v>62741.428086797961</v>
      </c>
      <c r="AG23" s="449">
        <v>71344.001813562354</v>
      </c>
      <c r="AH23" s="449">
        <v>81511.120684859256</v>
      </c>
      <c r="AI23" s="449">
        <v>115737.73859773713</v>
      </c>
      <c r="AJ23" s="449">
        <v>153864.72464742424</v>
      </c>
      <c r="AK23" s="449">
        <v>194420.00453072175</v>
      </c>
      <c r="AL23" s="449">
        <v>240103.80034545812</v>
      </c>
      <c r="AM23" s="449">
        <v>290546.04832661356</v>
      </c>
      <c r="AN23" s="449">
        <v>359929.44940276421</v>
      </c>
      <c r="AO23" s="449">
        <v>478780.06211140077</v>
      </c>
      <c r="AP23" s="449">
        <v>614857.69213121012</v>
      </c>
      <c r="AQ23" s="449">
        <v>712789.90446244797</v>
      </c>
      <c r="AR23" s="449">
        <v>830997.50306317455</v>
      </c>
      <c r="AS23" s="449">
        <v>1015914.0196751989</v>
      </c>
      <c r="AT23" s="449">
        <v>1283772.5512549337</v>
      </c>
      <c r="AU23" s="449">
        <v>1547440.8955569898</v>
      </c>
      <c r="AV23" s="449">
        <v>1831592.1597338081</v>
      </c>
      <c r="AW23" s="449">
        <v>1957988.6494665425</v>
      </c>
      <c r="AX23" s="450">
        <v>2175977.3482650518</v>
      </c>
    </row>
    <row r="24" spans="1:50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8"/>
    </row>
    <row r="25" spans="1:50" ht="13">
      <c r="A25" s="446" t="s">
        <v>760</v>
      </c>
      <c r="B25" s="449">
        <v>96.921660889457314</v>
      </c>
      <c r="C25" s="449">
        <v>166.00647242592808</v>
      </c>
      <c r="D25" s="449">
        <v>205.05137540583044</v>
      </c>
      <c r="E25" s="449">
        <v>232.55283115245714</v>
      </c>
      <c r="F25" s="449">
        <v>222.69343071602242</v>
      </c>
      <c r="G25" s="449">
        <v>223.33516517260904</v>
      </c>
      <c r="H25" s="449">
        <v>231.87428530346332</v>
      </c>
      <c r="I25" s="449">
        <v>227.49928170810688</v>
      </c>
      <c r="J25" s="449">
        <v>229.54972955601613</v>
      </c>
      <c r="K25" s="449">
        <v>232.96921030947775</v>
      </c>
      <c r="L25" s="449">
        <v>251.14893548247773</v>
      </c>
      <c r="M25" s="449">
        <v>266.66647405041164</v>
      </c>
      <c r="N25" s="449">
        <v>311.53654200948557</v>
      </c>
      <c r="O25" s="449">
        <v>322.66220302346545</v>
      </c>
      <c r="P25" s="449">
        <v>333.62754543215351</v>
      </c>
      <c r="Q25" s="449">
        <v>379.3473072078084</v>
      </c>
      <c r="R25" s="449">
        <v>413.95582644035443</v>
      </c>
      <c r="S25" s="449">
        <v>460.341623357196</v>
      </c>
      <c r="T25" s="449">
        <v>530.51742349698202</v>
      </c>
      <c r="U25" s="449">
        <v>687.52590471718952</v>
      </c>
      <c r="V25" s="449">
        <v>933.14450126278007</v>
      </c>
      <c r="W25" s="449">
        <v>1238.0296165313277</v>
      </c>
      <c r="X25" s="449">
        <v>1327.0483724442765</v>
      </c>
      <c r="Y25" s="449">
        <v>1545.8377142708428</v>
      </c>
      <c r="Z25" s="449">
        <v>2124.7503620870734</v>
      </c>
      <c r="AA25" s="449">
        <v>3161.6339706427552</v>
      </c>
      <c r="AB25" s="449">
        <v>4029.6269414583567</v>
      </c>
      <c r="AC25" s="449">
        <v>5654.2254182636589</v>
      </c>
      <c r="AD25" s="449">
        <v>6977.0289352731652</v>
      </c>
      <c r="AE25" s="449">
        <v>10073.789860302562</v>
      </c>
      <c r="AF25" s="449">
        <v>3960.6238979679838</v>
      </c>
      <c r="AG25" s="449">
        <v>5082.4218135623478</v>
      </c>
      <c r="AH25" s="449">
        <v>6470.7206848592577</v>
      </c>
      <c r="AI25" s="449">
        <v>9573.6605977371328</v>
      </c>
      <c r="AJ25" s="449">
        <v>11167.669647424264</v>
      </c>
      <c r="AK25" s="449">
        <v>13174.500530721767</v>
      </c>
      <c r="AL25" s="449">
        <v>14701.531345458106</v>
      </c>
      <c r="AM25" s="449">
        <v>16610.63732661352</v>
      </c>
      <c r="AN25" s="449">
        <v>21399.686402764222</v>
      </c>
      <c r="AO25" s="449">
        <v>26517.062111400788</v>
      </c>
      <c r="AP25" s="449">
        <v>28907.692131210155</v>
      </c>
      <c r="AQ25" s="449">
        <v>34317.904462447957</v>
      </c>
      <c r="AR25" s="449">
        <v>40834.50306317451</v>
      </c>
      <c r="AS25" s="449">
        <v>44621.019675198899</v>
      </c>
      <c r="AT25" s="449">
        <v>54359.551254933649</v>
      </c>
      <c r="AU25" s="449">
        <v>61960.895556989824</v>
      </c>
      <c r="AV25" s="449">
        <v>60981.159733808214</v>
      </c>
      <c r="AW25" s="449">
        <v>62045.649466542403</v>
      </c>
      <c r="AX25" s="450">
        <v>64613.348265052016</v>
      </c>
    </row>
    <row r="26" spans="1:50" ht="13">
      <c r="A26" s="446" t="s">
        <v>761</v>
      </c>
      <c r="B26" s="449">
        <v>62.336509584379023</v>
      </c>
      <c r="C26" s="449">
        <v>104.87046843602668</v>
      </c>
      <c r="D26" s="449">
        <v>135.45123581370888</v>
      </c>
      <c r="E26" s="449">
        <v>153.76731193547229</v>
      </c>
      <c r="F26" s="449">
        <v>151.28855135792273</v>
      </c>
      <c r="G26" s="449">
        <v>150.31471260669426</v>
      </c>
      <c r="H26" s="449">
        <v>158.57203598959481</v>
      </c>
      <c r="I26" s="449">
        <v>157.78140316763864</v>
      </c>
      <c r="J26" s="449">
        <v>155.81204086245864</v>
      </c>
      <c r="K26" s="449">
        <v>156.90513464724128</v>
      </c>
      <c r="L26" s="449">
        <v>161.12930820080803</v>
      </c>
      <c r="M26" s="449">
        <v>169.6795046941499</v>
      </c>
      <c r="N26" s="449">
        <v>198.15</v>
      </c>
      <c r="O26" s="449">
        <v>211.02385072217572</v>
      </c>
      <c r="P26" s="449">
        <v>222.60685203114315</v>
      </c>
      <c r="Q26" s="449">
        <v>230.50433547507879</v>
      </c>
      <c r="R26" s="449">
        <v>242.20100872271064</v>
      </c>
      <c r="S26" s="449">
        <v>277.75860200858756</v>
      </c>
      <c r="T26" s="449">
        <v>300.46669500000002</v>
      </c>
      <c r="U26" s="449">
        <v>382.17521499999998</v>
      </c>
      <c r="V26" s="449">
        <v>547.62561500000004</v>
      </c>
      <c r="W26" s="449">
        <v>753.65091988829965</v>
      </c>
      <c r="X26" s="449">
        <v>828.04063930912093</v>
      </c>
      <c r="Y26" s="449">
        <v>1094.4639627075999</v>
      </c>
      <c r="Z26" s="449">
        <v>1555.2548857175441</v>
      </c>
      <c r="AA26" s="449">
        <v>2176.7055849593166</v>
      </c>
      <c r="AB26" s="449">
        <v>2737.3594406284301</v>
      </c>
      <c r="AC26" s="449">
        <v>3874.0955464820463</v>
      </c>
      <c r="AD26" s="449">
        <v>4938.562512631459</v>
      </c>
      <c r="AE26" s="449">
        <v>7231.6138720371409</v>
      </c>
      <c r="AF26" s="449">
        <v>3225.7425343845816</v>
      </c>
      <c r="AG26" s="449">
        <v>4078.6501323321509</v>
      </c>
      <c r="AH26" s="449">
        <v>5141.8066359235827</v>
      </c>
      <c r="AI26" s="449">
        <v>7878.8098916811068</v>
      </c>
      <c r="AJ26" s="449">
        <v>8840.2295538441213</v>
      </c>
      <c r="AK26" s="449">
        <v>10364.44775386053</v>
      </c>
      <c r="AL26" s="449">
        <v>11026.987574021738</v>
      </c>
      <c r="AM26" s="449">
        <v>11862.968833366227</v>
      </c>
      <c r="AN26" s="449">
        <v>15548.980716243692</v>
      </c>
      <c r="AO26" s="449">
        <v>18924</v>
      </c>
      <c r="AP26" s="449">
        <v>20782</v>
      </c>
      <c r="AQ26" s="449">
        <v>25367</v>
      </c>
      <c r="AR26" s="449">
        <v>30037</v>
      </c>
      <c r="AS26" s="449">
        <v>31899</v>
      </c>
      <c r="AT26" s="449">
        <v>40139</v>
      </c>
      <c r="AU26" s="449">
        <v>46452</v>
      </c>
      <c r="AV26" s="449">
        <v>46870</v>
      </c>
      <c r="AW26" s="449">
        <v>46461</v>
      </c>
      <c r="AX26" s="450">
        <v>48141</v>
      </c>
    </row>
    <row r="27" spans="1:50" ht="13">
      <c r="A27" s="446" t="s">
        <v>762</v>
      </c>
      <c r="B27" s="449">
        <v>34.585151305078291</v>
      </c>
      <c r="C27" s="449">
        <v>61.136003989901397</v>
      </c>
      <c r="D27" s="449">
        <v>69.600139592121565</v>
      </c>
      <c r="E27" s="449">
        <v>78.785519216984852</v>
      </c>
      <c r="F27" s="449">
        <v>71.404879358099691</v>
      </c>
      <c r="G27" s="449">
        <v>73.020452565914781</v>
      </c>
      <c r="H27" s="449">
        <v>73.302249313868515</v>
      </c>
      <c r="I27" s="449">
        <v>69.717878540468234</v>
      </c>
      <c r="J27" s="449">
        <v>73.737688693557487</v>
      </c>
      <c r="K27" s="449">
        <v>76.064075662236462</v>
      </c>
      <c r="L27" s="449">
        <v>90.019627281669699</v>
      </c>
      <c r="M27" s="449">
        <v>96.986969356261739</v>
      </c>
      <c r="N27" s="449">
        <v>113.38654200948559</v>
      </c>
      <c r="O27" s="449">
        <v>111.63835230128973</v>
      </c>
      <c r="P27" s="449">
        <v>111.02069340101036</v>
      </c>
      <c r="Q27" s="449">
        <v>148.84297173272961</v>
      </c>
      <c r="R27" s="449">
        <v>171.75481771764379</v>
      </c>
      <c r="S27" s="449">
        <v>182.58302134860844</v>
      </c>
      <c r="T27" s="449">
        <v>230.050728496982</v>
      </c>
      <c r="U27" s="449">
        <v>305.35068971718954</v>
      </c>
      <c r="V27" s="449">
        <v>385.51888626278003</v>
      </c>
      <c r="W27" s="449">
        <v>484.37869664302809</v>
      </c>
      <c r="X27" s="449">
        <v>499.0077331351556</v>
      </c>
      <c r="Y27" s="449">
        <v>451.37375156324288</v>
      </c>
      <c r="Z27" s="449">
        <v>569.49547636952934</v>
      </c>
      <c r="AA27" s="449">
        <v>984.92838568343859</v>
      </c>
      <c r="AB27" s="449">
        <v>1292.2675008299266</v>
      </c>
      <c r="AC27" s="449">
        <v>1780.1298717816126</v>
      </c>
      <c r="AD27" s="449">
        <v>2038.4664226417062</v>
      </c>
      <c r="AE27" s="449">
        <v>2842.1759882654214</v>
      </c>
      <c r="AF27" s="449">
        <v>734.88136358340216</v>
      </c>
      <c r="AG27" s="449">
        <v>1003.7716812301969</v>
      </c>
      <c r="AH27" s="449">
        <v>1328.9140489356751</v>
      </c>
      <c r="AI27" s="449">
        <v>1694.850706056026</v>
      </c>
      <c r="AJ27" s="449">
        <v>2327.4400935801423</v>
      </c>
      <c r="AK27" s="449">
        <v>2810.0527768612374</v>
      </c>
      <c r="AL27" s="449">
        <v>3674.5437714363688</v>
      </c>
      <c r="AM27" s="449">
        <v>4747.6684932472926</v>
      </c>
      <c r="AN27" s="449">
        <v>5850.7056865205304</v>
      </c>
      <c r="AO27" s="449">
        <v>7593.0621114007881</v>
      </c>
      <c r="AP27" s="449">
        <v>8125.6921312101549</v>
      </c>
      <c r="AQ27" s="449">
        <v>8950.9044624479575</v>
      </c>
      <c r="AR27" s="449">
        <v>10797.50306317451</v>
      </c>
      <c r="AS27" s="449">
        <v>12722.019675198899</v>
      </c>
      <c r="AT27" s="449">
        <v>14220.551254933649</v>
      </c>
      <c r="AU27" s="449">
        <v>15508.895556989824</v>
      </c>
      <c r="AV27" s="449">
        <v>14111.159733808214</v>
      </c>
      <c r="AW27" s="449">
        <v>15584.649466542407</v>
      </c>
      <c r="AX27" s="450">
        <v>16472.348265052016</v>
      </c>
    </row>
    <row r="28" spans="1:50" ht="13">
      <c r="A28" s="446" t="s">
        <v>763</v>
      </c>
      <c r="B28" s="449">
        <v>0</v>
      </c>
      <c r="C28" s="449">
        <v>0</v>
      </c>
      <c r="D28" s="449">
        <v>7</v>
      </c>
      <c r="E28" s="449">
        <v>4</v>
      </c>
      <c r="F28" s="449">
        <v>3</v>
      </c>
      <c r="G28" s="449">
        <v>2</v>
      </c>
      <c r="H28" s="449">
        <v>1</v>
      </c>
      <c r="I28" s="449">
        <v>2</v>
      </c>
      <c r="J28" s="449">
        <v>3</v>
      </c>
      <c r="K28" s="449">
        <v>6</v>
      </c>
      <c r="L28" s="449">
        <v>3</v>
      </c>
      <c r="M28" s="449">
        <v>2</v>
      </c>
      <c r="N28" s="449">
        <v>2</v>
      </c>
      <c r="O28" s="449">
        <v>3</v>
      </c>
      <c r="P28" s="449">
        <v>1</v>
      </c>
      <c r="Q28" s="449">
        <v>1</v>
      </c>
      <c r="R28" s="449">
        <v>1</v>
      </c>
      <c r="S28" s="449">
        <v>1</v>
      </c>
      <c r="T28" s="449">
        <v>1</v>
      </c>
      <c r="U28" s="449">
        <v>1</v>
      </c>
      <c r="V28" s="449">
        <v>0.56499999999999995</v>
      </c>
      <c r="W28" s="449">
        <v>0.63100000000000001</v>
      </c>
      <c r="X28" s="449">
        <v>0.38</v>
      </c>
      <c r="Y28" s="449">
        <v>0.52700000000000002</v>
      </c>
      <c r="Z28" s="449">
        <v>0.60099999999999998</v>
      </c>
      <c r="AA28" s="449">
        <v>0.67800000000000005</v>
      </c>
      <c r="AB28" s="449">
        <v>0.73899999999999999</v>
      </c>
      <c r="AC28" s="449">
        <v>0.90100000000000002</v>
      </c>
      <c r="AD28" s="449">
        <v>1.3</v>
      </c>
      <c r="AE28" s="449">
        <v>1.62</v>
      </c>
      <c r="AF28" s="449">
        <v>204</v>
      </c>
      <c r="AG28" s="449">
        <v>395</v>
      </c>
      <c r="AH28" s="449">
        <v>20</v>
      </c>
      <c r="AI28" s="449">
        <v>0</v>
      </c>
      <c r="AJ28" s="449">
        <v>304</v>
      </c>
      <c r="AK28" s="449">
        <v>520</v>
      </c>
      <c r="AL28" s="449">
        <v>691</v>
      </c>
      <c r="AM28" s="449">
        <v>586</v>
      </c>
      <c r="AN28" s="449">
        <v>478</v>
      </c>
      <c r="AO28" s="449">
        <v>1</v>
      </c>
      <c r="AP28" s="449">
        <v>1</v>
      </c>
      <c r="AQ28" s="449">
        <v>1</v>
      </c>
      <c r="AR28" s="449">
        <v>0</v>
      </c>
      <c r="AS28" s="449">
        <v>0</v>
      </c>
      <c r="AT28" s="449">
        <v>0</v>
      </c>
      <c r="AU28" s="449">
        <v>747</v>
      </c>
      <c r="AV28" s="449">
        <v>1480</v>
      </c>
      <c r="AW28" s="449">
        <v>1563</v>
      </c>
      <c r="AX28" s="450">
        <v>2263</v>
      </c>
    </row>
    <row r="29" spans="1:50" ht="13">
      <c r="A29" s="446" t="s">
        <v>764</v>
      </c>
      <c r="B29" s="449">
        <v>0</v>
      </c>
      <c r="C29" s="449">
        <v>0</v>
      </c>
      <c r="D29" s="449">
        <v>0</v>
      </c>
      <c r="E29" s="449">
        <v>0</v>
      </c>
      <c r="F29" s="449">
        <v>0</v>
      </c>
      <c r="G29" s="449">
        <v>0</v>
      </c>
      <c r="H29" s="449">
        <v>0</v>
      </c>
      <c r="I29" s="449">
        <v>0</v>
      </c>
      <c r="J29" s="449">
        <v>0</v>
      </c>
      <c r="K29" s="449">
        <v>0</v>
      </c>
      <c r="L29" s="449">
        <v>0</v>
      </c>
      <c r="M29" s="449">
        <v>0</v>
      </c>
      <c r="N29" s="449">
        <v>0</v>
      </c>
      <c r="O29" s="449">
        <v>0</v>
      </c>
      <c r="P29" s="449">
        <v>0</v>
      </c>
      <c r="Q29" s="449">
        <v>0</v>
      </c>
      <c r="R29" s="449">
        <v>0</v>
      </c>
      <c r="S29" s="449">
        <v>0</v>
      </c>
      <c r="T29" s="449">
        <v>0</v>
      </c>
      <c r="U29" s="449">
        <v>0</v>
      </c>
      <c r="V29" s="449">
        <v>0</v>
      </c>
      <c r="W29" s="449">
        <v>0</v>
      </c>
      <c r="X29" s="449">
        <v>0</v>
      </c>
      <c r="Y29" s="449">
        <v>0</v>
      </c>
      <c r="Z29" s="449">
        <v>0</v>
      </c>
      <c r="AA29" s="449">
        <v>0</v>
      </c>
      <c r="AB29" s="449">
        <v>15</v>
      </c>
      <c r="AC29" s="449">
        <v>0</v>
      </c>
      <c r="AD29" s="449">
        <v>0</v>
      </c>
      <c r="AE29" s="449">
        <v>0</v>
      </c>
      <c r="AF29" s="449">
        <v>0</v>
      </c>
      <c r="AG29" s="449">
        <v>0</v>
      </c>
      <c r="AH29" s="449">
        <v>0</v>
      </c>
      <c r="AI29" s="449">
        <v>0</v>
      </c>
      <c r="AJ29" s="449">
        <v>0</v>
      </c>
      <c r="AK29" s="449">
        <v>0</v>
      </c>
      <c r="AL29" s="449">
        <v>0</v>
      </c>
      <c r="AM29" s="449">
        <v>0</v>
      </c>
      <c r="AN29" s="449">
        <v>0</v>
      </c>
      <c r="AO29" s="449">
        <v>7436</v>
      </c>
      <c r="AP29" s="449">
        <v>12972</v>
      </c>
      <c r="AQ29" s="449">
        <v>16792</v>
      </c>
      <c r="AR29" s="449">
        <v>12209</v>
      </c>
      <c r="AS29" s="449">
        <v>24096</v>
      </c>
      <c r="AT29" s="449">
        <v>37702</v>
      </c>
      <c r="AU29" s="449">
        <v>24648</v>
      </c>
      <c r="AV29" s="449">
        <v>53309</v>
      </c>
      <c r="AW29" s="449">
        <v>37767</v>
      </c>
      <c r="AX29" s="450">
        <v>34226</v>
      </c>
    </row>
    <row r="30" spans="1:50" ht="13">
      <c r="A30" s="451" t="s">
        <v>755</v>
      </c>
      <c r="B30" s="449">
        <v>606.80953031447791</v>
      </c>
      <c r="C30" s="449">
        <v>816.04538799021429</v>
      </c>
      <c r="D30" s="449">
        <v>912.8134487792961</v>
      </c>
      <c r="E30" s="449">
        <v>841.96743127530863</v>
      </c>
      <c r="F30" s="449">
        <v>869.86497865315505</v>
      </c>
      <c r="G30" s="449">
        <v>911.18133817021851</v>
      </c>
      <c r="H30" s="449">
        <v>931.54784798383639</v>
      </c>
      <c r="I30" s="449">
        <v>983.32818796702043</v>
      </c>
      <c r="J30" s="449">
        <v>1144.4203306155705</v>
      </c>
      <c r="K30" s="449">
        <v>1205.9928750585452</v>
      </c>
      <c r="L30" s="449">
        <v>1329.5329562567533</v>
      </c>
      <c r="M30" s="449">
        <v>1458.8106092340975</v>
      </c>
      <c r="N30" s="449">
        <v>1522.4469401742704</v>
      </c>
      <c r="O30" s="449">
        <v>1711.311638967439</v>
      </c>
      <c r="P30" s="449">
        <v>1913.7834103369246</v>
      </c>
      <c r="Q30" s="449">
        <v>2141.2237462818148</v>
      </c>
      <c r="R30" s="449">
        <v>2436.6953232757387</v>
      </c>
      <c r="S30" s="449">
        <v>2781.2138406397166</v>
      </c>
      <c r="T30" s="449">
        <v>3217.8859236035305</v>
      </c>
      <c r="U30" s="449">
        <v>3724.1828625650965</v>
      </c>
      <c r="V30" s="449">
        <v>4214.6498090076911</v>
      </c>
      <c r="W30" s="449">
        <v>4850.922535692378</v>
      </c>
      <c r="X30" s="449">
        <v>5877.9615654864001</v>
      </c>
      <c r="Y30" s="449">
        <v>6750.2778264526478</v>
      </c>
      <c r="Z30" s="449">
        <v>7619.6628182772947</v>
      </c>
      <c r="AA30" s="449">
        <v>11656.793141982518</v>
      </c>
      <c r="AB30" s="449">
        <v>15472.422208668342</v>
      </c>
      <c r="AC30" s="449">
        <v>20255.923014739121</v>
      </c>
      <c r="AD30" s="449">
        <v>30615.215523764684</v>
      </c>
      <c r="AE30" s="449">
        <v>42310.748143636709</v>
      </c>
      <c r="AF30" s="449">
        <v>58576.804188829978</v>
      </c>
      <c r="AG30" s="449">
        <v>65866.58</v>
      </c>
      <c r="AH30" s="449">
        <v>75020.399999999994</v>
      </c>
      <c r="AI30" s="449">
        <v>106164.07799999999</v>
      </c>
      <c r="AJ30" s="449">
        <v>142393.05499999999</v>
      </c>
      <c r="AK30" s="449">
        <v>180725.50399999999</v>
      </c>
      <c r="AL30" s="449">
        <v>224711.269</v>
      </c>
      <c r="AM30" s="449">
        <v>273349.41100000002</v>
      </c>
      <c r="AN30" s="449">
        <v>338051.76299999998</v>
      </c>
      <c r="AO30" s="449">
        <v>444826</v>
      </c>
      <c r="AP30" s="449">
        <v>572977</v>
      </c>
      <c r="AQ30" s="449">
        <v>661679</v>
      </c>
      <c r="AR30" s="449">
        <v>777954</v>
      </c>
      <c r="AS30" s="449">
        <v>947197</v>
      </c>
      <c r="AT30" s="449">
        <v>1191711</v>
      </c>
      <c r="AU30" s="449">
        <v>1460085</v>
      </c>
      <c r="AV30" s="449">
        <v>1715822</v>
      </c>
      <c r="AW30" s="449">
        <v>1856613</v>
      </c>
      <c r="AX30" s="450">
        <v>2074875</v>
      </c>
    </row>
    <row r="31" spans="1:50" ht="13">
      <c r="A31" s="457" t="s">
        <v>770</v>
      </c>
      <c r="B31" s="449">
        <v>0</v>
      </c>
      <c r="C31" s="449">
        <v>0</v>
      </c>
      <c r="D31" s="449">
        <v>0</v>
      </c>
      <c r="E31" s="449">
        <v>0</v>
      </c>
      <c r="F31" s="449">
        <v>0</v>
      </c>
      <c r="G31" s="449">
        <v>0</v>
      </c>
      <c r="H31" s="449">
        <v>0</v>
      </c>
      <c r="I31" s="449">
        <v>0</v>
      </c>
      <c r="J31" s="449">
        <v>0</v>
      </c>
      <c r="K31" s="449">
        <v>0</v>
      </c>
      <c r="L31" s="449">
        <v>0</v>
      </c>
      <c r="M31" s="449">
        <v>0</v>
      </c>
      <c r="N31" s="449">
        <v>4</v>
      </c>
      <c r="O31" s="449">
        <v>3</v>
      </c>
      <c r="P31" s="449">
        <v>3</v>
      </c>
      <c r="Q31" s="449">
        <v>2</v>
      </c>
      <c r="R31" s="449">
        <v>1</v>
      </c>
      <c r="S31" s="449">
        <v>1</v>
      </c>
      <c r="T31" s="449">
        <v>1</v>
      </c>
      <c r="U31" s="449">
        <v>3</v>
      </c>
      <c r="V31" s="449">
        <v>3</v>
      </c>
      <c r="W31" s="449">
        <v>113</v>
      </c>
      <c r="X31" s="449">
        <v>371</v>
      </c>
      <c r="Y31" s="449">
        <v>509</v>
      </c>
      <c r="Z31" s="449">
        <v>516</v>
      </c>
      <c r="AA31" s="449">
        <v>736</v>
      </c>
      <c r="AB31" s="449">
        <v>418</v>
      </c>
      <c r="AC31" s="449">
        <v>371</v>
      </c>
      <c r="AD31" s="449">
        <v>1458</v>
      </c>
      <c r="AE31" s="449">
        <v>2084</v>
      </c>
      <c r="AF31" s="449">
        <v>12087</v>
      </c>
      <c r="AG31" s="449">
        <v>5037</v>
      </c>
      <c r="AH31" s="449">
        <v>916</v>
      </c>
      <c r="AI31" s="449">
        <v>319</v>
      </c>
      <c r="AJ31" s="449">
        <v>473</v>
      </c>
      <c r="AK31" s="449">
        <v>1405</v>
      </c>
      <c r="AL31" s="449">
        <v>2305</v>
      </c>
      <c r="AM31" s="449">
        <v>2400</v>
      </c>
      <c r="AN31" s="449">
        <v>2480</v>
      </c>
      <c r="AO31" s="449">
        <v>14136</v>
      </c>
      <c r="AP31" s="449">
        <v>42401</v>
      </c>
      <c r="AQ31" s="449">
        <v>39471</v>
      </c>
      <c r="AR31" s="449">
        <v>70171</v>
      </c>
      <c r="AS31" s="449">
        <v>71224</v>
      </c>
      <c r="AT31" s="449">
        <v>80860</v>
      </c>
      <c r="AU31" s="449">
        <v>101268</v>
      </c>
      <c r="AV31" s="449">
        <v>116864</v>
      </c>
      <c r="AW31" s="449">
        <v>91784</v>
      </c>
      <c r="AX31" s="450">
        <v>105313</v>
      </c>
    </row>
    <row r="32" spans="1:50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8"/>
    </row>
    <row r="33" spans="1:50" ht="13">
      <c r="A33" s="446" t="s">
        <v>765</v>
      </c>
      <c r="B33" s="449">
        <v>32.365000000000002</v>
      </c>
      <c r="C33" s="449">
        <v>149.535</v>
      </c>
      <c r="D33" s="449">
        <v>187.798</v>
      </c>
      <c r="E33" s="449">
        <v>37.661999999999999</v>
      </c>
      <c r="F33" s="449">
        <v>31.51</v>
      </c>
      <c r="G33" s="449">
        <v>28.5</v>
      </c>
      <c r="H33" s="449">
        <v>58.959000000000003</v>
      </c>
      <c r="I33" s="449">
        <v>28.408999999999999</v>
      </c>
      <c r="J33" s="449">
        <v>26.068000000000001</v>
      </c>
      <c r="K33" s="449">
        <v>34.024000000000001</v>
      </c>
      <c r="L33" s="449">
        <v>32.03</v>
      </c>
      <c r="M33" s="449">
        <v>49.701000000000001</v>
      </c>
      <c r="N33" s="449">
        <v>63</v>
      </c>
      <c r="O33" s="449">
        <v>133</v>
      </c>
      <c r="P33" s="449">
        <v>87</v>
      </c>
      <c r="Q33" s="449">
        <v>116</v>
      </c>
      <c r="R33" s="449">
        <v>201</v>
      </c>
      <c r="S33" s="449">
        <v>202</v>
      </c>
      <c r="T33" s="449">
        <v>266</v>
      </c>
      <c r="U33" s="449">
        <v>497</v>
      </c>
      <c r="V33" s="449">
        <v>186.68299999999999</v>
      </c>
      <c r="W33" s="449">
        <v>148.18200000000002</v>
      </c>
      <c r="X33" s="449">
        <v>264.072</v>
      </c>
      <c r="Y33" s="449">
        <v>216.18028629624567</v>
      </c>
      <c r="Z33" s="449">
        <v>292.3440220565584</v>
      </c>
      <c r="AA33" s="449">
        <v>375.72702359682091</v>
      </c>
      <c r="AB33" s="449">
        <v>330.71857165300969</v>
      </c>
      <c r="AC33" s="449">
        <v>560.77170624114353</v>
      </c>
      <c r="AD33" s="449">
        <v>377.59089532376316</v>
      </c>
      <c r="AE33" s="449">
        <v>322.06900000000002</v>
      </c>
      <c r="AF33" s="449">
        <v>460</v>
      </c>
      <c r="AG33" s="449">
        <v>1163</v>
      </c>
      <c r="AH33" s="449">
        <v>1285</v>
      </c>
      <c r="AI33" s="449">
        <v>1804</v>
      </c>
      <c r="AJ33" s="449">
        <v>2218</v>
      </c>
      <c r="AK33" s="449">
        <v>1904</v>
      </c>
      <c r="AL33" s="449">
        <v>2808.7</v>
      </c>
      <c r="AM33" s="449">
        <v>2568.4179999999997</v>
      </c>
      <c r="AN33" s="449">
        <v>2696.2</v>
      </c>
      <c r="AO33" s="449">
        <v>10528.062</v>
      </c>
      <c r="AP33" s="449">
        <v>6709.8539999999994</v>
      </c>
      <c r="AQ33" s="449">
        <v>7094.8559999999998</v>
      </c>
      <c r="AR33" s="449">
        <v>7947.665</v>
      </c>
      <c r="AS33" s="449">
        <v>7779.1329999999998</v>
      </c>
      <c r="AT33" s="449">
        <v>13076.844999999999</v>
      </c>
      <c r="AU33" s="449">
        <v>6865.4949999999999</v>
      </c>
      <c r="AV33" s="449">
        <v>14926.15</v>
      </c>
      <c r="AW33" s="449">
        <v>15241.404181865859</v>
      </c>
      <c r="AX33" s="450">
        <v>18857.193667913049</v>
      </c>
    </row>
    <row r="34" spans="1:5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50"/>
    </row>
    <row r="35" spans="1:50" ht="13">
      <c r="A35" s="446" t="s">
        <v>766</v>
      </c>
      <c r="B35" s="449">
        <v>32.365000000000002</v>
      </c>
      <c r="C35" s="449">
        <v>149.535</v>
      </c>
      <c r="D35" s="449">
        <v>187.798</v>
      </c>
      <c r="E35" s="449">
        <v>37.661999999999999</v>
      </c>
      <c r="F35" s="449">
        <v>31.51</v>
      </c>
      <c r="G35" s="449">
        <v>26.5</v>
      </c>
      <c r="H35" s="449">
        <v>57.959000000000003</v>
      </c>
      <c r="I35" s="449">
        <v>28.408999999999999</v>
      </c>
      <c r="J35" s="449">
        <v>26.068000000000001</v>
      </c>
      <c r="K35" s="449">
        <v>34.024000000000001</v>
      </c>
      <c r="L35" s="449">
        <v>32.03</v>
      </c>
      <c r="M35" s="449">
        <v>49.701000000000001</v>
      </c>
      <c r="N35" s="449">
        <v>61</v>
      </c>
      <c r="O35" s="449">
        <v>132</v>
      </c>
      <c r="P35" s="449">
        <v>86</v>
      </c>
      <c r="Q35" s="449">
        <v>115</v>
      </c>
      <c r="R35" s="449">
        <v>201</v>
      </c>
      <c r="S35" s="449">
        <v>202</v>
      </c>
      <c r="T35" s="449">
        <v>266</v>
      </c>
      <c r="U35" s="449">
        <v>497</v>
      </c>
      <c r="V35" s="449">
        <v>186.68299999999999</v>
      </c>
      <c r="W35" s="449">
        <v>148.18200000000002</v>
      </c>
      <c r="X35" s="449">
        <v>264.072</v>
      </c>
      <c r="Y35" s="449">
        <v>216.18028629624567</v>
      </c>
      <c r="Z35" s="449">
        <v>292.3440220565584</v>
      </c>
      <c r="AA35" s="449">
        <v>375.72702359682091</v>
      </c>
      <c r="AB35" s="449">
        <v>330.71857165300969</v>
      </c>
      <c r="AC35" s="449">
        <v>560.77170624114353</v>
      </c>
      <c r="AD35" s="449">
        <v>377.59089532376316</v>
      </c>
      <c r="AE35" s="449">
        <v>322.06900000000002</v>
      </c>
      <c r="AF35" s="449">
        <v>460</v>
      </c>
      <c r="AG35" s="449">
        <v>618</v>
      </c>
      <c r="AH35" s="449">
        <v>601</v>
      </c>
      <c r="AI35" s="449">
        <v>819</v>
      </c>
      <c r="AJ35" s="449">
        <v>620</v>
      </c>
      <c r="AK35" s="449">
        <v>107</v>
      </c>
      <c r="AL35" s="449">
        <v>958</v>
      </c>
      <c r="AM35" s="449">
        <v>1128</v>
      </c>
      <c r="AN35" s="449">
        <v>1077</v>
      </c>
      <c r="AO35" s="449">
        <v>2054</v>
      </c>
      <c r="AP35" s="449">
        <v>2839</v>
      </c>
      <c r="AQ35" s="449">
        <v>3322</v>
      </c>
      <c r="AR35" s="449">
        <v>3799</v>
      </c>
      <c r="AS35" s="449">
        <v>3042</v>
      </c>
      <c r="AT35" s="449">
        <v>3671</v>
      </c>
      <c r="AU35" s="449">
        <v>897</v>
      </c>
      <c r="AV35" s="449">
        <v>297</v>
      </c>
      <c r="AW35" s="449">
        <v>1365.0442254658597</v>
      </c>
      <c r="AX35" s="450">
        <v>1799.6242279130502</v>
      </c>
    </row>
    <row r="36" spans="1:50" ht="13">
      <c r="A36" s="446" t="s">
        <v>757</v>
      </c>
      <c r="B36" s="449">
        <v>0</v>
      </c>
      <c r="C36" s="449">
        <v>0</v>
      </c>
      <c r="D36" s="449">
        <v>0</v>
      </c>
      <c r="E36" s="449">
        <v>0</v>
      </c>
      <c r="F36" s="449">
        <v>0</v>
      </c>
      <c r="G36" s="449">
        <v>2</v>
      </c>
      <c r="H36" s="449">
        <v>1</v>
      </c>
      <c r="I36" s="449">
        <v>0</v>
      </c>
      <c r="J36" s="449">
        <v>0</v>
      </c>
      <c r="K36" s="449">
        <v>0</v>
      </c>
      <c r="L36" s="449">
        <v>0</v>
      </c>
      <c r="M36" s="449">
        <v>0</v>
      </c>
      <c r="N36" s="449">
        <v>2</v>
      </c>
      <c r="O36" s="449">
        <v>1</v>
      </c>
      <c r="P36" s="449">
        <v>1</v>
      </c>
      <c r="Q36" s="449">
        <v>1</v>
      </c>
      <c r="R36" s="449">
        <v>0</v>
      </c>
      <c r="S36" s="449">
        <v>0</v>
      </c>
      <c r="T36" s="449">
        <v>0</v>
      </c>
      <c r="U36" s="449">
        <v>0</v>
      </c>
      <c r="V36" s="449">
        <v>0</v>
      </c>
      <c r="W36" s="449">
        <v>0</v>
      </c>
      <c r="X36" s="449">
        <v>0</v>
      </c>
      <c r="Y36" s="449">
        <v>0</v>
      </c>
      <c r="Z36" s="449">
        <v>0</v>
      </c>
      <c r="AA36" s="449">
        <v>0</v>
      </c>
      <c r="AB36" s="449">
        <v>0</v>
      </c>
      <c r="AC36" s="449">
        <v>0</v>
      </c>
      <c r="AD36" s="449">
        <v>0</v>
      </c>
      <c r="AE36" s="449">
        <v>0</v>
      </c>
      <c r="AF36" s="449">
        <v>0</v>
      </c>
      <c r="AG36" s="449">
        <v>545</v>
      </c>
      <c r="AH36" s="449">
        <v>684</v>
      </c>
      <c r="AI36" s="449">
        <v>985</v>
      </c>
      <c r="AJ36" s="449">
        <v>1598</v>
      </c>
      <c r="AK36" s="449">
        <v>1797</v>
      </c>
      <c r="AL36" s="449">
        <v>1850.7</v>
      </c>
      <c r="AM36" s="449">
        <v>1440.4179999999999</v>
      </c>
      <c r="AN36" s="449">
        <v>1619.2</v>
      </c>
      <c r="AO36" s="449">
        <v>8474.0619999999999</v>
      </c>
      <c r="AP36" s="449">
        <v>3870.8539999999998</v>
      </c>
      <c r="AQ36" s="449">
        <v>3772.8559999999998</v>
      </c>
      <c r="AR36" s="449">
        <v>4148.665</v>
      </c>
      <c r="AS36" s="449">
        <v>4737.1329999999998</v>
      </c>
      <c r="AT36" s="449">
        <v>9405.8449999999993</v>
      </c>
      <c r="AU36" s="449">
        <v>5968.4949999999999</v>
      </c>
      <c r="AV36" s="449">
        <v>14629.15</v>
      </c>
      <c r="AW36" s="449">
        <v>13876.3599564</v>
      </c>
      <c r="AX36" s="450">
        <v>17057.569439999999</v>
      </c>
    </row>
    <row r="37" spans="1:50" ht="13">
      <c r="A37" s="457" t="s">
        <v>770</v>
      </c>
      <c r="B37" s="449">
        <v>0</v>
      </c>
      <c r="C37" s="449">
        <v>0</v>
      </c>
      <c r="D37" s="449">
        <v>0</v>
      </c>
      <c r="E37" s="449">
        <v>0</v>
      </c>
      <c r="F37" s="449">
        <v>0</v>
      </c>
      <c r="G37" s="449">
        <v>0</v>
      </c>
      <c r="H37" s="449">
        <v>0</v>
      </c>
      <c r="I37" s="449">
        <v>0</v>
      </c>
      <c r="J37" s="449">
        <v>0</v>
      </c>
      <c r="K37" s="449">
        <v>0</v>
      </c>
      <c r="L37" s="449">
        <v>0</v>
      </c>
      <c r="M37" s="449">
        <v>0</v>
      </c>
      <c r="N37" s="449">
        <v>2</v>
      </c>
      <c r="O37" s="449">
        <v>1</v>
      </c>
      <c r="P37" s="449">
        <v>0</v>
      </c>
      <c r="Q37" s="449">
        <v>0</v>
      </c>
      <c r="R37" s="449">
        <v>0</v>
      </c>
      <c r="S37" s="449">
        <v>0</v>
      </c>
      <c r="T37" s="449">
        <v>0</v>
      </c>
      <c r="U37" s="449">
        <v>0</v>
      </c>
      <c r="V37" s="449">
        <v>0</v>
      </c>
      <c r="W37" s="449">
        <v>0</v>
      </c>
      <c r="X37" s="449">
        <v>0</v>
      </c>
      <c r="Y37" s="449">
        <v>0</v>
      </c>
      <c r="Z37" s="449">
        <v>0</v>
      </c>
      <c r="AA37" s="449">
        <v>0</v>
      </c>
      <c r="AB37" s="449">
        <v>0</v>
      </c>
      <c r="AC37" s="449">
        <v>0</v>
      </c>
      <c r="AD37" s="449">
        <v>0</v>
      </c>
      <c r="AE37" s="449">
        <v>0</v>
      </c>
      <c r="AF37" s="449">
        <v>0</v>
      </c>
      <c r="AG37" s="449">
        <v>16</v>
      </c>
      <c r="AH37" s="449">
        <v>0</v>
      </c>
      <c r="AI37" s="449">
        <v>11</v>
      </c>
      <c r="AJ37" s="449">
        <v>133</v>
      </c>
      <c r="AK37" s="449">
        <v>140</v>
      </c>
      <c r="AL37" s="449">
        <v>0</v>
      </c>
      <c r="AM37" s="449">
        <v>50</v>
      </c>
      <c r="AN37" s="449">
        <v>22</v>
      </c>
      <c r="AO37" s="447">
        <v>4695</v>
      </c>
      <c r="AP37" s="447">
        <v>2201</v>
      </c>
      <c r="AQ37" s="447">
        <v>266</v>
      </c>
      <c r="AR37" s="447">
        <v>0</v>
      </c>
      <c r="AS37" s="447">
        <v>35</v>
      </c>
      <c r="AT37" s="447">
        <v>139</v>
      </c>
      <c r="AU37" s="447">
        <v>51</v>
      </c>
      <c r="AV37" s="447">
        <v>8489</v>
      </c>
      <c r="AW37" s="447">
        <v>7341</v>
      </c>
      <c r="AX37" s="448">
        <v>6985</v>
      </c>
    </row>
    <row r="38" spans="1:5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8"/>
    </row>
    <row r="39" spans="1:50" ht="13">
      <c r="A39" s="446" t="s">
        <v>767</v>
      </c>
      <c r="B39" s="449">
        <v>736.09619120393518</v>
      </c>
      <c r="C39" s="449">
        <v>1131.5868604161424</v>
      </c>
      <c r="D39" s="449">
        <v>1312.6628241851265</v>
      </c>
      <c r="E39" s="449">
        <v>1116.1822624277659</v>
      </c>
      <c r="F39" s="449">
        <v>1127.0684093691775</v>
      </c>
      <c r="G39" s="449">
        <v>1165.0165033428275</v>
      </c>
      <c r="H39" s="449">
        <v>1223.3811332872997</v>
      </c>
      <c r="I39" s="449">
        <v>1241.2364696751274</v>
      </c>
      <c r="J39" s="449">
        <v>1403.0380601715867</v>
      </c>
      <c r="K39" s="449">
        <v>1478.9860853680229</v>
      </c>
      <c r="L39" s="449">
        <v>1615.7118917392311</v>
      </c>
      <c r="M39" s="449">
        <v>1777.1780832845091</v>
      </c>
      <c r="N39" s="449">
        <v>1898.983482183756</v>
      </c>
      <c r="O39" s="449">
        <v>2169.9738419909045</v>
      </c>
      <c r="P39" s="449">
        <v>2335.4109557690781</v>
      </c>
      <c r="Q39" s="449">
        <v>2637.5710534896234</v>
      </c>
      <c r="R39" s="449">
        <v>3052.6511497160932</v>
      </c>
      <c r="S39" s="449">
        <v>3444.5554639969127</v>
      </c>
      <c r="T39" s="449">
        <v>4015.4033471005123</v>
      </c>
      <c r="U39" s="449">
        <v>4909.7087672822863</v>
      </c>
      <c r="V39" s="449">
        <v>5335.0423102704708</v>
      </c>
      <c r="W39" s="449">
        <v>6237.7651522237056</v>
      </c>
      <c r="X39" s="449">
        <v>7469.4619379306769</v>
      </c>
      <c r="Y39" s="449">
        <v>8512.822827019736</v>
      </c>
      <c r="Z39" s="449">
        <v>10037.358202420926</v>
      </c>
      <c r="AA39" s="449">
        <v>15194.832136222094</v>
      </c>
      <c r="AB39" s="449">
        <v>19848.506721779711</v>
      </c>
      <c r="AC39" s="449">
        <v>26471.821139243923</v>
      </c>
      <c r="AD39" s="449">
        <v>37971.135354361613</v>
      </c>
      <c r="AE39" s="449">
        <v>52708.227003939275</v>
      </c>
      <c r="AF39" s="449">
        <v>63201.428086797961</v>
      </c>
      <c r="AG39" s="449">
        <v>72507.001813562354</v>
      </c>
      <c r="AH39" s="449">
        <v>82796.120684859256</v>
      </c>
      <c r="AI39" s="449">
        <v>117541.73859773713</v>
      </c>
      <c r="AJ39" s="449">
        <v>156082.72464742424</v>
      </c>
      <c r="AK39" s="449">
        <v>196324.00453072175</v>
      </c>
      <c r="AL39" s="449">
        <v>242912.50034545813</v>
      </c>
      <c r="AM39" s="449">
        <v>293114.46632661356</v>
      </c>
      <c r="AN39" s="449">
        <v>362625.64940276422</v>
      </c>
      <c r="AO39" s="449">
        <v>489308.12411140074</v>
      </c>
      <c r="AP39" s="449">
        <v>621567.54613121017</v>
      </c>
      <c r="AQ39" s="449">
        <v>719884.760462448</v>
      </c>
      <c r="AR39" s="449">
        <v>838945.16806317458</v>
      </c>
      <c r="AS39" s="449">
        <v>1023693.152675199</v>
      </c>
      <c r="AT39" s="449">
        <v>1296849.3962549337</v>
      </c>
      <c r="AU39" s="449">
        <v>1554306.3905569899</v>
      </c>
      <c r="AV39" s="449">
        <v>1846518.309733808</v>
      </c>
      <c r="AW39" s="449">
        <v>1973230.0536484085</v>
      </c>
      <c r="AX39" s="450">
        <v>2194834.5419329647</v>
      </c>
    </row>
    <row r="40" spans="1:5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8"/>
    </row>
    <row r="41" spans="1:50" ht="13.5" thickBot="1">
      <c r="A41" s="452" t="s">
        <v>768</v>
      </c>
      <c r="B41" s="453">
        <v>420.02900000000022</v>
      </c>
      <c r="C41" s="453">
        <v>297.65599999999972</v>
      </c>
      <c r="D41" s="453">
        <v>272.39850000000047</v>
      </c>
      <c r="E41" s="453">
        <v>507.91399999999999</v>
      </c>
      <c r="F41" s="453">
        <v>548.11699999999996</v>
      </c>
      <c r="G41" s="453">
        <v>607.31700000000001</v>
      </c>
      <c r="H41" s="453">
        <v>588.40599999999972</v>
      </c>
      <c r="I41" s="453">
        <v>643.66399999999976</v>
      </c>
      <c r="J41" s="453">
        <v>765.28899999999999</v>
      </c>
      <c r="K41" s="453">
        <v>849.97299999999996</v>
      </c>
      <c r="L41" s="453">
        <v>930.49799999999982</v>
      </c>
      <c r="M41" s="453">
        <v>976.40399999999977</v>
      </c>
      <c r="N41" s="453">
        <v>977.56170494133244</v>
      </c>
      <c r="O41" s="453">
        <v>951.57473967781607</v>
      </c>
      <c r="P41" s="453">
        <v>1177.3986749743135</v>
      </c>
      <c r="Q41" s="453">
        <v>1271.0562115246425</v>
      </c>
      <c r="R41" s="453">
        <v>1367.3606348135731</v>
      </c>
      <c r="S41" s="453">
        <v>1417.3893687845271</v>
      </c>
      <c r="T41" s="453">
        <v>1436.0231969840233</v>
      </c>
      <c r="U41" s="453">
        <v>1434.0293700678749</v>
      </c>
      <c r="V41" s="453">
        <v>1687.1242824070232</v>
      </c>
      <c r="W41" s="453">
        <v>1836.2438310768312</v>
      </c>
      <c r="X41" s="453">
        <v>2215.5772387362558</v>
      </c>
      <c r="Y41" s="453">
        <v>3031.1199092532061</v>
      </c>
      <c r="Z41" s="453">
        <v>3672.8359649582089</v>
      </c>
      <c r="AA41" s="453">
        <v>2125.6624724631092</v>
      </c>
      <c r="AB41" s="453">
        <v>1940.9088730528165</v>
      </c>
      <c r="AC41" s="453">
        <v>730.5651032427013</v>
      </c>
      <c r="AD41" s="453">
        <v>2451.3471290181187</v>
      </c>
      <c r="AE41" s="453">
        <v>-2172.4491411709459</v>
      </c>
      <c r="AF41" s="453">
        <v>-772.53503537895449</v>
      </c>
      <c r="AG41" s="453">
        <v>6654.9639999999927</v>
      </c>
      <c r="AH41" s="453">
        <v>11362.929000000004</v>
      </c>
      <c r="AI41" s="453">
        <v>5565.5219999999972</v>
      </c>
      <c r="AJ41" s="453">
        <v>-3363.1430000000109</v>
      </c>
      <c r="AK41" s="453">
        <v>3582.5960000000487</v>
      </c>
      <c r="AL41" s="453">
        <v>13563.993999999948</v>
      </c>
      <c r="AM41" s="453">
        <v>40165.022999999986</v>
      </c>
      <c r="AN41" s="453">
        <v>32417.570000000065</v>
      </c>
      <c r="AO41" s="453">
        <v>68784.899999999994</v>
      </c>
      <c r="AP41" s="453">
        <v>32703.899999999907</v>
      </c>
      <c r="AQ41" s="453">
        <v>46425.533999999985</v>
      </c>
      <c r="AR41" s="453">
        <v>57421.954000000027</v>
      </c>
      <c r="AS41" s="453">
        <v>45719.866999999969</v>
      </c>
      <c r="AT41" s="453">
        <v>-14012.844999999972</v>
      </c>
      <c r="AU41" s="453">
        <v>36238.504999999888</v>
      </c>
      <c r="AV41" s="453">
        <v>45405.850000000093</v>
      </c>
      <c r="AW41" s="453">
        <v>-55811.404181866208</v>
      </c>
      <c r="AX41" s="454">
        <v>-74085.193667912856</v>
      </c>
    </row>
    <row r="43" spans="1:50" ht="39">
      <c r="A43" s="461" t="s">
        <v>779</v>
      </c>
    </row>
    <row r="44" spans="1:50" ht="39">
      <c r="A44" s="461" t="s">
        <v>780</v>
      </c>
    </row>
    <row r="45" spans="1:50" ht="39">
      <c r="A45" s="461" t="s">
        <v>781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70" orientation="landscape" horizontalDpi="4294967292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082B-792F-4F64-8189-7FB4D5251211}">
  <sheetPr>
    <pageSetUpPr fitToPage="1"/>
  </sheetPr>
  <dimension ref="A1:AX44"/>
  <sheetViews>
    <sheetView showGridLines="0" workbookViewId="0">
      <selection activeCell="A2" sqref="A2"/>
    </sheetView>
  </sheetViews>
  <sheetFormatPr defaultRowHeight="12.5"/>
  <cols>
    <col min="1" max="1" width="54" style="396" customWidth="1"/>
    <col min="2" max="15" width="5.26953125" style="396" customWidth="1"/>
    <col min="16" max="16" width="4.453125" style="396" customWidth="1"/>
    <col min="17" max="34" width="5.26953125" style="396" customWidth="1"/>
    <col min="35" max="35" width="5.81640625" style="396" customWidth="1"/>
    <col min="36" max="38" width="6.1796875" style="396" customWidth="1"/>
    <col min="39" max="40" width="7.81640625" style="396" customWidth="1"/>
    <col min="41" max="43" width="6.1796875" style="396" customWidth="1"/>
    <col min="44" max="47" width="5.26953125" style="396" customWidth="1"/>
    <col min="48" max="50" width="10.7265625" style="396" customWidth="1"/>
    <col min="51" max="256" width="8.7265625" style="396"/>
    <col min="257" max="257" width="54" style="396" customWidth="1"/>
    <col min="258" max="271" width="5.26953125" style="396" customWidth="1"/>
    <col min="272" max="272" width="4.453125" style="396" customWidth="1"/>
    <col min="273" max="290" width="5.26953125" style="396" customWidth="1"/>
    <col min="291" max="291" width="5.81640625" style="396" customWidth="1"/>
    <col min="292" max="294" width="6.1796875" style="396" customWidth="1"/>
    <col min="295" max="296" width="7.81640625" style="396" customWidth="1"/>
    <col min="297" max="299" width="6.1796875" style="396" customWidth="1"/>
    <col min="300" max="303" width="5.26953125" style="396" customWidth="1"/>
    <col min="304" max="306" width="10.7265625" style="396" customWidth="1"/>
    <col min="307" max="512" width="8.7265625" style="396"/>
    <col min="513" max="513" width="54" style="396" customWidth="1"/>
    <col min="514" max="527" width="5.26953125" style="396" customWidth="1"/>
    <col min="528" max="528" width="4.453125" style="396" customWidth="1"/>
    <col min="529" max="546" width="5.26953125" style="396" customWidth="1"/>
    <col min="547" max="547" width="5.81640625" style="396" customWidth="1"/>
    <col min="548" max="550" width="6.1796875" style="396" customWidth="1"/>
    <col min="551" max="552" width="7.81640625" style="396" customWidth="1"/>
    <col min="553" max="555" width="6.1796875" style="396" customWidth="1"/>
    <col min="556" max="559" width="5.26953125" style="396" customWidth="1"/>
    <col min="560" max="562" width="10.7265625" style="396" customWidth="1"/>
    <col min="563" max="768" width="8.7265625" style="396"/>
    <col min="769" max="769" width="54" style="396" customWidth="1"/>
    <col min="770" max="783" width="5.26953125" style="396" customWidth="1"/>
    <col min="784" max="784" width="4.453125" style="396" customWidth="1"/>
    <col min="785" max="802" width="5.26953125" style="396" customWidth="1"/>
    <col min="803" max="803" width="5.81640625" style="396" customWidth="1"/>
    <col min="804" max="806" width="6.1796875" style="396" customWidth="1"/>
    <col min="807" max="808" width="7.81640625" style="396" customWidth="1"/>
    <col min="809" max="811" width="6.1796875" style="396" customWidth="1"/>
    <col min="812" max="815" width="5.26953125" style="396" customWidth="1"/>
    <col min="816" max="818" width="10.7265625" style="396" customWidth="1"/>
    <col min="819" max="1024" width="8.7265625" style="396"/>
    <col min="1025" max="1025" width="54" style="396" customWidth="1"/>
    <col min="1026" max="1039" width="5.26953125" style="396" customWidth="1"/>
    <col min="1040" max="1040" width="4.453125" style="396" customWidth="1"/>
    <col min="1041" max="1058" width="5.26953125" style="396" customWidth="1"/>
    <col min="1059" max="1059" width="5.81640625" style="396" customWidth="1"/>
    <col min="1060" max="1062" width="6.1796875" style="396" customWidth="1"/>
    <col min="1063" max="1064" width="7.81640625" style="396" customWidth="1"/>
    <col min="1065" max="1067" width="6.1796875" style="396" customWidth="1"/>
    <col min="1068" max="1071" width="5.26953125" style="396" customWidth="1"/>
    <col min="1072" max="1074" width="10.7265625" style="396" customWidth="1"/>
    <col min="1075" max="1280" width="8.7265625" style="396"/>
    <col min="1281" max="1281" width="54" style="396" customWidth="1"/>
    <col min="1282" max="1295" width="5.26953125" style="396" customWidth="1"/>
    <col min="1296" max="1296" width="4.453125" style="396" customWidth="1"/>
    <col min="1297" max="1314" width="5.26953125" style="396" customWidth="1"/>
    <col min="1315" max="1315" width="5.81640625" style="396" customWidth="1"/>
    <col min="1316" max="1318" width="6.1796875" style="396" customWidth="1"/>
    <col min="1319" max="1320" width="7.81640625" style="396" customWidth="1"/>
    <col min="1321" max="1323" width="6.1796875" style="396" customWidth="1"/>
    <col min="1324" max="1327" width="5.26953125" style="396" customWidth="1"/>
    <col min="1328" max="1330" width="10.7265625" style="396" customWidth="1"/>
    <col min="1331" max="1536" width="8.7265625" style="396"/>
    <col min="1537" max="1537" width="54" style="396" customWidth="1"/>
    <col min="1538" max="1551" width="5.26953125" style="396" customWidth="1"/>
    <col min="1552" max="1552" width="4.453125" style="396" customWidth="1"/>
    <col min="1553" max="1570" width="5.26953125" style="396" customWidth="1"/>
    <col min="1571" max="1571" width="5.81640625" style="396" customWidth="1"/>
    <col min="1572" max="1574" width="6.1796875" style="396" customWidth="1"/>
    <col min="1575" max="1576" width="7.81640625" style="396" customWidth="1"/>
    <col min="1577" max="1579" width="6.1796875" style="396" customWidth="1"/>
    <col min="1580" max="1583" width="5.26953125" style="396" customWidth="1"/>
    <col min="1584" max="1586" width="10.7265625" style="396" customWidth="1"/>
    <col min="1587" max="1792" width="8.7265625" style="396"/>
    <col min="1793" max="1793" width="54" style="396" customWidth="1"/>
    <col min="1794" max="1807" width="5.26953125" style="396" customWidth="1"/>
    <col min="1808" max="1808" width="4.453125" style="396" customWidth="1"/>
    <col min="1809" max="1826" width="5.26953125" style="396" customWidth="1"/>
    <col min="1827" max="1827" width="5.81640625" style="396" customWidth="1"/>
    <col min="1828" max="1830" width="6.1796875" style="396" customWidth="1"/>
    <col min="1831" max="1832" width="7.81640625" style="396" customWidth="1"/>
    <col min="1833" max="1835" width="6.1796875" style="396" customWidth="1"/>
    <col min="1836" max="1839" width="5.26953125" style="396" customWidth="1"/>
    <col min="1840" max="1842" width="10.7265625" style="396" customWidth="1"/>
    <col min="1843" max="2048" width="8.7265625" style="396"/>
    <col min="2049" max="2049" width="54" style="396" customWidth="1"/>
    <col min="2050" max="2063" width="5.26953125" style="396" customWidth="1"/>
    <col min="2064" max="2064" width="4.453125" style="396" customWidth="1"/>
    <col min="2065" max="2082" width="5.26953125" style="396" customWidth="1"/>
    <col min="2083" max="2083" width="5.81640625" style="396" customWidth="1"/>
    <col min="2084" max="2086" width="6.1796875" style="396" customWidth="1"/>
    <col min="2087" max="2088" width="7.81640625" style="396" customWidth="1"/>
    <col min="2089" max="2091" width="6.1796875" style="396" customWidth="1"/>
    <col min="2092" max="2095" width="5.26953125" style="396" customWidth="1"/>
    <col min="2096" max="2098" width="10.7265625" style="396" customWidth="1"/>
    <col min="2099" max="2304" width="8.7265625" style="396"/>
    <col min="2305" max="2305" width="54" style="396" customWidth="1"/>
    <col min="2306" max="2319" width="5.26953125" style="396" customWidth="1"/>
    <col min="2320" max="2320" width="4.453125" style="396" customWidth="1"/>
    <col min="2321" max="2338" width="5.26953125" style="396" customWidth="1"/>
    <col min="2339" max="2339" width="5.81640625" style="396" customWidth="1"/>
    <col min="2340" max="2342" width="6.1796875" style="396" customWidth="1"/>
    <col min="2343" max="2344" width="7.81640625" style="396" customWidth="1"/>
    <col min="2345" max="2347" width="6.1796875" style="396" customWidth="1"/>
    <col min="2348" max="2351" width="5.26953125" style="396" customWidth="1"/>
    <col min="2352" max="2354" width="10.7265625" style="396" customWidth="1"/>
    <col min="2355" max="2560" width="8.7265625" style="396"/>
    <col min="2561" max="2561" width="54" style="396" customWidth="1"/>
    <col min="2562" max="2575" width="5.26953125" style="396" customWidth="1"/>
    <col min="2576" max="2576" width="4.453125" style="396" customWidth="1"/>
    <col min="2577" max="2594" width="5.26953125" style="396" customWidth="1"/>
    <col min="2595" max="2595" width="5.81640625" style="396" customWidth="1"/>
    <col min="2596" max="2598" width="6.1796875" style="396" customWidth="1"/>
    <col min="2599" max="2600" width="7.81640625" style="396" customWidth="1"/>
    <col min="2601" max="2603" width="6.1796875" style="396" customWidth="1"/>
    <col min="2604" max="2607" width="5.26953125" style="396" customWidth="1"/>
    <col min="2608" max="2610" width="10.7265625" style="396" customWidth="1"/>
    <col min="2611" max="2816" width="8.7265625" style="396"/>
    <col min="2817" max="2817" width="54" style="396" customWidth="1"/>
    <col min="2818" max="2831" width="5.26953125" style="396" customWidth="1"/>
    <col min="2832" max="2832" width="4.453125" style="396" customWidth="1"/>
    <col min="2833" max="2850" width="5.26953125" style="396" customWidth="1"/>
    <col min="2851" max="2851" width="5.81640625" style="396" customWidth="1"/>
    <col min="2852" max="2854" width="6.1796875" style="396" customWidth="1"/>
    <col min="2855" max="2856" width="7.81640625" style="396" customWidth="1"/>
    <col min="2857" max="2859" width="6.1796875" style="396" customWidth="1"/>
    <col min="2860" max="2863" width="5.26953125" style="396" customWidth="1"/>
    <col min="2864" max="2866" width="10.7265625" style="396" customWidth="1"/>
    <col min="2867" max="3072" width="8.7265625" style="396"/>
    <col min="3073" max="3073" width="54" style="396" customWidth="1"/>
    <col min="3074" max="3087" width="5.26953125" style="396" customWidth="1"/>
    <col min="3088" max="3088" width="4.453125" style="396" customWidth="1"/>
    <col min="3089" max="3106" width="5.26953125" style="396" customWidth="1"/>
    <col min="3107" max="3107" width="5.81640625" style="396" customWidth="1"/>
    <col min="3108" max="3110" width="6.1796875" style="396" customWidth="1"/>
    <col min="3111" max="3112" width="7.81640625" style="396" customWidth="1"/>
    <col min="3113" max="3115" width="6.1796875" style="396" customWidth="1"/>
    <col min="3116" max="3119" width="5.26953125" style="396" customWidth="1"/>
    <col min="3120" max="3122" width="10.7265625" style="396" customWidth="1"/>
    <col min="3123" max="3328" width="8.7265625" style="396"/>
    <col min="3329" max="3329" width="54" style="396" customWidth="1"/>
    <col min="3330" max="3343" width="5.26953125" style="396" customWidth="1"/>
    <col min="3344" max="3344" width="4.453125" style="396" customWidth="1"/>
    <col min="3345" max="3362" width="5.26953125" style="396" customWidth="1"/>
    <col min="3363" max="3363" width="5.81640625" style="396" customWidth="1"/>
    <col min="3364" max="3366" width="6.1796875" style="396" customWidth="1"/>
    <col min="3367" max="3368" width="7.81640625" style="396" customWidth="1"/>
    <col min="3369" max="3371" width="6.1796875" style="396" customWidth="1"/>
    <col min="3372" max="3375" width="5.26953125" style="396" customWidth="1"/>
    <col min="3376" max="3378" width="10.7265625" style="396" customWidth="1"/>
    <col min="3379" max="3584" width="8.7265625" style="396"/>
    <col min="3585" max="3585" width="54" style="396" customWidth="1"/>
    <col min="3586" max="3599" width="5.26953125" style="396" customWidth="1"/>
    <col min="3600" max="3600" width="4.453125" style="396" customWidth="1"/>
    <col min="3601" max="3618" width="5.26953125" style="396" customWidth="1"/>
    <col min="3619" max="3619" width="5.81640625" style="396" customWidth="1"/>
    <col min="3620" max="3622" width="6.1796875" style="396" customWidth="1"/>
    <col min="3623" max="3624" width="7.81640625" style="396" customWidth="1"/>
    <col min="3625" max="3627" width="6.1796875" style="396" customWidth="1"/>
    <col min="3628" max="3631" width="5.26953125" style="396" customWidth="1"/>
    <col min="3632" max="3634" width="10.7265625" style="396" customWidth="1"/>
    <col min="3635" max="3840" width="8.7265625" style="396"/>
    <col min="3841" max="3841" width="54" style="396" customWidth="1"/>
    <col min="3842" max="3855" width="5.26953125" style="396" customWidth="1"/>
    <col min="3856" max="3856" width="4.453125" style="396" customWidth="1"/>
    <col min="3857" max="3874" width="5.26953125" style="396" customWidth="1"/>
    <col min="3875" max="3875" width="5.81640625" style="396" customWidth="1"/>
    <col min="3876" max="3878" width="6.1796875" style="396" customWidth="1"/>
    <col min="3879" max="3880" width="7.81640625" style="396" customWidth="1"/>
    <col min="3881" max="3883" width="6.1796875" style="396" customWidth="1"/>
    <col min="3884" max="3887" width="5.26953125" style="396" customWidth="1"/>
    <col min="3888" max="3890" width="10.7265625" style="396" customWidth="1"/>
    <col min="3891" max="4096" width="8.7265625" style="396"/>
    <col min="4097" max="4097" width="54" style="396" customWidth="1"/>
    <col min="4098" max="4111" width="5.26953125" style="396" customWidth="1"/>
    <col min="4112" max="4112" width="4.453125" style="396" customWidth="1"/>
    <col min="4113" max="4130" width="5.26953125" style="396" customWidth="1"/>
    <col min="4131" max="4131" width="5.81640625" style="396" customWidth="1"/>
    <col min="4132" max="4134" width="6.1796875" style="396" customWidth="1"/>
    <col min="4135" max="4136" width="7.81640625" style="396" customWidth="1"/>
    <col min="4137" max="4139" width="6.1796875" style="396" customWidth="1"/>
    <col min="4140" max="4143" width="5.26953125" style="396" customWidth="1"/>
    <col min="4144" max="4146" width="10.7265625" style="396" customWidth="1"/>
    <col min="4147" max="4352" width="8.7265625" style="396"/>
    <col min="4353" max="4353" width="54" style="396" customWidth="1"/>
    <col min="4354" max="4367" width="5.26953125" style="396" customWidth="1"/>
    <col min="4368" max="4368" width="4.453125" style="396" customWidth="1"/>
    <col min="4369" max="4386" width="5.26953125" style="396" customWidth="1"/>
    <col min="4387" max="4387" width="5.81640625" style="396" customWidth="1"/>
    <col min="4388" max="4390" width="6.1796875" style="396" customWidth="1"/>
    <col min="4391" max="4392" width="7.81640625" style="396" customWidth="1"/>
    <col min="4393" max="4395" width="6.1796875" style="396" customWidth="1"/>
    <col min="4396" max="4399" width="5.26953125" style="396" customWidth="1"/>
    <col min="4400" max="4402" width="10.7265625" style="396" customWidth="1"/>
    <col min="4403" max="4608" width="8.7265625" style="396"/>
    <col min="4609" max="4609" width="54" style="396" customWidth="1"/>
    <col min="4610" max="4623" width="5.26953125" style="396" customWidth="1"/>
    <col min="4624" max="4624" width="4.453125" style="396" customWidth="1"/>
    <col min="4625" max="4642" width="5.26953125" style="396" customWidth="1"/>
    <col min="4643" max="4643" width="5.81640625" style="396" customWidth="1"/>
    <col min="4644" max="4646" width="6.1796875" style="396" customWidth="1"/>
    <col min="4647" max="4648" width="7.81640625" style="396" customWidth="1"/>
    <col min="4649" max="4651" width="6.1796875" style="396" customWidth="1"/>
    <col min="4652" max="4655" width="5.26953125" style="396" customWidth="1"/>
    <col min="4656" max="4658" width="10.7265625" style="396" customWidth="1"/>
    <col min="4659" max="4864" width="8.7265625" style="396"/>
    <col min="4865" max="4865" width="54" style="396" customWidth="1"/>
    <col min="4866" max="4879" width="5.26953125" style="396" customWidth="1"/>
    <col min="4880" max="4880" width="4.453125" style="396" customWidth="1"/>
    <col min="4881" max="4898" width="5.26953125" style="396" customWidth="1"/>
    <col min="4899" max="4899" width="5.81640625" style="396" customWidth="1"/>
    <col min="4900" max="4902" width="6.1796875" style="396" customWidth="1"/>
    <col min="4903" max="4904" width="7.81640625" style="396" customWidth="1"/>
    <col min="4905" max="4907" width="6.1796875" style="396" customWidth="1"/>
    <col min="4908" max="4911" width="5.26953125" style="396" customWidth="1"/>
    <col min="4912" max="4914" width="10.7265625" style="396" customWidth="1"/>
    <col min="4915" max="5120" width="8.7265625" style="396"/>
    <col min="5121" max="5121" width="54" style="396" customWidth="1"/>
    <col min="5122" max="5135" width="5.26953125" style="396" customWidth="1"/>
    <col min="5136" max="5136" width="4.453125" style="396" customWidth="1"/>
    <col min="5137" max="5154" width="5.26953125" style="396" customWidth="1"/>
    <col min="5155" max="5155" width="5.81640625" style="396" customWidth="1"/>
    <col min="5156" max="5158" width="6.1796875" style="396" customWidth="1"/>
    <col min="5159" max="5160" width="7.81640625" style="396" customWidth="1"/>
    <col min="5161" max="5163" width="6.1796875" style="396" customWidth="1"/>
    <col min="5164" max="5167" width="5.26953125" style="396" customWidth="1"/>
    <col min="5168" max="5170" width="10.7265625" style="396" customWidth="1"/>
    <col min="5171" max="5376" width="8.7265625" style="396"/>
    <col min="5377" max="5377" width="54" style="396" customWidth="1"/>
    <col min="5378" max="5391" width="5.26953125" style="396" customWidth="1"/>
    <col min="5392" max="5392" width="4.453125" style="396" customWidth="1"/>
    <col min="5393" max="5410" width="5.26953125" style="396" customWidth="1"/>
    <col min="5411" max="5411" width="5.81640625" style="396" customWidth="1"/>
    <col min="5412" max="5414" width="6.1796875" style="396" customWidth="1"/>
    <col min="5415" max="5416" width="7.81640625" style="396" customWidth="1"/>
    <col min="5417" max="5419" width="6.1796875" style="396" customWidth="1"/>
    <col min="5420" max="5423" width="5.26953125" style="396" customWidth="1"/>
    <col min="5424" max="5426" width="10.7265625" style="396" customWidth="1"/>
    <col min="5427" max="5632" width="8.7265625" style="396"/>
    <col min="5633" max="5633" width="54" style="396" customWidth="1"/>
    <col min="5634" max="5647" width="5.26953125" style="396" customWidth="1"/>
    <col min="5648" max="5648" width="4.453125" style="396" customWidth="1"/>
    <col min="5649" max="5666" width="5.26953125" style="396" customWidth="1"/>
    <col min="5667" max="5667" width="5.81640625" style="396" customWidth="1"/>
    <col min="5668" max="5670" width="6.1796875" style="396" customWidth="1"/>
    <col min="5671" max="5672" width="7.81640625" style="396" customWidth="1"/>
    <col min="5673" max="5675" width="6.1796875" style="396" customWidth="1"/>
    <col min="5676" max="5679" width="5.26953125" style="396" customWidth="1"/>
    <col min="5680" max="5682" width="10.7265625" style="396" customWidth="1"/>
    <col min="5683" max="5888" width="8.7265625" style="396"/>
    <col min="5889" max="5889" width="54" style="396" customWidth="1"/>
    <col min="5890" max="5903" width="5.26953125" style="396" customWidth="1"/>
    <col min="5904" max="5904" width="4.453125" style="396" customWidth="1"/>
    <col min="5905" max="5922" width="5.26953125" style="396" customWidth="1"/>
    <col min="5923" max="5923" width="5.81640625" style="396" customWidth="1"/>
    <col min="5924" max="5926" width="6.1796875" style="396" customWidth="1"/>
    <col min="5927" max="5928" width="7.81640625" style="396" customWidth="1"/>
    <col min="5929" max="5931" width="6.1796875" style="396" customWidth="1"/>
    <col min="5932" max="5935" width="5.26953125" style="396" customWidth="1"/>
    <col min="5936" max="5938" width="10.7265625" style="396" customWidth="1"/>
    <col min="5939" max="6144" width="8.7265625" style="396"/>
    <col min="6145" max="6145" width="54" style="396" customWidth="1"/>
    <col min="6146" max="6159" width="5.26953125" style="396" customWidth="1"/>
    <col min="6160" max="6160" width="4.453125" style="396" customWidth="1"/>
    <col min="6161" max="6178" width="5.26953125" style="396" customWidth="1"/>
    <col min="6179" max="6179" width="5.81640625" style="396" customWidth="1"/>
    <col min="6180" max="6182" width="6.1796875" style="396" customWidth="1"/>
    <col min="6183" max="6184" width="7.81640625" style="396" customWidth="1"/>
    <col min="6185" max="6187" width="6.1796875" style="396" customWidth="1"/>
    <col min="6188" max="6191" width="5.26953125" style="396" customWidth="1"/>
    <col min="6192" max="6194" width="10.7265625" style="396" customWidth="1"/>
    <col min="6195" max="6400" width="8.7265625" style="396"/>
    <col min="6401" max="6401" width="54" style="396" customWidth="1"/>
    <col min="6402" max="6415" width="5.26953125" style="396" customWidth="1"/>
    <col min="6416" max="6416" width="4.453125" style="396" customWidth="1"/>
    <col min="6417" max="6434" width="5.26953125" style="396" customWidth="1"/>
    <col min="6435" max="6435" width="5.81640625" style="396" customWidth="1"/>
    <col min="6436" max="6438" width="6.1796875" style="396" customWidth="1"/>
    <col min="6439" max="6440" width="7.81640625" style="396" customWidth="1"/>
    <col min="6441" max="6443" width="6.1796875" style="396" customWidth="1"/>
    <col min="6444" max="6447" width="5.26953125" style="396" customWidth="1"/>
    <col min="6448" max="6450" width="10.7265625" style="396" customWidth="1"/>
    <col min="6451" max="6656" width="8.7265625" style="396"/>
    <col min="6657" max="6657" width="54" style="396" customWidth="1"/>
    <col min="6658" max="6671" width="5.26953125" style="396" customWidth="1"/>
    <col min="6672" max="6672" width="4.453125" style="396" customWidth="1"/>
    <col min="6673" max="6690" width="5.26953125" style="396" customWidth="1"/>
    <col min="6691" max="6691" width="5.81640625" style="396" customWidth="1"/>
    <col min="6692" max="6694" width="6.1796875" style="396" customWidth="1"/>
    <col min="6695" max="6696" width="7.81640625" style="396" customWidth="1"/>
    <col min="6697" max="6699" width="6.1796875" style="396" customWidth="1"/>
    <col min="6700" max="6703" width="5.26953125" style="396" customWidth="1"/>
    <col min="6704" max="6706" width="10.7265625" style="396" customWidth="1"/>
    <col min="6707" max="6912" width="8.7265625" style="396"/>
    <col min="6913" max="6913" width="54" style="396" customWidth="1"/>
    <col min="6914" max="6927" width="5.26953125" style="396" customWidth="1"/>
    <col min="6928" max="6928" width="4.453125" style="396" customWidth="1"/>
    <col min="6929" max="6946" width="5.26953125" style="396" customWidth="1"/>
    <col min="6947" max="6947" width="5.81640625" style="396" customWidth="1"/>
    <col min="6948" max="6950" width="6.1796875" style="396" customWidth="1"/>
    <col min="6951" max="6952" width="7.81640625" style="396" customWidth="1"/>
    <col min="6953" max="6955" width="6.1796875" style="396" customWidth="1"/>
    <col min="6956" max="6959" width="5.26953125" style="396" customWidth="1"/>
    <col min="6960" max="6962" width="10.7265625" style="396" customWidth="1"/>
    <col min="6963" max="7168" width="8.7265625" style="396"/>
    <col min="7169" max="7169" width="54" style="396" customWidth="1"/>
    <col min="7170" max="7183" width="5.26953125" style="396" customWidth="1"/>
    <col min="7184" max="7184" width="4.453125" style="396" customWidth="1"/>
    <col min="7185" max="7202" width="5.26953125" style="396" customWidth="1"/>
    <col min="7203" max="7203" width="5.81640625" style="396" customWidth="1"/>
    <col min="7204" max="7206" width="6.1796875" style="396" customWidth="1"/>
    <col min="7207" max="7208" width="7.81640625" style="396" customWidth="1"/>
    <col min="7209" max="7211" width="6.1796875" style="396" customWidth="1"/>
    <col min="7212" max="7215" width="5.26953125" style="396" customWidth="1"/>
    <col min="7216" max="7218" width="10.7265625" style="396" customWidth="1"/>
    <col min="7219" max="7424" width="8.7265625" style="396"/>
    <col min="7425" max="7425" width="54" style="396" customWidth="1"/>
    <col min="7426" max="7439" width="5.26953125" style="396" customWidth="1"/>
    <col min="7440" max="7440" width="4.453125" style="396" customWidth="1"/>
    <col min="7441" max="7458" width="5.26953125" style="396" customWidth="1"/>
    <col min="7459" max="7459" width="5.81640625" style="396" customWidth="1"/>
    <col min="7460" max="7462" width="6.1796875" style="396" customWidth="1"/>
    <col min="7463" max="7464" width="7.81640625" style="396" customWidth="1"/>
    <col min="7465" max="7467" width="6.1796875" style="396" customWidth="1"/>
    <col min="7468" max="7471" width="5.26953125" style="396" customWidth="1"/>
    <col min="7472" max="7474" width="10.7265625" style="396" customWidth="1"/>
    <col min="7475" max="7680" width="8.7265625" style="396"/>
    <col min="7681" max="7681" width="54" style="396" customWidth="1"/>
    <col min="7682" max="7695" width="5.26953125" style="396" customWidth="1"/>
    <col min="7696" max="7696" width="4.453125" style="396" customWidth="1"/>
    <col min="7697" max="7714" width="5.26953125" style="396" customWidth="1"/>
    <col min="7715" max="7715" width="5.81640625" style="396" customWidth="1"/>
    <col min="7716" max="7718" width="6.1796875" style="396" customWidth="1"/>
    <col min="7719" max="7720" width="7.81640625" style="396" customWidth="1"/>
    <col min="7721" max="7723" width="6.1796875" style="396" customWidth="1"/>
    <col min="7724" max="7727" width="5.26953125" style="396" customWidth="1"/>
    <col min="7728" max="7730" width="10.7265625" style="396" customWidth="1"/>
    <col min="7731" max="7936" width="8.7265625" style="396"/>
    <col min="7937" max="7937" width="54" style="396" customWidth="1"/>
    <col min="7938" max="7951" width="5.26953125" style="396" customWidth="1"/>
    <col min="7952" max="7952" width="4.453125" style="396" customWidth="1"/>
    <col min="7953" max="7970" width="5.26953125" style="396" customWidth="1"/>
    <col min="7971" max="7971" width="5.81640625" style="396" customWidth="1"/>
    <col min="7972" max="7974" width="6.1796875" style="396" customWidth="1"/>
    <col min="7975" max="7976" width="7.81640625" style="396" customWidth="1"/>
    <col min="7977" max="7979" width="6.1796875" style="396" customWidth="1"/>
    <col min="7980" max="7983" width="5.26953125" style="396" customWidth="1"/>
    <col min="7984" max="7986" width="10.7265625" style="396" customWidth="1"/>
    <col min="7987" max="8192" width="8.7265625" style="396"/>
    <col min="8193" max="8193" width="54" style="396" customWidth="1"/>
    <col min="8194" max="8207" width="5.26953125" style="396" customWidth="1"/>
    <col min="8208" max="8208" width="4.453125" style="396" customWidth="1"/>
    <col min="8209" max="8226" width="5.26953125" style="396" customWidth="1"/>
    <col min="8227" max="8227" width="5.81640625" style="396" customWidth="1"/>
    <col min="8228" max="8230" width="6.1796875" style="396" customWidth="1"/>
    <col min="8231" max="8232" width="7.81640625" style="396" customWidth="1"/>
    <col min="8233" max="8235" width="6.1796875" style="396" customWidth="1"/>
    <col min="8236" max="8239" width="5.26953125" style="396" customWidth="1"/>
    <col min="8240" max="8242" width="10.7265625" style="396" customWidth="1"/>
    <col min="8243" max="8448" width="8.7265625" style="396"/>
    <col min="8449" max="8449" width="54" style="396" customWidth="1"/>
    <col min="8450" max="8463" width="5.26953125" style="396" customWidth="1"/>
    <col min="8464" max="8464" width="4.453125" style="396" customWidth="1"/>
    <col min="8465" max="8482" width="5.26953125" style="396" customWidth="1"/>
    <col min="8483" max="8483" width="5.81640625" style="396" customWidth="1"/>
    <col min="8484" max="8486" width="6.1796875" style="396" customWidth="1"/>
    <col min="8487" max="8488" width="7.81640625" style="396" customWidth="1"/>
    <col min="8489" max="8491" width="6.1796875" style="396" customWidth="1"/>
    <col min="8492" max="8495" width="5.26953125" style="396" customWidth="1"/>
    <col min="8496" max="8498" width="10.7265625" style="396" customWidth="1"/>
    <col min="8499" max="8704" width="8.7265625" style="396"/>
    <col min="8705" max="8705" width="54" style="396" customWidth="1"/>
    <col min="8706" max="8719" width="5.26953125" style="396" customWidth="1"/>
    <col min="8720" max="8720" width="4.453125" style="396" customWidth="1"/>
    <col min="8721" max="8738" width="5.26953125" style="396" customWidth="1"/>
    <col min="8739" max="8739" width="5.81640625" style="396" customWidth="1"/>
    <col min="8740" max="8742" width="6.1796875" style="396" customWidth="1"/>
    <col min="8743" max="8744" width="7.81640625" style="396" customWidth="1"/>
    <col min="8745" max="8747" width="6.1796875" style="396" customWidth="1"/>
    <col min="8748" max="8751" width="5.26953125" style="396" customWidth="1"/>
    <col min="8752" max="8754" width="10.7265625" style="396" customWidth="1"/>
    <col min="8755" max="8960" width="8.7265625" style="396"/>
    <col min="8961" max="8961" width="54" style="396" customWidth="1"/>
    <col min="8962" max="8975" width="5.26953125" style="396" customWidth="1"/>
    <col min="8976" max="8976" width="4.453125" style="396" customWidth="1"/>
    <col min="8977" max="8994" width="5.26953125" style="396" customWidth="1"/>
    <col min="8995" max="8995" width="5.81640625" style="396" customWidth="1"/>
    <col min="8996" max="8998" width="6.1796875" style="396" customWidth="1"/>
    <col min="8999" max="9000" width="7.81640625" style="396" customWidth="1"/>
    <col min="9001" max="9003" width="6.1796875" style="396" customWidth="1"/>
    <col min="9004" max="9007" width="5.26953125" style="396" customWidth="1"/>
    <col min="9008" max="9010" width="10.7265625" style="396" customWidth="1"/>
    <col min="9011" max="9216" width="8.7265625" style="396"/>
    <col min="9217" max="9217" width="54" style="396" customWidth="1"/>
    <col min="9218" max="9231" width="5.26953125" style="396" customWidth="1"/>
    <col min="9232" max="9232" width="4.453125" style="396" customWidth="1"/>
    <col min="9233" max="9250" width="5.26953125" style="396" customWidth="1"/>
    <col min="9251" max="9251" width="5.81640625" style="396" customWidth="1"/>
    <col min="9252" max="9254" width="6.1796875" style="396" customWidth="1"/>
    <col min="9255" max="9256" width="7.81640625" style="396" customWidth="1"/>
    <col min="9257" max="9259" width="6.1796875" style="396" customWidth="1"/>
    <col min="9260" max="9263" width="5.26953125" style="396" customWidth="1"/>
    <col min="9264" max="9266" width="10.7265625" style="396" customWidth="1"/>
    <col min="9267" max="9472" width="8.7265625" style="396"/>
    <col min="9473" max="9473" width="54" style="396" customWidth="1"/>
    <col min="9474" max="9487" width="5.26953125" style="396" customWidth="1"/>
    <col min="9488" max="9488" width="4.453125" style="396" customWidth="1"/>
    <col min="9489" max="9506" width="5.26953125" style="396" customWidth="1"/>
    <col min="9507" max="9507" width="5.81640625" style="396" customWidth="1"/>
    <col min="9508" max="9510" width="6.1796875" style="396" customWidth="1"/>
    <col min="9511" max="9512" width="7.81640625" style="396" customWidth="1"/>
    <col min="9513" max="9515" width="6.1796875" style="396" customWidth="1"/>
    <col min="9516" max="9519" width="5.26953125" style="396" customWidth="1"/>
    <col min="9520" max="9522" width="10.7265625" style="396" customWidth="1"/>
    <col min="9523" max="9728" width="8.7265625" style="396"/>
    <col min="9729" max="9729" width="54" style="396" customWidth="1"/>
    <col min="9730" max="9743" width="5.26953125" style="396" customWidth="1"/>
    <col min="9744" max="9744" width="4.453125" style="396" customWidth="1"/>
    <col min="9745" max="9762" width="5.26953125" style="396" customWidth="1"/>
    <col min="9763" max="9763" width="5.81640625" style="396" customWidth="1"/>
    <col min="9764" max="9766" width="6.1796875" style="396" customWidth="1"/>
    <col min="9767" max="9768" width="7.81640625" style="396" customWidth="1"/>
    <col min="9769" max="9771" width="6.1796875" style="396" customWidth="1"/>
    <col min="9772" max="9775" width="5.26953125" style="396" customWidth="1"/>
    <col min="9776" max="9778" width="10.7265625" style="396" customWidth="1"/>
    <col min="9779" max="9984" width="8.7265625" style="396"/>
    <col min="9985" max="9985" width="54" style="396" customWidth="1"/>
    <col min="9986" max="9999" width="5.26953125" style="396" customWidth="1"/>
    <col min="10000" max="10000" width="4.453125" style="396" customWidth="1"/>
    <col min="10001" max="10018" width="5.26953125" style="396" customWidth="1"/>
    <col min="10019" max="10019" width="5.81640625" style="396" customWidth="1"/>
    <col min="10020" max="10022" width="6.1796875" style="396" customWidth="1"/>
    <col min="10023" max="10024" width="7.81640625" style="396" customWidth="1"/>
    <col min="10025" max="10027" width="6.1796875" style="396" customWidth="1"/>
    <col min="10028" max="10031" width="5.26953125" style="396" customWidth="1"/>
    <col min="10032" max="10034" width="10.7265625" style="396" customWidth="1"/>
    <col min="10035" max="10240" width="8.7265625" style="396"/>
    <col min="10241" max="10241" width="54" style="396" customWidth="1"/>
    <col min="10242" max="10255" width="5.26953125" style="396" customWidth="1"/>
    <col min="10256" max="10256" width="4.453125" style="396" customWidth="1"/>
    <col min="10257" max="10274" width="5.26953125" style="396" customWidth="1"/>
    <col min="10275" max="10275" width="5.81640625" style="396" customWidth="1"/>
    <col min="10276" max="10278" width="6.1796875" style="396" customWidth="1"/>
    <col min="10279" max="10280" width="7.81640625" style="396" customWidth="1"/>
    <col min="10281" max="10283" width="6.1796875" style="396" customWidth="1"/>
    <col min="10284" max="10287" width="5.26953125" style="396" customWidth="1"/>
    <col min="10288" max="10290" width="10.7265625" style="396" customWidth="1"/>
    <col min="10291" max="10496" width="8.7265625" style="396"/>
    <col min="10497" max="10497" width="54" style="396" customWidth="1"/>
    <col min="10498" max="10511" width="5.26953125" style="396" customWidth="1"/>
    <col min="10512" max="10512" width="4.453125" style="396" customWidth="1"/>
    <col min="10513" max="10530" width="5.26953125" style="396" customWidth="1"/>
    <col min="10531" max="10531" width="5.81640625" style="396" customWidth="1"/>
    <col min="10532" max="10534" width="6.1796875" style="396" customWidth="1"/>
    <col min="10535" max="10536" width="7.81640625" style="396" customWidth="1"/>
    <col min="10537" max="10539" width="6.1796875" style="396" customWidth="1"/>
    <col min="10540" max="10543" width="5.26953125" style="396" customWidth="1"/>
    <col min="10544" max="10546" width="10.7265625" style="396" customWidth="1"/>
    <col min="10547" max="10752" width="8.7265625" style="396"/>
    <col min="10753" max="10753" width="54" style="396" customWidth="1"/>
    <col min="10754" max="10767" width="5.26953125" style="396" customWidth="1"/>
    <col min="10768" max="10768" width="4.453125" style="396" customWidth="1"/>
    <col min="10769" max="10786" width="5.26953125" style="396" customWidth="1"/>
    <col min="10787" max="10787" width="5.81640625" style="396" customWidth="1"/>
    <col min="10788" max="10790" width="6.1796875" style="396" customWidth="1"/>
    <col min="10791" max="10792" width="7.81640625" style="396" customWidth="1"/>
    <col min="10793" max="10795" width="6.1796875" style="396" customWidth="1"/>
    <col min="10796" max="10799" width="5.26953125" style="396" customWidth="1"/>
    <col min="10800" max="10802" width="10.7265625" style="396" customWidth="1"/>
    <col min="10803" max="11008" width="8.7265625" style="396"/>
    <col min="11009" max="11009" width="54" style="396" customWidth="1"/>
    <col min="11010" max="11023" width="5.26953125" style="396" customWidth="1"/>
    <col min="11024" max="11024" width="4.453125" style="396" customWidth="1"/>
    <col min="11025" max="11042" width="5.26953125" style="396" customWidth="1"/>
    <col min="11043" max="11043" width="5.81640625" style="396" customWidth="1"/>
    <col min="11044" max="11046" width="6.1796875" style="396" customWidth="1"/>
    <col min="11047" max="11048" width="7.81640625" style="396" customWidth="1"/>
    <col min="11049" max="11051" width="6.1796875" style="396" customWidth="1"/>
    <col min="11052" max="11055" width="5.26953125" style="396" customWidth="1"/>
    <col min="11056" max="11058" width="10.7265625" style="396" customWidth="1"/>
    <col min="11059" max="11264" width="8.7265625" style="396"/>
    <col min="11265" max="11265" width="54" style="396" customWidth="1"/>
    <col min="11266" max="11279" width="5.26953125" style="396" customWidth="1"/>
    <col min="11280" max="11280" width="4.453125" style="396" customWidth="1"/>
    <col min="11281" max="11298" width="5.26953125" style="396" customWidth="1"/>
    <col min="11299" max="11299" width="5.81640625" style="396" customWidth="1"/>
    <col min="11300" max="11302" width="6.1796875" style="396" customWidth="1"/>
    <col min="11303" max="11304" width="7.81640625" style="396" customWidth="1"/>
    <col min="11305" max="11307" width="6.1796875" style="396" customWidth="1"/>
    <col min="11308" max="11311" width="5.26953125" style="396" customWidth="1"/>
    <col min="11312" max="11314" width="10.7265625" style="396" customWidth="1"/>
    <col min="11315" max="11520" width="8.7265625" style="396"/>
    <col min="11521" max="11521" width="54" style="396" customWidth="1"/>
    <col min="11522" max="11535" width="5.26953125" style="396" customWidth="1"/>
    <col min="11536" max="11536" width="4.453125" style="396" customWidth="1"/>
    <col min="11537" max="11554" width="5.26953125" style="396" customWidth="1"/>
    <col min="11555" max="11555" width="5.81640625" style="396" customWidth="1"/>
    <col min="11556" max="11558" width="6.1796875" style="396" customWidth="1"/>
    <col min="11559" max="11560" width="7.81640625" style="396" customWidth="1"/>
    <col min="11561" max="11563" width="6.1796875" style="396" customWidth="1"/>
    <col min="11564" max="11567" width="5.26953125" style="396" customWidth="1"/>
    <col min="11568" max="11570" width="10.7265625" style="396" customWidth="1"/>
    <col min="11571" max="11776" width="8.7265625" style="396"/>
    <col min="11777" max="11777" width="54" style="396" customWidth="1"/>
    <col min="11778" max="11791" width="5.26953125" style="396" customWidth="1"/>
    <col min="11792" max="11792" width="4.453125" style="396" customWidth="1"/>
    <col min="11793" max="11810" width="5.26953125" style="396" customWidth="1"/>
    <col min="11811" max="11811" width="5.81640625" style="396" customWidth="1"/>
    <col min="11812" max="11814" width="6.1796875" style="396" customWidth="1"/>
    <col min="11815" max="11816" width="7.81640625" style="396" customWidth="1"/>
    <col min="11817" max="11819" width="6.1796875" style="396" customWidth="1"/>
    <col min="11820" max="11823" width="5.26953125" style="396" customWidth="1"/>
    <col min="11824" max="11826" width="10.7265625" style="396" customWidth="1"/>
    <col min="11827" max="12032" width="8.7265625" style="396"/>
    <col min="12033" max="12033" width="54" style="396" customWidth="1"/>
    <col min="12034" max="12047" width="5.26953125" style="396" customWidth="1"/>
    <col min="12048" max="12048" width="4.453125" style="396" customWidth="1"/>
    <col min="12049" max="12066" width="5.26953125" style="396" customWidth="1"/>
    <col min="12067" max="12067" width="5.81640625" style="396" customWidth="1"/>
    <col min="12068" max="12070" width="6.1796875" style="396" customWidth="1"/>
    <col min="12071" max="12072" width="7.81640625" style="396" customWidth="1"/>
    <col min="12073" max="12075" width="6.1796875" style="396" customWidth="1"/>
    <col min="12076" max="12079" width="5.26953125" style="396" customWidth="1"/>
    <col min="12080" max="12082" width="10.7265625" style="396" customWidth="1"/>
    <col min="12083" max="12288" width="8.7265625" style="396"/>
    <col min="12289" max="12289" width="54" style="396" customWidth="1"/>
    <col min="12290" max="12303" width="5.26953125" style="396" customWidth="1"/>
    <col min="12304" max="12304" width="4.453125" style="396" customWidth="1"/>
    <col min="12305" max="12322" width="5.26953125" style="396" customWidth="1"/>
    <col min="12323" max="12323" width="5.81640625" style="396" customWidth="1"/>
    <col min="12324" max="12326" width="6.1796875" style="396" customWidth="1"/>
    <col min="12327" max="12328" width="7.81640625" style="396" customWidth="1"/>
    <col min="12329" max="12331" width="6.1796875" style="396" customWidth="1"/>
    <col min="12332" max="12335" width="5.26953125" style="396" customWidth="1"/>
    <col min="12336" max="12338" width="10.7265625" style="396" customWidth="1"/>
    <col min="12339" max="12544" width="8.7265625" style="396"/>
    <col min="12545" max="12545" width="54" style="396" customWidth="1"/>
    <col min="12546" max="12559" width="5.26953125" style="396" customWidth="1"/>
    <col min="12560" max="12560" width="4.453125" style="396" customWidth="1"/>
    <col min="12561" max="12578" width="5.26953125" style="396" customWidth="1"/>
    <col min="12579" max="12579" width="5.81640625" style="396" customWidth="1"/>
    <col min="12580" max="12582" width="6.1796875" style="396" customWidth="1"/>
    <col min="12583" max="12584" width="7.81640625" style="396" customWidth="1"/>
    <col min="12585" max="12587" width="6.1796875" style="396" customWidth="1"/>
    <col min="12588" max="12591" width="5.26953125" style="396" customWidth="1"/>
    <col min="12592" max="12594" width="10.7265625" style="396" customWidth="1"/>
    <col min="12595" max="12800" width="8.7265625" style="396"/>
    <col min="12801" max="12801" width="54" style="396" customWidth="1"/>
    <col min="12802" max="12815" width="5.26953125" style="396" customWidth="1"/>
    <col min="12816" max="12816" width="4.453125" style="396" customWidth="1"/>
    <col min="12817" max="12834" width="5.26953125" style="396" customWidth="1"/>
    <col min="12835" max="12835" width="5.81640625" style="396" customWidth="1"/>
    <col min="12836" max="12838" width="6.1796875" style="396" customWidth="1"/>
    <col min="12839" max="12840" width="7.81640625" style="396" customWidth="1"/>
    <col min="12841" max="12843" width="6.1796875" style="396" customWidth="1"/>
    <col min="12844" max="12847" width="5.26953125" style="396" customWidth="1"/>
    <col min="12848" max="12850" width="10.7265625" style="396" customWidth="1"/>
    <col min="12851" max="13056" width="8.7265625" style="396"/>
    <col min="13057" max="13057" width="54" style="396" customWidth="1"/>
    <col min="13058" max="13071" width="5.26953125" style="396" customWidth="1"/>
    <col min="13072" max="13072" width="4.453125" style="396" customWidth="1"/>
    <col min="13073" max="13090" width="5.26953125" style="396" customWidth="1"/>
    <col min="13091" max="13091" width="5.81640625" style="396" customWidth="1"/>
    <col min="13092" max="13094" width="6.1796875" style="396" customWidth="1"/>
    <col min="13095" max="13096" width="7.81640625" style="396" customWidth="1"/>
    <col min="13097" max="13099" width="6.1796875" style="396" customWidth="1"/>
    <col min="13100" max="13103" width="5.26953125" style="396" customWidth="1"/>
    <col min="13104" max="13106" width="10.7265625" style="396" customWidth="1"/>
    <col min="13107" max="13312" width="8.7265625" style="396"/>
    <col min="13313" max="13313" width="54" style="396" customWidth="1"/>
    <col min="13314" max="13327" width="5.26953125" style="396" customWidth="1"/>
    <col min="13328" max="13328" width="4.453125" style="396" customWidth="1"/>
    <col min="13329" max="13346" width="5.26953125" style="396" customWidth="1"/>
    <col min="13347" max="13347" width="5.81640625" style="396" customWidth="1"/>
    <col min="13348" max="13350" width="6.1796875" style="396" customWidth="1"/>
    <col min="13351" max="13352" width="7.81640625" style="396" customWidth="1"/>
    <col min="13353" max="13355" width="6.1796875" style="396" customWidth="1"/>
    <col min="13356" max="13359" width="5.26953125" style="396" customWidth="1"/>
    <col min="13360" max="13362" width="10.7265625" style="396" customWidth="1"/>
    <col min="13363" max="13568" width="8.7265625" style="396"/>
    <col min="13569" max="13569" width="54" style="396" customWidth="1"/>
    <col min="13570" max="13583" width="5.26953125" style="396" customWidth="1"/>
    <col min="13584" max="13584" width="4.453125" style="396" customWidth="1"/>
    <col min="13585" max="13602" width="5.26953125" style="396" customWidth="1"/>
    <col min="13603" max="13603" width="5.81640625" style="396" customWidth="1"/>
    <col min="13604" max="13606" width="6.1796875" style="396" customWidth="1"/>
    <col min="13607" max="13608" width="7.81640625" style="396" customWidth="1"/>
    <col min="13609" max="13611" width="6.1796875" style="396" customWidth="1"/>
    <col min="13612" max="13615" width="5.26953125" style="396" customWidth="1"/>
    <col min="13616" max="13618" width="10.7265625" style="396" customWidth="1"/>
    <col min="13619" max="13824" width="8.7265625" style="396"/>
    <col min="13825" max="13825" width="54" style="396" customWidth="1"/>
    <col min="13826" max="13839" width="5.26953125" style="396" customWidth="1"/>
    <col min="13840" max="13840" width="4.453125" style="396" customWidth="1"/>
    <col min="13841" max="13858" width="5.26953125" style="396" customWidth="1"/>
    <col min="13859" max="13859" width="5.81640625" style="396" customWidth="1"/>
    <col min="13860" max="13862" width="6.1796875" style="396" customWidth="1"/>
    <col min="13863" max="13864" width="7.81640625" style="396" customWidth="1"/>
    <col min="13865" max="13867" width="6.1796875" style="396" customWidth="1"/>
    <col min="13868" max="13871" width="5.26953125" style="396" customWidth="1"/>
    <col min="13872" max="13874" width="10.7265625" style="396" customWidth="1"/>
    <col min="13875" max="14080" width="8.7265625" style="396"/>
    <col min="14081" max="14081" width="54" style="396" customWidth="1"/>
    <col min="14082" max="14095" width="5.26953125" style="396" customWidth="1"/>
    <col min="14096" max="14096" width="4.453125" style="396" customWidth="1"/>
    <col min="14097" max="14114" width="5.26953125" style="396" customWidth="1"/>
    <col min="14115" max="14115" width="5.81640625" style="396" customWidth="1"/>
    <col min="14116" max="14118" width="6.1796875" style="396" customWidth="1"/>
    <col min="14119" max="14120" width="7.81640625" style="396" customWidth="1"/>
    <col min="14121" max="14123" width="6.1796875" style="396" customWidth="1"/>
    <col min="14124" max="14127" width="5.26953125" style="396" customWidth="1"/>
    <col min="14128" max="14130" width="10.7265625" style="396" customWidth="1"/>
    <col min="14131" max="14336" width="8.7265625" style="396"/>
    <col min="14337" max="14337" width="54" style="396" customWidth="1"/>
    <col min="14338" max="14351" width="5.26953125" style="396" customWidth="1"/>
    <col min="14352" max="14352" width="4.453125" style="396" customWidth="1"/>
    <col min="14353" max="14370" width="5.26953125" style="396" customWidth="1"/>
    <col min="14371" max="14371" width="5.81640625" style="396" customWidth="1"/>
    <col min="14372" max="14374" width="6.1796875" style="396" customWidth="1"/>
    <col min="14375" max="14376" width="7.81640625" style="396" customWidth="1"/>
    <col min="14377" max="14379" width="6.1796875" style="396" customWidth="1"/>
    <col min="14380" max="14383" width="5.26953125" style="396" customWidth="1"/>
    <col min="14384" max="14386" width="10.7265625" style="396" customWidth="1"/>
    <col min="14387" max="14592" width="8.7265625" style="396"/>
    <col min="14593" max="14593" width="54" style="396" customWidth="1"/>
    <col min="14594" max="14607" width="5.26953125" style="396" customWidth="1"/>
    <col min="14608" max="14608" width="4.453125" style="396" customWidth="1"/>
    <col min="14609" max="14626" width="5.26953125" style="396" customWidth="1"/>
    <col min="14627" max="14627" width="5.81640625" style="396" customWidth="1"/>
    <col min="14628" max="14630" width="6.1796875" style="396" customWidth="1"/>
    <col min="14631" max="14632" width="7.81640625" style="396" customWidth="1"/>
    <col min="14633" max="14635" width="6.1796875" style="396" customWidth="1"/>
    <col min="14636" max="14639" width="5.26953125" style="396" customWidth="1"/>
    <col min="14640" max="14642" width="10.7265625" style="396" customWidth="1"/>
    <col min="14643" max="14848" width="8.7265625" style="396"/>
    <col min="14849" max="14849" width="54" style="396" customWidth="1"/>
    <col min="14850" max="14863" width="5.26953125" style="396" customWidth="1"/>
    <col min="14864" max="14864" width="4.453125" style="396" customWidth="1"/>
    <col min="14865" max="14882" width="5.26953125" style="396" customWidth="1"/>
    <col min="14883" max="14883" width="5.81640625" style="396" customWidth="1"/>
    <col min="14884" max="14886" width="6.1796875" style="396" customWidth="1"/>
    <col min="14887" max="14888" width="7.81640625" style="396" customWidth="1"/>
    <col min="14889" max="14891" width="6.1796875" style="396" customWidth="1"/>
    <col min="14892" max="14895" width="5.26953125" style="396" customWidth="1"/>
    <col min="14896" max="14898" width="10.7265625" style="396" customWidth="1"/>
    <col min="14899" max="15104" width="8.7265625" style="396"/>
    <col min="15105" max="15105" width="54" style="396" customWidth="1"/>
    <col min="15106" max="15119" width="5.26953125" style="396" customWidth="1"/>
    <col min="15120" max="15120" width="4.453125" style="396" customWidth="1"/>
    <col min="15121" max="15138" width="5.26953125" style="396" customWidth="1"/>
    <col min="15139" max="15139" width="5.81640625" style="396" customWidth="1"/>
    <col min="15140" max="15142" width="6.1796875" style="396" customWidth="1"/>
    <col min="15143" max="15144" width="7.81640625" style="396" customWidth="1"/>
    <col min="15145" max="15147" width="6.1796875" style="396" customWidth="1"/>
    <col min="15148" max="15151" width="5.26953125" style="396" customWidth="1"/>
    <col min="15152" max="15154" width="10.7265625" style="396" customWidth="1"/>
    <col min="15155" max="15360" width="8.7265625" style="396"/>
    <col min="15361" max="15361" width="54" style="396" customWidth="1"/>
    <col min="15362" max="15375" width="5.26953125" style="396" customWidth="1"/>
    <col min="15376" max="15376" width="4.453125" style="396" customWidth="1"/>
    <col min="15377" max="15394" width="5.26953125" style="396" customWidth="1"/>
    <col min="15395" max="15395" width="5.81640625" style="396" customWidth="1"/>
    <col min="15396" max="15398" width="6.1796875" style="396" customWidth="1"/>
    <col min="15399" max="15400" width="7.81640625" style="396" customWidth="1"/>
    <col min="15401" max="15403" width="6.1796875" style="396" customWidth="1"/>
    <col min="15404" max="15407" width="5.26953125" style="396" customWidth="1"/>
    <col min="15408" max="15410" width="10.7265625" style="396" customWidth="1"/>
    <col min="15411" max="15616" width="8.7265625" style="396"/>
    <col min="15617" max="15617" width="54" style="396" customWidth="1"/>
    <col min="15618" max="15631" width="5.26953125" style="396" customWidth="1"/>
    <col min="15632" max="15632" width="4.453125" style="396" customWidth="1"/>
    <col min="15633" max="15650" width="5.26953125" style="396" customWidth="1"/>
    <col min="15651" max="15651" width="5.81640625" style="396" customWidth="1"/>
    <col min="15652" max="15654" width="6.1796875" style="396" customWidth="1"/>
    <col min="15655" max="15656" width="7.81640625" style="396" customWidth="1"/>
    <col min="15657" max="15659" width="6.1796875" style="396" customWidth="1"/>
    <col min="15660" max="15663" width="5.26953125" style="396" customWidth="1"/>
    <col min="15664" max="15666" width="10.7265625" style="396" customWidth="1"/>
    <col min="15667" max="15872" width="8.7265625" style="396"/>
    <col min="15873" max="15873" width="54" style="396" customWidth="1"/>
    <col min="15874" max="15887" width="5.26953125" style="396" customWidth="1"/>
    <col min="15888" max="15888" width="4.453125" style="396" customWidth="1"/>
    <col min="15889" max="15906" width="5.26953125" style="396" customWidth="1"/>
    <col min="15907" max="15907" width="5.81640625" style="396" customWidth="1"/>
    <col min="15908" max="15910" width="6.1796875" style="396" customWidth="1"/>
    <col min="15911" max="15912" width="7.81640625" style="396" customWidth="1"/>
    <col min="15913" max="15915" width="6.1796875" style="396" customWidth="1"/>
    <col min="15916" max="15919" width="5.26953125" style="396" customWidth="1"/>
    <col min="15920" max="15922" width="10.7265625" style="396" customWidth="1"/>
    <col min="15923" max="16128" width="8.7265625" style="396"/>
    <col min="16129" max="16129" width="54" style="396" customWidth="1"/>
    <col min="16130" max="16143" width="5.26953125" style="396" customWidth="1"/>
    <col min="16144" max="16144" width="4.453125" style="396" customWidth="1"/>
    <col min="16145" max="16162" width="5.26953125" style="396" customWidth="1"/>
    <col min="16163" max="16163" width="5.81640625" style="396" customWidth="1"/>
    <col min="16164" max="16166" width="6.1796875" style="396" customWidth="1"/>
    <col min="16167" max="16168" width="7.81640625" style="396" customWidth="1"/>
    <col min="16169" max="16171" width="6.1796875" style="396" customWidth="1"/>
    <col min="16172" max="16175" width="5.26953125" style="396" customWidth="1"/>
    <col min="16176" max="16178" width="10.7265625" style="396" customWidth="1"/>
    <col min="16179" max="16384" width="8.7265625" style="396"/>
  </cols>
  <sheetData>
    <row r="1" spans="1:50" ht="13">
      <c r="A1" s="440" t="s">
        <v>782</v>
      </c>
    </row>
    <row r="2" spans="1:50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50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</row>
    <row r="4" spans="1:50" ht="15.75" customHeight="1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0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0" ht="13">
      <c r="A6" s="446" t="s">
        <v>749</v>
      </c>
      <c r="B6" s="449">
        <v>472.39232168615348</v>
      </c>
      <c r="C6" s="449">
        <v>541.58121048179066</v>
      </c>
      <c r="D6" s="449">
        <v>853.44339192859297</v>
      </c>
      <c r="E6" s="449">
        <v>863.02138334832762</v>
      </c>
      <c r="F6" s="449">
        <v>738.06433390571806</v>
      </c>
      <c r="G6" s="449">
        <v>811.80271845040375</v>
      </c>
      <c r="H6" s="449">
        <v>779.91688780793061</v>
      </c>
      <c r="I6" s="449">
        <v>800.77833279173763</v>
      </c>
      <c r="J6" s="449">
        <v>758.07502800986663</v>
      </c>
      <c r="K6" s="449">
        <v>1023.8211354452658</v>
      </c>
      <c r="L6" s="449">
        <v>1248.323156292719</v>
      </c>
      <c r="M6" s="449">
        <v>1242.5956369816092</v>
      </c>
      <c r="N6" s="449">
        <v>1237.5808577915536</v>
      </c>
      <c r="O6" s="449">
        <v>1109.6237151228552</v>
      </c>
      <c r="P6" s="449">
        <v>1570.6977320115293</v>
      </c>
      <c r="Q6" s="449">
        <v>1752.8339508676111</v>
      </c>
      <c r="R6" s="449">
        <v>1773.2614280902631</v>
      </c>
      <c r="S6" s="449">
        <v>2253.6659464146464</v>
      </c>
      <c r="T6" s="449">
        <v>2816.33812307573</v>
      </c>
      <c r="U6" s="449">
        <v>3116.8525654249893</v>
      </c>
      <c r="V6" s="449">
        <v>3616.0246465677046</v>
      </c>
      <c r="W6" s="449">
        <v>4267.2071633928208</v>
      </c>
      <c r="X6" s="449">
        <v>4537.2080472074713</v>
      </c>
      <c r="Y6" s="449">
        <v>5785.058244945064</v>
      </c>
      <c r="Z6" s="449">
        <v>5308.9978213684772</v>
      </c>
      <c r="AA6" s="449">
        <v>6168.3161702347033</v>
      </c>
      <c r="AB6" s="449">
        <v>7929.5047895637199</v>
      </c>
      <c r="AC6" s="449">
        <v>10613.726476411346</v>
      </c>
      <c r="AD6" s="449">
        <v>13851.72053060323</v>
      </c>
      <c r="AE6" s="449">
        <v>22674.793780227341</v>
      </c>
      <c r="AF6" s="449">
        <v>26829.558431186848</v>
      </c>
      <c r="AG6" s="449">
        <v>35133.786215910688</v>
      </c>
      <c r="AH6" s="449">
        <v>45476.539091636572</v>
      </c>
      <c r="AI6" s="449">
        <v>75208.570925977343</v>
      </c>
      <c r="AJ6" s="449">
        <v>88126.436727202527</v>
      </c>
      <c r="AK6" s="449">
        <v>111484.858981107</v>
      </c>
      <c r="AL6" s="449">
        <v>159843.10940594808</v>
      </c>
      <c r="AM6" s="449">
        <v>173620.30720398377</v>
      </c>
      <c r="AN6" s="449">
        <v>231891.21382136576</v>
      </c>
      <c r="AO6" s="449">
        <v>105643.58912758122</v>
      </c>
      <c r="AP6" s="449">
        <v>19902.506542002066</v>
      </c>
      <c r="AQ6" s="449">
        <v>19779.018219101352</v>
      </c>
      <c r="AR6" s="449">
        <v>40992.862434812123</v>
      </c>
      <c r="AS6" s="449">
        <v>36108.419641375425</v>
      </c>
      <c r="AT6" s="449">
        <v>20507.751302763092</v>
      </c>
      <c r="AU6" s="449">
        <v>32054.439278571768</v>
      </c>
      <c r="AV6" s="449">
        <v>29942.773606341652</v>
      </c>
      <c r="AW6" s="449">
        <v>29162.859347515034</v>
      </c>
      <c r="AX6" s="450">
        <v>31525.769710296052</v>
      </c>
    </row>
    <row r="7" spans="1:50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0" ht="13">
      <c r="A8" s="451" t="s">
        <v>783</v>
      </c>
      <c r="B8" s="449">
        <v>62</v>
      </c>
      <c r="C8" s="449">
        <v>65</v>
      </c>
      <c r="D8" s="449">
        <v>68</v>
      </c>
      <c r="E8" s="449">
        <v>69</v>
      </c>
      <c r="F8" s="449">
        <v>71</v>
      </c>
      <c r="G8" s="449">
        <v>76</v>
      </c>
      <c r="H8" s="449">
        <v>76</v>
      </c>
      <c r="I8" s="449">
        <v>80</v>
      </c>
      <c r="J8" s="449">
        <v>83</v>
      </c>
      <c r="K8" s="449">
        <v>92</v>
      </c>
      <c r="L8" s="449">
        <v>99</v>
      </c>
      <c r="M8" s="449">
        <v>103</v>
      </c>
      <c r="N8" s="449">
        <v>239</v>
      </c>
      <c r="O8" s="449">
        <v>255</v>
      </c>
      <c r="P8" s="449">
        <v>279</v>
      </c>
      <c r="Q8" s="449">
        <v>304</v>
      </c>
      <c r="R8" s="449">
        <v>392</v>
      </c>
      <c r="S8" s="449">
        <v>447</v>
      </c>
      <c r="T8" s="449">
        <v>574</v>
      </c>
      <c r="U8" s="449">
        <v>653</v>
      </c>
      <c r="V8" s="449">
        <v>504</v>
      </c>
      <c r="W8" s="449">
        <v>568</v>
      </c>
      <c r="X8" s="449">
        <v>652</v>
      </c>
      <c r="Y8" s="449">
        <v>815</v>
      </c>
      <c r="Z8" s="449">
        <v>1037</v>
      </c>
      <c r="AA8" s="449">
        <v>1023</v>
      </c>
      <c r="AB8" s="449">
        <v>1237</v>
      </c>
      <c r="AC8" s="449">
        <v>1636</v>
      </c>
      <c r="AD8" s="449">
        <v>2886</v>
      </c>
      <c r="AE8" s="449">
        <v>4050</v>
      </c>
      <c r="AF8" s="449">
        <v>5341</v>
      </c>
      <c r="AG8" s="449">
        <v>5980</v>
      </c>
      <c r="AH8" s="449">
        <v>7298</v>
      </c>
      <c r="AI8" s="449">
        <v>10047</v>
      </c>
      <c r="AJ8" s="449">
        <v>11957</v>
      </c>
      <c r="AK8" s="449">
        <v>15644</v>
      </c>
      <c r="AL8" s="449">
        <v>21309</v>
      </c>
      <c r="AM8" s="449">
        <v>27497</v>
      </c>
      <c r="AN8" s="449">
        <v>31999</v>
      </c>
      <c r="AO8" s="449">
        <v>2544</v>
      </c>
      <c r="AP8" s="449">
        <v>0</v>
      </c>
      <c r="AQ8" s="449">
        <v>0</v>
      </c>
      <c r="AR8" s="449">
        <v>0</v>
      </c>
      <c r="AS8" s="449">
        <v>0</v>
      </c>
      <c r="AT8" s="449">
        <v>0</v>
      </c>
      <c r="AU8" s="449">
        <v>0</v>
      </c>
      <c r="AV8" s="449">
        <v>0</v>
      </c>
      <c r="AW8" s="449">
        <v>0</v>
      </c>
      <c r="AX8" s="450">
        <v>0</v>
      </c>
    </row>
    <row r="9" spans="1:50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7">
        <v>0</v>
      </c>
      <c r="U9" s="447">
        <v>0</v>
      </c>
      <c r="V9" s="447">
        <v>0</v>
      </c>
      <c r="W9" s="447">
        <v>0</v>
      </c>
      <c r="X9" s="447">
        <v>0</v>
      </c>
      <c r="Y9" s="447">
        <v>0</v>
      </c>
      <c r="Z9" s="447">
        <v>0</v>
      </c>
      <c r="AA9" s="447">
        <v>0</v>
      </c>
      <c r="AB9" s="447">
        <v>0</v>
      </c>
      <c r="AC9" s="447">
        <v>0</v>
      </c>
      <c r="AD9" s="447">
        <v>0</v>
      </c>
      <c r="AE9" s="447">
        <v>0</v>
      </c>
      <c r="AF9" s="447">
        <v>0</v>
      </c>
      <c r="AG9" s="447">
        <v>0</v>
      </c>
      <c r="AH9" s="447">
        <v>0</v>
      </c>
      <c r="AI9" s="447">
        <v>0</v>
      </c>
      <c r="AJ9" s="447">
        <v>0</v>
      </c>
      <c r="AK9" s="447">
        <v>0</v>
      </c>
      <c r="AL9" s="447">
        <v>0</v>
      </c>
      <c r="AM9" s="447">
        <v>0</v>
      </c>
      <c r="AN9" s="447">
        <v>0</v>
      </c>
      <c r="AO9" s="447">
        <v>0</v>
      </c>
      <c r="AP9" s="447">
        <v>0</v>
      </c>
      <c r="AQ9" s="447">
        <v>0</v>
      </c>
      <c r="AR9" s="447">
        <v>0</v>
      </c>
      <c r="AS9" s="447">
        <v>0</v>
      </c>
      <c r="AT9" s="447">
        <v>0</v>
      </c>
      <c r="AU9" s="447">
        <v>0</v>
      </c>
      <c r="AV9" s="447">
        <v>0</v>
      </c>
      <c r="AW9" s="447">
        <v>0</v>
      </c>
      <c r="AX9" s="448">
        <v>0</v>
      </c>
    </row>
    <row r="10" spans="1:50" ht="13">
      <c r="A10" s="451" t="s">
        <v>775</v>
      </c>
      <c r="B10" s="449">
        <v>407</v>
      </c>
      <c r="C10" s="449">
        <v>472</v>
      </c>
      <c r="D10" s="449">
        <v>776</v>
      </c>
      <c r="E10" s="449">
        <v>768</v>
      </c>
      <c r="F10" s="449">
        <v>628</v>
      </c>
      <c r="G10" s="449">
        <v>658</v>
      </c>
      <c r="H10" s="449">
        <v>606</v>
      </c>
      <c r="I10" s="449">
        <v>614</v>
      </c>
      <c r="J10" s="449">
        <v>536</v>
      </c>
      <c r="K10" s="449">
        <v>751</v>
      </c>
      <c r="L10" s="449">
        <v>956</v>
      </c>
      <c r="M10" s="449">
        <v>929</v>
      </c>
      <c r="N10" s="449">
        <v>939</v>
      </c>
      <c r="O10" s="449">
        <v>827</v>
      </c>
      <c r="P10" s="449">
        <v>1219</v>
      </c>
      <c r="Q10" s="449">
        <v>1386.2854144</v>
      </c>
      <c r="R10" s="449">
        <v>1310.8567680000001</v>
      </c>
      <c r="S10" s="449">
        <v>1707.32096</v>
      </c>
      <c r="T10" s="449">
        <v>2095.6511999999998</v>
      </c>
      <c r="U10" s="449">
        <v>2276.0639999999999</v>
      </c>
      <c r="V10" s="449">
        <v>2884.08</v>
      </c>
      <c r="W10" s="449">
        <v>3441.6</v>
      </c>
      <c r="X10" s="449">
        <v>3625</v>
      </c>
      <c r="Y10" s="449">
        <v>4742</v>
      </c>
      <c r="Z10" s="449">
        <v>4053</v>
      </c>
      <c r="AA10" s="449">
        <v>4924</v>
      </c>
      <c r="AB10" s="449">
        <v>6262</v>
      </c>
      <c r="AC10" s="449">
        <v>8299</v>
      </c>
      <c r="AD10" s="449">
        <v>9867</v>
      </c>
      <c r="AE10" s="449">
        <v>14930</v>
      </c>
      <c r="AF10" s="449">
        <v>18736</v>
      </c>
      <c r="AG10" s="449">
        <v>21824</v>
      </c>
      <c r="AH10" s="449">
        <v>28879</v>
      </c>
      <c r="AI10" s="449">
        <v>49829</v>
      </c>
      <c r="AJ10" s="449">
        <v>54474</v>
      </c>
      <c r="AK10" s="449">
        <v>77671</v>
      </c>
      <c r="AL10" s="449">
        <v>115698.06599999999</v>
      </c>
      <c r="AM10" s="449">
        <v>134202.9</v>
      </c>
      <c r="AN10" s="449">
        <v>191079</v>
      </c>
      <c r="AO10" s="449">
        <v>50132</v>
      </c>
      <c r="AP10" s="449">
        <v>11634</v>
      </c>
      <c r="AQ10" s="449">
        <v>13066</v>
      </c>
      <c r="AR10" s="449">
        <v>14437</v>
      </c>
      <c r="AS10" s="449">
        <v>16274</v>
      </c>
      <c r="AT10" s="449">
        <v>10323</v>
      </c>
      <c r="AU10" s="449">
        <v>13260</v>
      </c>
      <c r="AV10" s="449">
        <v>11981</v>
      </c>
      <c r="AW10" s="449">
        <v>12155</v>
      </c>
      <c r="AX10" s="450">
        <v>14149</v>
      </c>
    </row>
    <row r="11" spans="1:50" ht="13">
      <c r="A11" s="446" t="s">
        <v>753</v>
      </c>
      <c r="B11" s="449">
        <v>0</v>
      </c>
      <c r="C11" s="449">
        <v>1</v>
      </c>
      <c r="D11" s="449">
        <v>1</v>
      </c>
      <c r="E11" s="449">
        <v>2</v>
      </c>
      <c r="F11" s="449">
        <v>16</v>
      </c>
      <c r="G11" s="449">
        <v>58</v>
      </c>
      <c r="H11" s="449">
        <v>71</v>
      </c>
      <c r="I11" s="449">
        <v>77</v>
      </c>
      <c r="J11" s="449">
        <v>85</v>
      </c>
      <c r="K11" s="449">
        <v>111</v>
      </c>
      <c r="L11" s="449">
        <v>124</v>
      </c>
      <c r="M11" s="449">
        <v>127</v>
      </c>
      <c r="N11" s="449">
        <v>5</v>
      </c>
      <c r="O11" s="449">
        <v>7</v>
      </c>
      <c r="P11" s="449">
        <v>45</v>
      </c>
      <c r="Q11" s="449">
        <v>43</v>
      </c>
      <c r="R11" s="449">
        <v>45</v>
      </c>
      <c r="S11" s="449">
        <v>68</v>
      </c>
      <c r="T11" s="449">
        <v>95</v>
      </c>
      <c r="U11" s="449">
        <v>128</v>
      </c>
      <c r="V11" s="449">
        <v>166</v>
      </c>
      <c r="W11" s="449">
        <v>198</v>
      </c>
      <c r="X11" s="449">
        <v>188</v>
      </c>
      <c r="Y11" s="449">
        <v>129</v>
      </c>
      <c r="Z11" s="449">
        <v>129</v>
      </c>
      <c r="AA11" s="449">
        <v>146</v>
      </c>
      <c r="AB11" s="449">
        <v>340</v>
      </c>
      <c r="AC11" s="449">
        <v>319</v>
      </c>
      <c r="AD11" s="449">
        <v>216</v>
      </c>
      <c r="AE11" s="449">
        <v>133</v>
      </c>
      <c r="AF11" s="449">
        <v>107</v>
      </c>
      <c r="AG11" s="449">
        <v>211</v>
      </c>
      <c r="AH11" s="449">
        <v>1192</v>
      </c>
      <c r="AI11" s="449">
        <v>662</v>
      </c>
      <c r="AJ11" s="449">
        <v>1219</v>
      </c>
      <c r="AK11" s="449">
        <v>1508</v>
      </c>
      <c r="AL11" s="449">
        <v>1858</v>
      </c>
      <c r="AM11" s="449">
        <v>7609</v>
      </c>
      <c r="AN11" s="449">
        <v>7310</v>
      </c>
      <c r="AO11" s="449">
        <v>5204</v>
      </c>
      <c r="AP11" s="449">
        <v>4914</v>
      </c>
      <c r="AQ11" s="449">
        <v>230</v>
      </c>
      <c r="AR11" s="449">
        <v>1387</v>
      </c>
      <c r="AS11" s="449">
        <v>4818</v>
      </c>
      <c r="AT11" s="449">
        <v>6687</v>
      </c>
      <c r="AU11" s="449">
        <v>10389</v>
      </c>
      <c r="AV11" s="449">
        <v>11028</v>
      </c>
      <c r="AW11" s="449">
        <v>10213</v>
      </c>
      <c r="AX11" s="450">
        <v>8936</v>
      </c>
    </row>
    <row r="12" spans="1:50" ht="13">
      <c r="A12" s="446" t="s">
        <v>754</v>
      </c>
      <c r="B12" s="449">
        <v>0</v>
      </c>
      <c r="C12" s="449">
        <v>0</v>
      </c>
      <c r="D12" s="449">
        <v>0</v>
      </c>
      <c r="E12" s="449">
        <v>0</v>
      </c>
      <c r="F12" s="449">
        <v>0</v>
      </c>
      <c r="G12" s="449">
        <v>0</v>
      </c>
      <c r="H12" s="449">
        <v>0</v>
      </c>
      <c r="I12" s="449">
        <v>0</v>
      </c>
      <c r="J12" s="449">
        <v>0</v>
      </c>
      <c r="K12" s="449">
        <v>0</v>
      </c>
      <c r="L12" s="449">
        <v>0</v>
      </c>
      <c r="M12" s="449">
        <v>0</v>
      </c>
      <c r="N12" s="449">
        <v>0</v>
      </c>
      <c r="O12" s="449">
        <v>0</v>
      </c>
      <c r="P12" s="449">
        <v>2.1951590000000003E-2</v>
      </c>
      <c r="Q12" s="449">
        <v>0.1585654859867752</v>
      </c>
      <c r="R12" s="449">
        <v>0.25299960990602333</v>
      </c>
      <c r="S12" s="449">
        <v>2.4378216967852713</v>
      </c>
      <c r="T12" s="449">
        <v>5.4938003135736642</v>
      </c>
      <c r="U12" s="449">
        <v>8.2597437375376934</v>
      </c>
      <c r="V12" s="449">
        <v>15.294863996901809</v>
      </c>
      <c r="W12" s="449">
        <v>19.766251676261682</v>
      </c>
      <c r="X12" s="449">
        <v>25.13650439485879</v>
      </c>
      <c r="Y12" s="449">
        <v>31.96318975409519</v>
      </c>
      <c r="Z12" s="449">
        <v>40.307910319862692</v>
      </c>
      <c r="AA12" s="449">
        <v>52.007786350422251</v>
      </c>
      <c r="AB12" s="449">
        <v>60.370243031316832</v>
      </c>
      <c r="AC12" s="449">
        <v>69.8440579010813</v>
      </c>
      <c r="AD12" s="449">
        <v>81.446206552157193</v>
      </c>
      <c r="AE12" s="449">
        <v>94.283781856590565</v>
      </c>
      <c r="AF12" s="449">
        <v>111.5584311868482</v>
      </c>
      <c r="AG12" s="449">
        <v>123.78621591068588</v>
      </c>
      <c r="AH12" s="449">
        <v>131.53909163657221</v>
      </c>
      <c r="AI12" s="449">
        <v>146.57092597734677</v>
      </c>
      <c r="AJ12" s="449">
        <v>153.43672720252113</v>
      </c>
      <c r="AK12" s="449">
        <v>162.85898110699415</v>
      </c>
      <c r="AL12" s="449">
        <v>184.04340594808303</v>
      </c>
      <c r="AM12" s="449">
        <v>212.40720398376686</v>
      </c>
      <c r="AN12" s="449">
        <v>250.21382136577387</v>
      </c>
      <c r="AO12" s="449">
        <v>275.58912758121448</v>
      </c>
      <c r="AP12" s="449">
        <v>293.50654200206708</v>
      </c>
      <c r="AQ12" s="449">
        <v>329.01821910135283</v>
      </c>
      <c r="AR12" s="449">
        <v>373.86243481212125</v>
      </c>
      <c r="AS12" s="449">
        <v>390.41964137542163</v>
      </c>
      <c r="AT12" s="449">
        <v>398.75130276309164</v>
      </c>
      <c r="AU12" s="449">
        <v>404.43927857176749</v>
      </c>
      <c r="AV12" s="449">
        <v>415.77360634165359</v>
      </c>
      <c r="AW12" s="449">
        <v>444.85934751503373</v>
      </c>
      <c r="AX12" s="450">
        <v>544.76971029605158</v>
      </c>
    </row>
    <row r="13" spans="1:50" ht="13">
      <c r="A13" s="451" t="s">
        <v>755</v>
      </c>
      <c r="B13" s="449">
        <v>3.3923216861535019</v>
      </c>
      <c r="C13" s="449">
        <v>3.5812104817907158</v>
      </c>
      <c r="D13" s="449">
        <v>8.4433919285929697</v>
      </c>
      <c r="E13" s="449">
        <v>24.02138334832766</v>
      </c>
      <c r="F13" s="449">
        <v>23.064333905718026</v>
      </c>
      <c r="G13" s="449">
        <v>19.802718450403766</v>
      </c>
      <c r="H13" s="449">
        <v>26.916887807930557</v>
      </c>
      <c r="I13" s="449">
        <v>29.778332791737643</v>
      </c>
      <c r="J13" s="449">
        <v>54.075028009866656</v>
      </c>
      <c r="K13" s="449">
        <v>69.821135445265782</v>
      </c>
      <c r="L13" s="449">
        <v>69.323156292718863</v>
      </c>
      <c r="M13" s="449">
        <v>83.595636981609289</v>
      </c>
      <c r="N13" s="449">
        <v>54.580857791553704</v>
      </c>
      <c r="O13" s="449">
        <v>20.62371512285511</v>
      </c>
      <c r="P13" s="449">
        <v>27.675780421529133</v>
      </c>
      <c r="Q13" s="449">
        <v>19.389970981624145</v>
      </c>
      <c r="R13" s="449">
        <v>25.151660480356888</v>
      </c>
      <c r="S13" s="449">
        <v>28.907164717861356</v>
      </c>
      <c r="T13" s="449">
        <v>46.19312276215669</v>
      </c>
      <c r="U13" s="449">
        <v>51.528821687451703</v>
      </c>
      <c r="V13" s="449">
        <v>46.649782570802721</v>
      </c>
      <c r="W13" s="449">
        <v>39.840911716558658</v>
      </c>
      <c r="X13" s="449">
        <v>47.071542812612336</v>
      </c>
      <c r="Y13" s="449">
        <v>67.095055190968822</v>
      </c>
      <c r="Z13" s="449">
        <v>49.689911048614462</v>
      </c>
      <c r="AA13" s="449">
        <v>23.308383884280893</v>
      </c>
      <c r="AB13" s="449">
        <v>30.134546532402975</v>
      </c>
      <c r="AC13" s="449">
        <v>289.88241851026385</v>
      </c>
      <c r="AD13" s="449">
        <v>801.27432405107425</v>
      </c>
      <c r="AE13" s="449">
        <v>3467.5099983707501</v>
      </c>
      <c r="AF13" s="449">
        <v>2534</v>
      </c>
      <c r="AG13" s="449">
        <v>6995</v>
      </c>
      <c r="AH13" s="449">
        <v>7976</v>
      </c>
      <c r="AI13" s="449">
        <v>14524</v>
      </c>
      <c r="AJ13" s="449">
        <v>20323</v>
      </c>
      <c r="AK13" s="449">
        <v>16499</v>
      </c>
      <c r="AL13" s="449">
        <v>20794</v>
      </c>
      <c r="AM13" s="449">
        <v>4099</v>
      </c>
      <c r="AN13" s="449">
        <v>1253</v>
      </c>
      <c r="AO13" s="449">
        <v>47488</v>
      </c>
      <c r="AP13" s="449">
        <v>3061</v>
      </c>
      <c r="AQ13" s="449">
        <v>6154</v>
      </c>
      <c r="AR13" s="449">
        <v>24795</v>
      </c>
      <c r="AS13" s="449">
        <v>14626</v>
      </c>
      <c r="AT13" s="449">
        <v>3099</v>
      </c>
      <c r="AU13" s="449">
        <v>8001</v>
      </c>
      <c r="AV13" s="447">
        <v>6518</v>
      </c>
      <c r="AW13" s="449">
        <v>6350</v>
      </c>
      <c r="AX13" s="450">
        <v>7896</v>
      </c>
    </row>
    <row r="14" spans="1:50" ht="13">
      <c r="A14" s="457" t="s">
        <v>770</v>
      </c>
      <c r="B14" s="458">
        <v>0.77732168615350161</v>
      </c>
      <c r="C14" s="458">
        <v>0.49721048179071559</v>
      </c>
      <c r="D14" s="458">
        <v>4.4233919285929701</v>
      </c>
      <c r="E14" s="458">
        <v>20.45438334832766</v>
      </c>
      <c r="F14" s="458">
        <v>19.779333905718026</v>
      </c>
      <c r="G14" s="458">
        <v>15.144718450403769</v>
      </c>
      <c r="H14" s="458">
        <v>23.967887807930559</v>
      </c>
      <c r="I14" s="458">
        <v>26.155332791737642</v>
      </c>
      <c r="J14" s="458">
        <v>49.496028009866656</v>
      </c>
      <c r="K14" s="458">
        <v>66.346135445265787</v>
      </c>
      <c r="L14" s="458">
        <v>65.781156292718862</v>
      </c>
      <c r="M14" s="458">
        <v>79.643636981609291</v>
      </c>
      <c r="N14" s="458">
        <v>46.954670953417022</v>
      </c>
      <c r="O14" s="458">
        <v>14.792033771976065</v>
      </c>
      <c r="P14" s="458">
        <v>22.711327328393395</v>
      </c>
      <c r="Q14" s="458">
        <v>14.571125943869371</v>
      </c>
      <c r="R14" s="458">
        <v>22.457365846497009</v>
      </c>
      <c r="S14" s="458">
        <v>22.668427613328227</v>
      </c>
      <c r="T14" s="458">
        <v>28.670310348227588</v>
      </c>
      <c r="U14" s="458">
        <v>46.650790084088179</v>
      </c>
      <c r="V14" s="458">
        <v>41.69786785654108</v>
      </c>
      <c r="W14" s="458">
        <v>33.852571706819958</v>
      </c>
      <c r="X14" s="458">
        <v>42.268488167584792</v>
      </c>
      <c r="Y14" s="458">
        <v>58.573839991231864</v>
      </c>
      <c r="Z14" s="458">
        <v>40.948693705965326</v>
      </c>
      <c r="AA14" s="458">
        <v>16.306487906387183</v>
      </c>
      <c r="AB14" s="458">
        <v>23.645633855297035</v>
      </c>
      <c r="AC14" s="458">
        <v>282.43726634915367</v>
      </c>
      <c r="AD14" s="458">
        <v>791.77402855142429</v>
      </c>
      <c r="AE14" s="458">
        <v>3447.1453185918722</v>
      </c>
      <c r="AF14" s="458">
        <v>2228.0230000000001</v>
      </c>
      <c r="AG14" s="458">
        <v>6704</v>
      </c>
      <c r="AH14" s="458">
        <v>7611</v>
      </c>
      <c r="AI14" s="458">
        <v>13900.257</v>
      </c>
      <c r="AJ14" s="458">
        <v>20102.072</v>
      </c>
      <c r="AK14" s="458">
        <v>16326.593000000001</v>
      </c>
      <c r="AL14" s="458">
        <v>20466.170999999998</v>
      </c>
      <c r="AM14" s="458">
        <v>3892.1860000000001</v>
      </c>
      <c r="AN14" s="458">
        <v>1053.4380000000001</v>
      </c>
      <c r="AO14" s="458">
        <v>47318</v>
      </c>
      <c r="AP14" s="458">
        <v>2900</v>
      </c>
      <c r="AQ14" s="458">
        <v>5867</v>
      </c>
      <c r="AR14" s="458">
        <v>24452</v>
      </c>
      <c r="AS14" s="458">
        <v>14305</v>
      </c>
      <c r="AT14" s="458">
        <v>2850</v>
      </c>
      <c r="AU14" s="458">
        <v>6868</v>
      </c>
      <c r="AV14" s="458">
        <v>6287</v>
      </c>
      <c r="AW14" s="458">
        <v>4444</v>
      </c>
      <c r="AX14" s="459">
        <v>5634</v>
      </c>
    </row>
    <row r="15" spans="1:50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8"/>
    </row>
    <row r="16" spans="1:50" ht="13">
      <c r="A16" s="446" t="s">
        <v>784</v>
      </c>
      <c r="B16" s="449">
        <v>32</v>
      </c>
      <c r="C16" s="449">
        <v>25</v>
      </c>
      <c r="D16" s="449">
        <v>22</v>
      </c>
      <c r="E16" s="449">
        <v>721.01</v>
      </c>
      <c r="F16" s="449">
        <v>15.823</v>
      </c>
      <c r="G16" s="449">
        <v>86.114999999999995</v>
      </c>
      <c r="H16" s="449">
        <v>105</v>
      </c>
      <c r="I16" s="449">
        <v>34.120999999999995</v>
      </c>
      <c r="J16" s="449">
        <v>100.727</v>
      </c>
      <c r="K16" s="449">
        <v>35.792000000000002</v>
      </c>
      <c r="L16" s="449">
        <v>26.201000000000001</v>
      </c>
      <c r="M16" s="449">
        <v>23.7</v>
      </c>
      <c r="N16" s="449">
        <v>27</v>
      </c>
      <c r="O16" s="449">
        <v>41</v>
      </c>
      <c r="P16" s="449">
        <v>45</v>
      </c>
      <c r="Q16" s="449">
        <v>45</v>
      </c>
      <c r="R16" s="449">
        <v>46</v>
      </c>
      <c r="S16" s="449">
        <v>20</v>
      </c>
      <c r="T16" s="449">
        <v>67</v>
      </c>
      <c r="U16" s="449">
        <v>174</v>
      </c>
      <c r="V16" s="449">
        <v>223</v>
      </c>
      <c r="W16" s="449">
        <v>113</v>
      </c>
      <c r="X16" s="449">
        <v>138</v>
      </c>
      <c r="Y16" s="449">
        <v>104</v>
      </c>
      <c r="Z16" s="449">
        <v>287</v>
      </c>
      <c r="AA16" s="449">
        <v>155</v>
      </c>
      <c r="AB16" s="449">
        <v>0</v>
      </c>
      <c r="AC16" s="449">
        <v>184</v>
      </c>
      <c r="AD16" s="449">
        <v>213</v>
      </c>
      <c r="AE16" s="449">
        <v>262</v>
      </c>
      <c r="AF16" s="460">
        <v>1615</v>
      </c>
      <c r="AG16" s="460">
        <v>995</v>
      </c>
      <c r="AH16" s="447">
        <v>146</v>
      </c>
      <c r="AI16" s="447">
        <v>866</v>
      </c>
      <c r="AJ16" s="447">
        <v>333</v>
      </c>
      <c r="AK16" s="447">
        <v>184</v>
      </c>
      <c r="AL16" s="447">
        <v>1371</v>
      </c>
      <c r="AM16" s="447">
        <v>2832.549</v>
      </c>
      <c r="AN16" s="447">
        <v>2284.2619999999997</v>
      </c>
      <c r="AO16" s="447">
        <v>124852</v>
      </c>
      <c r="AP16" s="447">
        <v>200378</v>
      </c>
      <c r="AQ16" s="447">
        <v>92231</v>
      </c>
      <c r="AR16" s="447">
        <v>2080</v>
      </c>
      <c r="AS16" s="447">
        <v>1371</v>
      </c>
      <c r="AT16" s="447">
        <v>5204</v>
      </c>
      <c r="AU16" s="447">
        <v>7010</v>
      </c>
      <c r="AV16" s="447">
        <v>4162</v>
      </c>
      <c r="AW16" s="447">
        <v>5675</v>
      </c>
      <c r="AX16" s="448">
        <v>7464</v>
      </c>
    </row>
    <row r="17" spans="1:50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8"/>
    </row>
    <row r="18" spans="1:50" ht="13">
      <c r="A18" s="446" t="s">
        <v>757</v>
      </c>
      <c r="B18" s="449">
        <v>32</v>
      </c>
      <c r="C18" s="449">
        <v>25</v>
      </c>
      <c r="D18" s="449">
        <v>22</v>
      </c>
      <c r="E18" s="449">
        <v>721.01</v>
      </c>
      <c r="F18" s="449">
        <v>15.823</v>
      </c>
      <c r="G18" s="449">
        <v>86.114999999999995</v>
      </c>
      <c r="H18" s="449">
        <v>105</v>
      </c>
      <c r="I18" s="449">
        <v>34.120999999999995</v>
      </c>
      <c r="J18" s="449">
        <v>100.727</v>
      </c>
      <c r="K18" s="449">
        <v>35.792000000000002</v>
      </c>
      <c r="L18" s="449">
        <v>26.201000000000001</v>
      </c>
      <c r="M18" s="449">
        <v>23.7</v>
      </c>
      <c r="N18" s="449">
        <v>27</v>
      </c>
      <c r="O18" s="449">
        <v>41</v>
      </c>
      <c r="P18" s="449">
        <v>45</v>
      </c>
      <c r="Q18" s="449">
        <v>45</v>
      </c>
      <c r="R18" s="449">
        <v>46</v>
      </c>
      <c r="S18" s="449">
        <v>20</v>
      </c>
      <c r="T18" s="449">
        <v>67</v>
      </c>
      <c r="U18" s="449">
        <v>174</v>
      </c>
      <c r="V18" s="449">
        <v>223</v>
      </c>
      <c r="W18" s="449">
        <v>113</v>
      </c>
      <c r="X18" s="449">
        <v>138</v>
      </c>
      <c r="Y18" s="449">
        <v>104</v>
      </c>
      <c r="Z18" s="449">
        <v>287</v>
      </c>
      <c r="AA18" s="449">
        <v>155</v>
      </c>
      <c r="AB18" s="449">
        <v>0</v>
      </c>
      <c r="AC18" s="449">
        <v>184</v>
      </c>
      <c r="AD18" s="449">
        <v>213</v>
      </c>
      <c r="AE18" s="449">
        <v>262</v>
      </c>
      <c r="AF18" s="449">
        <v>1615</v>
      </c>
      <c r="AG18" s="449">
        <v>995</v>
      </c>
      <c r="AH18" s="449">
        <v>146</v>
      </c>
      <c r="AI18" s="449">
        <v>866</v>
      </c>
      <c r="AJ18" s="449">
        <v>333</v>
      </c>
      <c r="AK18" s="449">
        <v>184</v>
      </c>
      <c r="AL18" s="449">
        <v>1371</v>
      </c>
      <c r="AM18" s="449">
        <v>2832.549</v>
      </c>
      <c r="AN18" s="449">
        <v>2284.2619999999997</v>
      </c>
      <c r="AO18" s="449">
        <v>124852</v>
      </c>
      <c r="AP18" s="449">
        <v>200378</v>
      </c>
      <c r="AQ18" s="449">
        <v>92231</v>
      </c>
      <c r="AR18" s="449">
        <v>2080</v>
      </c>
      <c r="AS18" s="449">
        <v>1371</v>
      </c>
      <c r="AT18" s="449">
        <v>5204</v>
      </c>
      <c r="AU18" s="449">
        <v>7010</v>
      </c>
      <c r="AV18" s="449">
        <v>4162</v>
      </c>
      <c r="AW18" s="449">
        <v>5675</v>
      </c>
      <c r="AX18" s="450">
        <v>7464</v>
      </c>
    </row>
    <row r="19" spans="1:50" ht="13">
      <c r="A19" s="457" t="s">
        <v>770</v>
      </c>
      <c r="B19" s="449">
        <v>32</v>
      </c>
      <c r="C19" s="449">
        <v>25</v>
      </c>
      <c r="D19" s="449">
        <v>22</v>
      </c>
      <c r="E19" s="449">
        <v>2.375</v>
      </c>
      <c r="F19" s="449">
        <v>10</v>
      </c>
      <c r="G19" s="449">
        <v>10</v>
      </c>
      <c r="H19" s="449">
        <v>105</v>
      </c>
      <c r="I19" s="449">
        <v>15</v>
      </c>
      <c r="J19" s="449">
        <v>26.3</v>
      </c>
      <c r="K19" s="449">
        <v>25</v>
      </c>
      <c r="L19" s="449">
        <v>25</v>
      </c>
      <c r="M19" s="449">
        <v>23.7</v>
      </c>
      <c r="N19" s="449">
        <v>27</v>
      </c>
      <c r="O19" s="449">
        <v>41</v>
      </c>
      <c r="P19" s="449">
        <v>45</v>
      </c>
      <c r="Q19" s="449">
        <v>45</v>
      </c>
      <c r="R19" s="449">
        <v>45</v>
      </c>
      <c r="S19" s="449">
        <v>20</v>
      </c>
      <c r="T19" s="449">
        <v>64</v>
      </c>
      <c r="U19" s="449">
        <v>174</v>
      </c>
      <c r="V19" s="449">
        <v>223</v>
      </c>
      <c r="W19" s="449">
        <v>113</v>
      </c>
      <c r="X19" s="449">
        <v>138</v>
      </c>
      <c r="Y19" s="449">
        <v>104</v>
      </c>
      <c r="Z19" s="449">
        <v>287</v>
      </c>
      <c r="AA19" s="449">
        <v>155</v>
      </c>
      <c r="AB19" s="449">
        <v>0</v>
      </c>
      <c r="AC19" s="449">
        <v>184</v>
      </c>
      <c r="AD19" s="449">
        <v>213</v>
      </c>
      <c r="AE19" s="449">
        <v>262</v>
      </c>
      <c r="AF19" s="449">
        <v>1614</v>
      </c>
      <c r="AG19" s="449">
        <v>908</v>
      </c>
      <c r="AH19" s="449">
        <v>141</v>
      </c>
      <c r="AI19" s="449">
        <v>866</v>
      </c>
      <c r="AJ19" s="449">
        <v>333</v>
      </c>
      <c r="AK19" s="449">
        <v>170</v>
      </c>
      <c r="AL19" s="449">
        <v>220</v>
      </c>
      <c r="AM19" s="449">
        <v>785</v>
      </c>
      <c r="AN19" s="449">
        <v>976</v>
      </c>
      <c r="AO19" s="447">
        <v>120792</v>
      </c>
      <c r="AP19" s="447">
        <v>196515</v>
      </c>
      <c r="AQ19" s="447">
        <v>91736</v>
      </c>
      <c r="AR19" s="447">
        <v>43</v>
      </c>
      <c r="AS19" s="447">
        <v>67</v>
      </c>
      <c r="AT19" s="447">
        <v>112</v>
      </c>
      <c r="AU19" s="447">
        <v>460</v>
      </c>
      <c r="AV19" s="447">
        <v>200</v>
      </c>
      <c r="AW19" s="447">
        <v>330</v>
      </c>
      <c r="AX19" s="448">
        <v>490</v>
      </c>
    </row>
    <row r="20" spans="1:5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0" ht="13">
      <c r="A21" s="446" t="s">
        <v>758</v>
      </c>
      <c r="B21" s="449">
        <v>504.39232168615348</v>
      </c>
      <c r="C21" s="449">
        <v>566.58121048179066</v>
      </c>
      <c r="D21" s="449">
        <v>875.44339192859297</v>
      </c>
      <c r="E21" s="449">
        <v>1584.0313833483276</v>
      </c>
      <c r="F21" s="449">
        <v>753.88733390571804</v>
      </c>
      <c r="G21" s="449">
        <v>897.91771845040375</v>
      </c>
      <c r="H21" s="449">
        <v>884.91688780793061</v>
      </c>
      <c r="I21" s="449">
        <v>834.89933279173761</v>
      </c>
      <c r="J21" s="449">
        <v>858.8020280098666</v>
      </c>
      <c r="K21" s="449">
        <v>1059.6131354452657</v>
      </c>
      <c r="L21" s="449">
        <v>1274.524156292719</v>
      </c>
      <c r="M21" s="449">
        <v>1266.2956369816093</v>
      </c>
      <c r="N21" s="449">
        <v>1264.5808577915536</v>
      </c>
      <c r="O21" s="449">
        <v>1150.6237151228552</v>
      </c>
      <c r="P21" s="449">
        <v>1615.6977320115293</v>
      </c>
      <c r="Q21" s="449">
        <v>1797.8339508676111</v>
      </c>
      <c r="R21" s="449">
        <v>1819.2614280902631</v>
      </c>
      <c r="S21" s="449">
        <v>2273.6659464146464</v>
      </c>
      <c r="T21" s="449">
        <v>2883.33812307573</v>
      </c>
      <c r="U21" s="449">
        <v>3290.8525654249893</v>
      </c>
      <c r="V21" s="449">
        <v>3839.0246465677046</v>
      </c>
      <c r="W21" s="449">
        <v>4380.2071633928208</v>
      </c>
      <c r="X21" s="449">
        <v>4675.2080472074713</v>
      </c>
      <c r="Y21" s="449">
        <v>5889.058244945064</v>
      </c>
      <c r="Z21" s="449">
        <v>5595.9978213684772</v>
      </c>
      <c r="AA21" s="449">
        <v>6323.3161702347033</v>
      </c>
      <c r="AB21" s="449">
        <v>7929.5047895637199</v>
      </c>
      <c r="AC21" s="449">
        <v>10797.726476411346</v>
      </c>
      <c r="AD21" s="449">
        <v>14064.72053060323</v>
      </c>
      <c r="AE21" s="449">
        <v>22936.793780227341</v>
      </c>
      <c r="AF21" s="449">
        <v>28444.558431186848</v>
      </c>
      <c r="AG21" s="449">
        <v>36128.786215910688</v>
      </c>
      <c r="AH21" s="449">
        <v>45622.539091636572</v>
      </c>
      <c r="AI21" s="449">
        <v>76074.570925977343</v>
      </c>
      <c r="AJ21" s="449">
        <v>88459.436727202527</v>
      </c>
      <c r="AK21" s="449">
        <v>111668.858981107</v>
      </c>
      <c r="AL21" s="449">
        <v>161214.10940594808</v>
      </c>
      <c r="AM21" s="449">
        <v>176452.85620398377</v>
      </c>
      <c r="AN21" s="449">
        <v>234175.47582136575</v>
      </c>
      <c r="AO21" s="449">
        <v>230495.58912758122</v>
      </c>
      <c r="AP21" s="449">
        <v>220280.50654200205</v>
      </c>
      <c r="AQ21" s="449">
        <v>112010.01821910136</v>
      </c>
      <c r="AR21" s="449">
        <v>43072.862434812123</v>
      </c>
      <c r="AS21" s="449">
        <v>37479.419641375425</v>
      </c>
      <c r="AT21" s="449">
        <v>25711.751302763092</v>
      </c>
      <c r="AU21" s="449">
        <v>39064.439278571765</v>
      </c>
      <c r="AV21" s="449">
        <v>34104.773606341652</v>
      </c>
      <c r="AW21" s="449">
        <v>34837.859347515034</v>
      </c>
      <c r="AX21" s="450">
        <v>38989.769710296052</v>
      </c>
    </row>
    <row r="22" spans="1:5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</row>
    <row r="23" spans="1:50" ht="13">
      <c r="A23" s="446" t="s">
        <v>759</v>
      </c>
      <c r="B23" s="449">
        <v>199.0933216861535</v>
      </c>
      <c r="C23" s="449">
        <v>296.79421048179074</v>
      </c>
      <c r="D23" s="449">
        <v>828.27539192859297</v>
      </c>
      <c r="E23" s="449">
        <v>431.68938334832762</v>
      </c>
      <c r="F23" s="449">
        <v>751.09833390571805</v>
      </c>
      <c r="G23" s="449">
        <v>930.28071845040381</v>
      </c>
      <c r="H23" s="449">
        <v>706.85788780793052</v>
      </c>
      <c r="I23" s="449">
        <v>666.89533279173759</v>
      </c>
      <c r="J23" s="449">
        <v>541.78402800986669</v>
      </c>
      <c r="K23" s="449">
        <v>812.15813544526577</v>
      </c>
      <c r="L23" s="449">
        <v>1069.651156292719</v>
      </c>
      <c r="M23" s="449">
        <v>1191.3596369816094</v>
      </c>
      <c r="N23" s="449">
        <v>863.62618683813662</v>
      </c>
      <c r="O23" s="449">
        <v>759.83168135087908</v>
      </c>
      <c r="P23" s="449">
        <v>978.98640468313579</v>
      </c>
      <c r="Q23" s="449">
        <v>972.97741052374158</v>
      </c>
      <c r="R23" s="449">
        <v>913.94729424376601</v>
      </c>
      <c r="S23" s="449">
        <v>911.67655880131838</v>
      </c>
      <c r="T23" s="449">
        <v>1590.0166127275027</v>
      </c>
      <c r="U23" s="449">
        <v>1834.1377753409013</v>
      </c>
      <c r="V23" s="449">
        <v>2019.2467787111634</v>
      </c>
      <c r="W23" s="449">
        <v>2612.7545916860004</v>
      </c>
      <c r="X23" s="449">
        <v>2585.9395590398867</v>
      </c>
      <c r="Y23" s="449">
        <v>3634.4844049538324</v>
      </c>
      <c r="Z23" s="449">
        <v>3604.0491276625116</v>
      </c>
      <c r="AA23" s="449">
        <v>3947.0096823283156</v>
      </c>
      <c r="AB23" s="449">
        <v>4537.8591557084228</v>
      </c>
      <c r="AC23" s="449">
        <v>10080.28921006219</v>
      </c>
      <c r="AD23" s="449">
        <v>7973.9465020518064</v>
      </c>
      <c r="AE23" s="449">
        <v>17344.648461635468</v>
      </c>
      <c r="AF23" s="449">
        <v>18621.558431186848</v>
      </c>
      <c r="AG23" s="449">
        <v>29727.786215910684</v>
      </c>
      <c r="AH23" s="449">
        <v>34163.539091636572</v>
      </c>
      <c r="AI23" s="449">
        <v>82583.170925977349</v>
      </c>
      <c r="AJ23" s="449">
        <v>121963.23672720254</v>
      </c>
      <c r="AK23" s="449">
        <v>96582.958981107004</v>
      </c>
      <c r="AL23" s="449">
        <v>139043.08340594807</v>
      </c>
      <c r="AM23" s="449">
        <v>259908.18720398381</v>
      </c>
      <c r="AN23" s="449">
        <v>248038.11382136578</v>
      </c>
      <c r="AO23" s="449">
        <v>98926.589127581217</v>
      </c>
      <c r="AP23" s="449">
        <v>8242.5065420020674</v>
      </c>
      <c r="AQ23" s="449">
        <v>8817.0182191013519</v>
      </c>
      <c r="AR23" s="449">
        <v>6360.8624348121211</v>
      </c>
      <c r="AS23" s="449">
        <v>5712.4196413754216</v>
      </c>
      <c r="AT23" s="449">
        <v>5495.7513027630921</v>
      </c>
      <c r="AU23" s="449">
        <v>14301.439278571768</v>
      </c>
      <c r="AV23" s="449">
        <v>19831.773606341652</v>
      </c>
      <c r="AW23" s="449">
        <v>21325.859347515034</v>
      </c>
      <c r="AX23" s="450">
        <v>17531.769710296052</v>
      </c>
    </row>
    <row r="24" spans="1:50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8"/>
    </row>
    <row r="25" spans="1:50" ht="13">
      <c r="A25" s="446" t="s">
        <v>760</v>
      </c>
      <c r="B25" s="449">
        <v>2.8673216861535016</v>
      </c>
      <c r="C25" s="449">
        <v>4.4032104817907154</v>
      </c>
      <c r="D25" s="449">
        <v>42.323391928592969</v>
      </c>
      <c r="E25" s="449">
        <v>41.224383348327663</v>
      </c>
      <c r="F25" s="449">
        <v>52.642333905718026</v>
      </c>
      <c r="G25" s="449">
        <v>56.08771845040377</v>
      </c>
      <c r="H25" s="449">
        <v>58.547887807930557</v>
      </c>
      <c r="I25" s="449">
        <v>64.555332791737641</v>
      </c>
      <c r="J25" s="449">
        <v>71.496028009866649</v>
      </c>
      <c r="K25" s="449">
        <v>83.446135445265782</v>
      </c>
      <c r="L25" s="449">
        <v>87.98115629271885</v>
      </c>
      <c r="M25" s="449">
        <v>111.96863698160931</v>
      </c>
      <c r="N25" s="449">
        <v>118</v>
      </c>
      <c r="O25" s="449">
        <v>117</v>
      </c>
      <c r="P25" s="449">
        <v>96.02195159</v>
      </c>
      <c r="Q25" s="449">
        <v>97.158565485986784</v>
      </c>
      <c r="R25" s="449">
        <v>104.25299960990601</v>
      </c>
      <c r="S25" s="449">
        <v>90.437821696785278</v>
      </c>
      <c r="T25" s="449">
        <v>152.49380031357364</v>
      </c>
      <c r="U25" s="449">
        <v>186.25974373753769</v>
      </c>
      <c r="V25" s="449">
        <v>225.29486399690182</v>
      </c>
      <c r="W25" s="449">
        <v>264.76625167626167</v>
      </c>
      <c r="X25" s="449">
        <v>324.13650439485878</v>
      </c>
      <c r="Y25" s="449">
        <v>412.9631897540952</v>
      </c>
      <c r="Z25" s="449">
        <v>425.30791031986269</v>
      </c>
      <c r="AA25" s="449">
        <v>503.00778635042224</v>
      </c>
      <c r="AB25" s="449">
        <v>668.37024303131682</v>
      </c>
      <c r="AC25" s="449">
        <v>844.84405790108133</v>
      </c>
      <c r="AD25" s="449">
        <v>891.44620655215715</v>
      </c>
      <c r="AE25" s="449">
        <v>1037.2837818565904</v>
      </c>
      <c r="AF25" s="449">
        <v>967.55843118684822</v>
      </c>
      <c r="AG25" s="449">
        <v>984.78621591068588</v>
      </c>
      <c r="AH25" s="449">
        <v>1231.5390916365723</v>
      </c>
      <c r="AI25" s="449">
        <v>1478.5709259773466</v>
      </c>
      <c r="AJ25" s="449">
        <v>1499.4367272025211</v>
      </c>
      <c r="AK25" s="449">
        <v>624.85898110699418</v>
      </c>
      <c r="AL25" s="449">
        <v>804.04340594808309</v>
      </c>
      <c r="AM25" s="449">
        <v>1134.407203983767</v>
      </c>
      <c r="AN25" s="449">
        <v>1239.2138213657738</v>
      </c>
      <c r="AO25" s="449">
        <v>1355.5891275812146</v>
      </c>
      <c r="AP25" s="449">
        <v>1857.5065420020671</v>
      </c>
      <c r="AQ25" s="449">
        <v>1231.0182191013528</v>
      </c>
      <c r="AR25" s="449">
        <v>1907.8624348121211</v>
      </c>
      <c r="AS25" s="449">
        <v>2551.4196413754216</v>
      </c>
      <c r="AT25" s="449">
        <v>1832.7513027630916</v>
      </c>
      <c r="AU25" s="449">
        <v>8320.4392785717682</v>
      </c>
      <c r="AV25" s="449">
        <v>5323.7736063416542</v>
      </c>
      <c r="AW25" s="449">
        <v>3826.8593475150337</v>
      </c>
      <c r="AX25" s="450">
        <v>5145.7697102960519</v>
      </c>
    </row>
    <row r="26" spans="1:50" ht="13">
      <c r="A26" s="446" t="s">
        <v>761</v>
      </c>
      <c r="B26" s="449">
        <v>0.86732168615350147</v>
      </c>
      <c r="C26" s="449">
        <v>1.4032104817907156</v>
      </c>
      <c r="D26" s="449">
        <v>39.323391928592969</v>
      </c>
      <c r="E26" s="449">
        <v>29.22438334832766</v>
      </c>
      <c r="F26" s="449">
        <v>41.642333905718026</v>
      </c>
      <c r="G26" s="449">
        <v>45.08771845040377</v>
      </c>
      <c r="H26" s="449">
        <v>44.547887807930557</v>
      </c>
      <c r="I26" s="449">
        <v>46.555332791737641</v>
      </c>
      <c r="J26" s="449">
        <v>49.496028009866656</v>
      </c>
      <c r="K26" s="449">
        <v>50.446135445265789</v>
      </c>
      <c r="L26" s="449">
        <v>53.981156292718858</v>
      </c>
      <c r="M26" s="449">
        <v>58.968636981609301</v>
      </c>
      <c r="N26" s="449">
        <v>65.654670953417025</v>
      </c>
      <c r="O26" s="449">
        <v>70.792033771976065</v>
      </c>
      <c r="P26" s="449">
        <v>74.111327328393401</v>
      </c>
      <c r="Q26" s="449">
        <v>70.471125943869382</v>
      </c>
      <c r="R26" s="449">
        <v>67.357365846497004</v>
      </c>
      <c r="S26" s="449">
        <v>55.968427613328224</v>
      </c>
      <c r="T26" s="449">
        <v>63.070310348227586</v>
      </c>
      <c r="U26" s="449">
        <v>71.950790084088169</v>
      </c>
      <c r="V26" s="449">
        <v>98.797867856541075</v>
      </c>
      <c r="W26" s="449">
        <v>113.95257170681995</v>
      </c>
      <c r="X26" s="449">
        <v>126.76848816758479</v>
      </c>
      <c r="Y26" s="449">
        <v>217.37383999123188</v>
      </c>
      <c r="Z26" s="449">
        <v>189.64869370596531</v>
      </c>
      <c r="AA26" s="449">
        <v>222.30648790638719</v>
      </c>
      <c r="AB26" s="449">
        <v>324.44563385529705</v>
      </c>
      <c r="AC26" s="449">
        <v>425.43726634915367</v>
      </c>
      <c r="AD26" s="449">
        <v>542.87402855142432</v>
      </c>
      <c r="AE26" s="449">
        <v>757.64531859187196</v>
      </c>
      <c r="AF26" s="449">
        <v>705</v>
      </c>
      <c r="AG26" s="449">
        <v>705</v>
      </c>
      <c r="AH26" s="449">
        <v>847</v>
      </c>
      <c r="AI26" s="449">
        <v>981</v>
      </c>
      <c r="AJ26" s="449">
        <v>1033</v>
      </c>
      <c r="AK26" s="449">
        <v>333</v>
      </c>
      <c r="AL26" s="449">
        <v>469</v>
      </c>
      <c r="AM26" s="449">
        <v>644</v>
      </c>
      <c r="AN26" s="449">
        <v>584</v>
      </c>
      <c r="AO26" s="449">
        <v>247</v>
      </c>
      <c r="AP26" s="449">
        <v>809</v>
      </c>
      <c r="AQ26" s="449">
        <v>473</v>
      </c>
      <c r="AR26" s="449">
        <v>956</v>
      </c>
      <c r="AS26" s="449">
        <v>891</v>
      </c>
      <c r="AT26" s="449">
        <v>1116</v>
      </c>
      <c r="AU26" s="449">
        <v>1528</v>
      </c>
      <c r="AV26" s="449">
        <v>1233</v>
      </c>
      <c r="AW26" s="449">
        <v>539</v>
      </c>
      <c r="AX26" s="450">
        <v>652</v>
      </c>
    </row>
    <row r="27" spans="1:50" ht="13">
      <c r="A27" s="446" t="s">
        <v>762</v>
      </c>
      <c r="B27" s="449">
        <v>2</v>
      </c>
      <c r="C27" s="449">
        <v>3</v>
      </c>
      <c r="D27" s="449">
        <v>3</v>
      </c>
      <c r="E27" s="449">
        <v>12</v>
      </c>
      <c r="F27" s="449">
        <v>11</v>
      </c>
      <c r="G27" s="449">
        <v>11</v>
      </c>
      <c r="H27" s="449">
        <v>14</v>
      </c>
      <c r="I27" s="449">
        <v>18</v>
      </c>
      <c r="J27" s="449">
        <v>22</v>
      </c>
      <c r="K27" s="449">
        <v>33</v>
      </c>
      <c r="L27" s="449">
        <v>34</v>
      </c>
      <c r="M27" s="449">
        <v>53</v>
      </c>
      <c r="N27" s="449">
        <v>52.345329046582975</v>
      </c>
      <c r="O27" s="449">
        <v>46.207966228023935</v>
      </c>
      <c r="P27" s="449">
        <v>21.9106242616066</v>
      </c>
      <c r="Q27" s="449">
        <v>26.687439542117403</v>
      </c>
      <c r="R27" s="449">
        <v>36.895633763409009</v>
      </c>
      <c r="S27" s="449">
        <v>34.469394083457054</v>
      </c>
      <c r="T27" s="449">
        <v>89.42348996534605</v>
      </c>
      <c r="U27" s="449">
        <v>114.30895365344952</v>
      </c>
      <c r="V27" s="449">
        <v>126.49699614036075</v>
      </c>
      <c r="W27" s="449">
        <v>150.81367996944172</v>
      </c>
      <c r="X27" s="449">
        <v>197.36801622727398</v>
      </c>
      <c r="Y27" s="449">
        <v>195.58934976286332</v>
      </c>
      <c r="Z27" s="449">
        <v>235.65921661389737</v>
      </c>
      <c r="AA27" s="449">
        <v>280.70129844403505</v>
      </c>
      <c r="AB27" s="449">
        <v>343.92460917601977</v>
      </c>
      <c r="AC27" s="449">
        <v>419.40679155192765</v>
      </c>
      <c r="AD27" s="449">
        <v>348.57217800073283</v>
      </c>
      <c r="AE27" s="449">
        <v>279.63846326471844</v>
      </c>
      <c r="AF27" s="449">
        <v>262.55843118684822</v>
      </c>
      <c r="AG27" s="449">
        <v>279.78621591068588</v>
      </c>
      <c r="AH27" s="449">
        <v>384.53909163657227</v>
      </c>
      <c r="AI27" s="449">
        <v>497.57092597734663</v>
      </c>
      <c r="AJ27" s="449">
        <v>466.43672720252107</v>
      </c>
      <c r="AK27" s="449">
        <v>291.85898110699418</v>
      </c>
      <c r="AL27" s="449">
        <v>335.04340594808309</v>
      </c>
      <c r="AM27" s="449">
        <v>490.40720398376698</v>
      </c>
      <c r="AN27" s="449">
        <v>655.21382136577381</v>
      </c>
      <c r="AO27" s="449">
        <v>1108.5891275812146</v>
      </c>
      <c r="AP27" s="449">
        <v>1048.5065420020671</v>
      </c>
      <c r="AQ27" s="449">
        <v>758.01821910135277</v>
      </c>
      <c r="AR27" s="449">
        <v>951.86243481212114</v>
      </c>
      <c r="AS27" s="449">
        <v>1660.4196413754216</v>
      </c>
      <c r="AT27" s="449">
        <v>716.75130276309164</v>
      </c>
      <c r="AU27" s="449">
        <v>6792.4392785717682</v>
      </c>
      <c r="AV27" s="449">
        <v>4090.7736063416542</v>
      </c>
      <c r="AW27" s="449">
        <v>3287.8593475150337</v>
      </c>
      <c r="AX27" s="450">
        <v>4493.7697102960519</v>
      </c>
    </row>
    <row r="28" spans="1:50" ht="13">
      <c r="A28" s="446" t="s">
        <v>763</v>
      </c>
      <c r="B28" s="449">
        <v>0</v>
      </c>
      <c r="C28" s="449">
        <v>0</v>
      </c>
      <c r="D28" s="449">
        <v>0</v>
      </c>
      <c r="E28" s="449">
        <v>2</v>
      </c>
      <c r="F28" s="449">
        <v>12.888</v>
      </c>
      <c r="G28" s="449">
        <v>42.816000000000003</v>
      </c>
      <c r="H28" s="449">
        <v>57.829000000000001</v>
      </c>
      <c r="I28" s="449">
        <v>74.248000000000005</v>
      </c>
      <c r="J28" s="449">
        <v>77.204999999999998</v>
      </c>
      <c r="K28" s="449">
        <v>88.340999999999994</v>
      </c>
      <c r="L28" s="449">
        <v>95.384</v>
      </c>
      <c r="M28" s="449">
        <v>96.427000000000007</v>
      </c>
      <c r="N28" s="449">
        <v>63</v>
      </c>
      <c r="O28" s="449">
        <v>66</v>
      </c>
      <c r="P28" s="449">
        <v>46</v>
      </c>
      <c r="Q28" s="449">
        <v>41</v>
      </c>
      <c r="R28" s="449">
        <v>46</v>
      </c>
      <c r="S28" s="449">
        <v>64</v>
      </c>
      <c r="T28" s="449">
        <v>121</v>
      </c>
      <c r="U28" s="449">
        <v>172</v>
      </c>
      <c r="V28" s="449">
        <v>172</v>
      </c>
      <c r="W28" s="449">
        <v>116</v>
      </c>
      <c r="X28" s="449">
        <v>136</v>
      </c>
      <c r="Y28" s="449">
        <v>168</v>
      </c>
      <c r="Z28" s="449">
        <v>214</v>
      </c>
      <c r="AA28" s="449">
        <v>234</v>
      </c>
      <c r="AB28" s="449">
        <v>287</v>
      </c>
      <c r="AC28" s="449">
        <v>294</v>
      </c>
      <c r="AD28" s="449">
        <v>329</v>
      </c>
      <c r="AE28" s="449">
        <v>319</v>
      </c>
      <c r="AF28" s="449">
        <v>404</v>
      </c>
      <c r="AG28" s="449">
        <v>824</v>
      </c>
      <c r="AH28" s="449">
        <v>955</v>
      </c>
      <c r="AI28" s="449">
        <v>1432</v>
      </c>
      <c r="AJ28" s="449">
        <v>1557</v>
      </c>
      <c r="AK28" s="449">
        <v>5230</v>
      </c>
      <c r="AL28" s="449">
        <v>7875</v>
      </c>
      <c r="AM28" s="449">
        <v>9423</v>
      </c>
      <c r="AN28" s="449">
        <v>8556</v>
      </c>
      <c r="AO28" s="449">
        <v>38476</v>
      </c>
      <c r="AP28" s="449">
        <v>184</v>
      </c>
      <c r="AQ28" s="449">
        <v>670</v>
      </c>
      <c r="AR28" s="449">
        <v>458</v>
      </c>
      <c r="AS28" s="449">
        <v>467</v>
      </c>
      <c r="AT28" s="449">
        <v>115</v>
      </c>
      <c r="AU28" s="449">
        <v>109</v>
      </c>
      <c r="AV28" s="449">
        <v>105</v>
      </c>
      <c r="AW28" s="449">
        <v>83</v>
      </c>
      <c r="AX28" s="450">
        <v>116</v>
      </c>
    </row>
    <row r="29" spans="1:50" ht="13">
      <c r="A29" s="446" t="s">
        <v>764</v>
      </c>
      <c r="B29" s="449">
        <v>153</v>
      </c>
      <c r="C29" s="449">
        <v>264</v>
      </c>
      <c r="D29" s="449">
        <v>712</v>
      </c>
      <c r="E29" s="449">
        <v>326</v>
      </c>
      <c r="F29" s="449">
        <v>616</v>
      </c>
      <c r="G29" s="449">
        <v>759</v>
      </c>
      <c r="H29" s="449">
        <v>523</v>
      </c>
      <c r="I29" s="449">
        <v>458</v>
      </c>
      <c r="J29" s="449">
        <v>308</v>
      </c>
      <c r="K29" s="449">
        <v>544</v>
      </c>
      <c r="L29" s="449">
        <v>758</v>
      </c>
      <c r="M29" s="449">
        <v>779</v>
      </c>
      <c r="N29" s="449">
        <v>565</v>
      </c>
      <c r="O29" s="449">
        <v>454</v>
      </c>
      <c r="P29" s="449">
        <v>742</v>
      </c>
      <c r="Q29" s="449">
        <v>725</v>
      </c>
      <c r="R29" s="449">
        <v>630</v>
      </c>
      <c r="S29" s="449">
        <v>593</v>
      </c>
      <c r="T29" s="449">
        <v>1140</v>
      </c>
      <c r="U29" s="449">
        <v>1224</v>
      </c>
      <c r="V29" s="449">
        <v>1342</v>
      </c>
      <c r="W29" s="449">
        <v>1921</v>
      </c>
      <c r="X29" s="449">
        <v>1678</v>
      </c>
      <c r="Y29" s="449">
        <v>2524</v>
      </c>
      <c r="Z29" s="449">
        <v>2245</v>
      </c>
      <c r="AA29" s="449">
        <v>2273</v>
      </c>
      <c r="AB29" s="449">
        <v>2458</v>
      </c>
      <c r="AC29" s="449">
        <v>5939</v>
      </c>
      <c r="AD29" s="449">
        <v>4228</v>
      </c>
      <c r="AE29" s="449">
        <v>10793</v>
      </c>
      <c r="AF29" s="449">
        <v>12986</v>
      </c>
      <c r="AG29" s="449">
        <v>22222.9</v>
      </c>
      <c r="AH29" s="449">
        <v>25361.3</v>
      </c>
      <c r="AI29" s="449">
        <v>71019.63</v>
      </c>
      <c r="AJ29" s="449">
        <v>110743.34400000001</v>
      </c>
      <c r="AK29" s="449">
        <v>77175.168000000005</v>
      </c>
      <c r="AL29" s="449">
        <v>113939.245</v>
      </c>
      <c r="AM29" s="449">
        <v>223199.3</v>
      </c>
      <c r="AN29" s="449">
        <v>203980</v>
      </c>
      <c r="AO29" s="449">
        <v>52664</v>
      </c>
      <c r="AP29" s="449">
        <v>2848</v>
      </c>
      <c r="AQ29" s="449">
        <v>1225</v>
      </c>
      <c r="AR29" s="449">
        <v>1061</v>
      </c>
      <c r="AS29" s="449">
        <v>1215</v>
      </c>
      <c r="AT29" s="449">
        <v>1242</v>
      </c>
      <c r="AU29" s="449">
        <v>1219</v>
      </c>
      <c r="AV29" s="449">
        <v>1258</v>
      </c>
      <c r="AW29" s="449">
        <v>702</v>
      </c>
      <c r="AX29" s="450">
        <v>955</v>
      </c>
    </row>
    <row r="30" spans="1:50" ht="13">
      <c r="A30" s="451" t="s">
        <v>755</v>
      </c>
      <c r="B30" s="449">
        <v>43.225999999999999</v>
      </c>
      <c r="C30" s="449">
        <v>28.390999999999998</v>
      </c>
      <c r="D30" s="449">
        <v>73.951999999999998</v>
      </c>
      <c r="E30" s="449">
        <v>62.465000000000003</v>
      </c>
      <c r="F30" s="449">
        <v>69.568000000000012</v>
      </c>
      <c r="G30" s="449">
        <v>72.37700000000001</v>
      </c>
      <c r="H30" s="449">
        <v>67.480999999999995</v>
      </c>
      <c r="I30" s="449">
        <v>70.092000000000013</v>
      </c>
      <c r="J30" s="449">
        <v>85.083000000000013</v>
      </c>
      <c r="K30" s="449">
        <v>96.370999999999995</v>
      </c>
      <c r="L30" s="449">
        <v>128.286</v>
      </c>
      <c r="M30" s="449">
        <v>203.964</v>
      </c>
      <c r="N30" s="449">
        <v>117.62618683813668</v>
      </c>
      <c r="O30" s="449">
        <v>122.83168135087904</v>
      </c>
      <c r="P30" s="449">
        <v>94.964453093135745</v>
      </c>
      <c r="Q30" s="449">
        <v>109.81884503775477</v>
      </c>
      <c r="R30" s="449">
        <v>133.6942946338599</v>
      </c>
      <c r="S30" s="449">
        <v>164.23873710453313</v>
      </c>
      <c r="T30" s="449">
        <v>176.5228124139291</v>
      </c>
      <c r="U30" s="449">
        <v>251.87803160336352</v>
      </c>
      <c r="V30" s="449">
        <v>279.95191471426165</v>
      </c>
      <c r="W30" s="449">
        <v>310.98834000973869</v>
      </c>
      <c r="X30" s="449">
        <v>447.8030546450276</v>
      </c>
      <c r="Y30" s="449">
        <v>529.52121519973696</v>
      </c>
      <c r="Z30" s="449">
        <v>719.74121734264918</v>
      </c>
      <c r="AA30" s="449">
        <v>937.0018959778937</v>
      </c>
      <c r="AB30" s="449">
        <v>1124.4889126771059</v>
      </c>
      <c r="AC30" s="449">
        <v>3002.4451521611099</v>
      </c>
      <c r="AD30" s="449">
        <v>2525.5002954996498</v>
      </c>
      <c r="AE30" s="449">
        <v>5195.3646797788779</v>
      </c>
      <c r="AF30" s="449">
        <v>4264</v>
      </c>
      <c r="AG30" s="449">
        <v>5696.1</v>
      </c>
      <c r="AH30" s="449">
        <v>6615.7</v>
      </c>
      <c r="AI30" s="449">
        <v>8652.9699999999993</v>
      </c>
      <c r="AJ30" s="449">
        <v>8163.4560000000001</v>
      </c>
      <c r="AK30" s="449">
        <v>13552.932000000001</v>
      </c>
      <c r="AL30" s="449">
        <v>16424.794999999998</v>
      </c>
      <c r="AM30" s="449">
        <v>26151.48</v>
      </c>
      <c r="AN30" s="449">
        <v>34262.9</v>
      </c>
      <c r="AO30" s="449">
        <v>6431</v>
      </c>
      <c r="AP30" s="449">
        <v>3353</v>
      </c>
      <c r="AQ30" s="449">
        <v>5691</v>
      </c>
      <c r="AR30" s="449">
        <v>2934</v>
      </c>
      <c r="AS30" s="449">
        <v>1479</v>
      </c>
      <c r="AT30" s="449">
        <v>2306</v>
      </c>
      <c r="AU30" s="449">
        <v>4653</v>
      </c>
      <c r="AV30" s="449">
        <v>13145</v>
      </c>
      <c r="AW30" s="449">
        <v>16714</v>
      </c>
      <c r="AX30" s="450">
        <v>11315</v>
      </c>
    </row>
    <row r="31" spans="1:50" ht="13">
      <c r="A31" s="457" t="s">
        <v>770</v>
      </c>
      <c r="B31" s="449">
        <v>7.35</v>
      </c>
      <c r="C31" s="449">
        <v>10.039999999999999</v>
      </c>
      <c r="D31" s="449">
        <v>38.831000000000003</v>
      </c>
      <c r="E31" s="449">
        <v>34.152000000000001</v>
      </c>
      <c r="F31" s="449">
        <v>51.804000000000002</v>
      </c>
      <c r="G31" s="449">
        <v>57.351000000000006</v>
      </c>
      <c r="H31" s="449">
        <v>52.521000000000001</v>
      </c>
      <c r="I31" s="449">
        <v>52.031000000000006</v>
      </c>
      <c r="J31" s="449">
        <v>57.545000000000002</v>
      </c>
      <c r="K31" s="449">
        <v>64.210999999999999</v>
      </c>
      <c r="L31" s="449">
        <v>84.896999999999991</v>
      </c>
      <c r="M31" s="449">
        <v>165.11500000000001</v>
      </c>
      <c r="N31" s="449">
        <v>72.19</v>
      </c>
      <c r="O31" s="449">
        <v>65.8</v>
      </c>
      <c r="P31" s="449">
        <v>67</v>
      </c>
      <c r="Q31" s="449">
        <v>89.6</v>
      </c>
      <c r="R31" s="449">
        <v>98.58</v>
      </c>
      <c r="S31" s="449">
        <v>137.94999999999999</v>
      </c>
      <c r="T31" s="449">
        <v>152.74</v>
      </c>
      <c r="U31" s="449">
        <v>207.48</v>
      </c>
      <c r="V31" s="449">
        <v>230.96</v>
      </c>
      <c r="W31" s="449">
        <v>253.46</v>
      </c>
      <c r="X31" s="449">
        <v>388.93</v>
      </c>
      <c r="Y31" s="449">
        <v>462.47</v>
      </c>
      <c r="Z31" s="449">
        <v>654</v>
      </c>
      <c r="AA31" s="449">
        <v>811.87</v>
      </c>
      <c r="AB31" s="449">
        <v>983.16</v>
      </c>
      <c r="AC31" s="449">
        <v>2845.35</v>
      </c>
      <c r="AD31" s="449">
        <v>2324.44</v>
      </c>
      <c r="AE31" s="449">
        <v>4958.2</v>
      </c>
      <c r="AF31" s="449">
        <v>3721.2420000000002</v>
      </c>
      <c r="AG31" s="449">
        <v>5185.9049999999997</v>
      </c>
      <c r="AH31" s="449">
        <v>6039.6090000000004</v>
      </c>
      <c r="AI31" s="449">
        <v>8133.3040000000001</v>
      </c>
      <c r="AJ31" s="449">
        <v>7017.0749999999998</v>
      </c>
      <c r="AK31" s="449">
        <v>12433.706</v>
      </c>
      <c r="AL31" s="449">
        <v>13299.385</v>
      </c>
      <c r="AM31" s="449">
        <v>24486.9</v>
      </c>
      <c r="AN31" s="449">
        <v>32476.503000000001</v>
      </c>
      <c r="AO31" s="449">
        <v>4136</v>
      </c>
      <c r="AP31" s="449">
        <v>1002</v>
      </c>
      <c r="AQ31" s="449">
        <v>3410</v>
      </c>
      <c r="AR31" s="449">
        <v>2458</v>
      </c>
      <c r="AS31" s="449">
        <v>979</v>
      </c>
      <c r="AT31" s="449">
        <v>1749</v>
      </c>
      <c r="AU31" s="449">
        <v>3845</v>
      </c>
      <c r="AV31" s="449">
        <v>12172</v>
      </c>
      <c r="AW31" s="449">
        <v>14800</v>
      </c>
      <c r="AX31" s="450">
        <v>9080</v>
      </c>
    </row>
    <row r="32" spans="1:50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8"/>
    </row>
    <row r="33" spans="1:50" ht="13">
      <c r="A33" s="446" t="s">
        <v>765</v>
      </c>
      <c r="B33" s="449">
        <v>0</v>
      </c>
      <c r="C33" s="449">
        <v>0</v>
      </c>
      <c r="D33" s="449">
        <v>157.59399999999999</v>
      </c>
      <c r="E33" s="449">
        <v>348.45400000000001</v>
      </c>
      <c r="F33" s="449">
        <v>96.652000000000001</v>
      </c>
      <c r="G33" s="449">
        <v>128.10300000000001</v>
      </c>
      <c r="H33" s="449">
        <v>113.274</v>
      </c>
      <c r="I33" s="449">
        <v>128.126</v>
      </c>
      <c r="J33" s="449">
        <v>140.46700000000001</v>
      </c>
      <c r="K33" s="449">
        <v>138.352</v>
      </c>
      <c r="L33" s="449">
        <v>134.256</v>
      </c>
      <c r="M33" s="449">
        <v>140.244</v>
      </c>
      <c r="N33" s="449">
        <v>181</v>
      </c>
      <c r="O33" s="449">
        <v>124</v>
      </c>
      <c r="P33" s="449">
        <v>190</v>
      </c>
      <c r="Q33" s="449">
        <v>201</v>
      </c>
      <c r="R33" s="449">
        <v>195</v>
      </c>
      <c r="S33" s="449">
        <v>315</v>
      </c>
      <c r="T33" s="449">
        <v>358</v>
      </c>
      <c r="U33" s="449">
        <v>462</v>
      </c>
      <c r="V33" s="449">
        <v>505</v>
      </c>
      <c r="W33" s="449">
        <v>805</v>
      </c>
      <c r="X33" s="449">
        <v>1029</v>
      </c>
      <c r="Y33" s="449">
        <v>1226</v>
      </c>
      <c r="Z33" s="449">
        <v>1512</v>
      </c>
      <c r="AA33" s="449">
        <v>2355</v>
      </c>
      <c r="AB33" s="449">
        <v>1547.99</v>
      </c>
      <c r="AC33" s="449">
        <v>1819</v>
      </c>
      <c r="AD33" s="449">
        <v>4330</v>
      </c>
      <c r="AE33" s="449">
        <v>4443</v>
      </c>
      <c r="AF33" s="449">
        <v>6350</v>
      </c>
      <c r="AG33" s="449">
        <v>5334</v>
      </c>
      <c r="AH33" s="449">
        <v>2747</v>
      </c>
      <c r="AI33" s="449">
        <v>11046</v>
      </c>
      <c r="AJ33" s="449">
        <v>12154</v>
      </c>
      <c r="AK33" s="449">
        <v>21345</v>
      </c>
      <c r="AL33" s="449">
        <v>32602.852000000014</v>
      </c>
      <c r="AM33" s="449">
        <v>35639</v>
      </c>
      <c r="AN33" s="449">
        <v>45665.885999999999</v>
      </c>
      <c r="AO33" s="449">
        <v>79588</v>
      </c>
      <c r="AP33" s="449">
        <v>27042</v>
      </c>
      <c r="AQ33" s="449">
        <v>6005</v>
      </c>
      <c r="AR33" s="449">
        <v>6862</v>
      </c>
      <c r="AS33" s="449">
        <v>8605</v>
      </c>
      <c r="AT33" s="449">
        <v>10411</v>
      </c>
      <c r="AU33" s="449">
        <v>14974</v>
      </c>
      <c r="AV33" s="449">
        <v>15970</v>
      </c>
      <c r="AW33" s="449">
        <v>10403.460348100392</v>
      </c>
      <c r="AX33" s="450">
        <v>11467.336908420726</v>
      </c>
    </row>
    <row r="34" spans="1:5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50"/>
    </row>
    <row r="35" spans="1:50" ht="13">
      <c r="A35" s="446" t="s">
        <v>766</v>
      </c>
      <c r="B35" s="449">
        <v>0</v>
      </c>
      <c r="C35" s="449">
        <v>0</v>
      </c>
      <c r="D35" s="449">
        <v>21</v>
      </c>
      <c r="E35" s="449">
        <v>15</v>
      </c>
      <c r="F35" s="449">
        <v>15</v>
      </c>
      <c r="G35" s="449">
        <v>30</v>
      </c>
      <c r="H35" s="449">
        <v>22</v>
      </c>
      <c r="I35" s="449">
        <v>29</v>
      </c>
      <c r="J35" s="449">
        <v>23</v>
      </c>
      <c r="K35" s="449">
        <v>20</v>
      </c>
      <c r="L35" s="449">
        <v>18</v>
      </c>
      <c r="M35" s="449">
        <v>33</v>
      </c>
      <c r="N35" s="449">
        <v>49</v>
      </c>
      <c r="O35" s="449">
        <v>1</v>
      </c>
      <c r="P35" s="449">
        <v>1</v>
      </c>
      <c r="Q35" s="449">
        <v>1</v>
      </c>
      <c r="R35" s="449">
        <v>1</v>
      </c>
      <c r="S35" s="449">
        <v>22</v>
      </c>
      <c r="T35" s="449">
        <v>30</v>
      </c>
      <c r="U35" s="449">
        <v>44</v>
      </c>
      <c r="V35" s="449">
        <v>74</v>
      </c>
      <c r="W35" s="449">
        <v>85</v>
      </c>
      <c r="X35" s="449">
        <v>59</v>
      </c>
      <c r="Y35" s="449">
        <v>117</v>
      </c>
      <c r="Z35" s="449">
        <v>201</v>
      </c>
      <c r="AA35" s="449">
        <v>133</v>
      </c>
      <c r="AB35" s="449">
        <v>103</v>
      </c>
      <c r="AC35" s="449">
        <v>48</v>
      </c>
      <c r="AD35" s="449">
        <v>30</v>
      </c>
      <c r="AE35" s="449">
        <v>224</v>
      </c>
      <c r="AF35" s="449">
        <v>124</v>
      </c>
      <c r="AG35" s="449">
        <v>69</v>
      </c>
      <c r="AH35" s="449">
        <v>183</v>
      </c>
      <c r="AI35" s="449">
        <v>297</v>
      </c>
      <c r="AJ35" s="449">
        <v>888</v>
      </c>
      <c r="AK35" s="449">
        <v>199</v>
      </c>
      <c r="AL35" s="449">
        <v>468</v>
      </c>
      <c r="AM35" s="449">
        <v>2360</v>
      </c>
      <c r="AN35" s="449">
        <v>3293</v>
      </c>
      <c r="AO35" s="449">
        <v>3673</v>
      </c>
      <c r="AP35" s="449">
        <v>6351</v>
      </c>
      <c r="AQ35" s="449">
        <v>1910</v>
      </c>
      <c r="AR35" s="449">
        <v>3019</v>
      </c>
      <c r="AS35" s="449">
        <v>1230</v>
      </c>
      <c r="AT35" s="449">
        <v>1821</v>
      </c>
      <c r="AU35" s="449">
        <v>1644</v>
      </c>
      <c r="AV35" s="449">
        <v>2885</v>
      </c>
      <c r="AW35" s="449">
        <v>3254.4603481003919</v>
      </c>
      <c r="AX35" s="450">
        <v>3876.3369084207266</v>
      </c>
    </row>
    <row r="36" spans="1:50" ht="13">
      <c r="A36" s="446" t="s">
        <v>757</v>
      </c>
      <c r="B36" s="449">
        <v>0</v>
      </c>
      <c r="C36" s="449">
        <v>0</v>
      </c>
      <c r="D36" s="449">
        <v>136.59399999999999</v>
      </c>
      <c r="E36" s="449">
        <v>333.45400000000001</v>
      </c>
      <c r="F36" s="449">
        <v>81.652000000000001</v>
      </c>
      <c r="G36" s="449">
        <v>98.103000000000009</v>
      </c>
      <c r="H36" s="449">
        <v>91.274000000000001</v>
      </c>
      <c r="I36" s="449">
        <v>99.126000000000005</v>
      </c>
      <c r="J36" s="449">
        <v>117.46700000000001</v>
      </c>
      <c r="K36" s="449">
        <v>118.352</v>
      </c>
      <c r="L36" s="449">
        <v>116.256</v>
      </c>
      <c r="M36" s="449">
        <v>107.244</v>
      </c>
      <c r="N36" s="449">
        <v>132</v>
      </c>
      <c r="O36" s="449">
        <v>123</v>
      </c>
      <c r="P36" s="449">
        <v>189</v>
      </c>
      <c r="Q36" s="449">
        <v>200</v>
      </c>
      <c r="R36" s="449">
        <v>194</v>
      </c>
      <c r="S36" s="449">
        <v>293</v>
      </c>
      <c r="T36" s="449">
        <v>328</v>
      </c>
      <c r="U36" s="449">
        <v>418</v>
      </c>
      <c r="V36" s="449">
        <v>431</v>
      </c>
      <c r="W36" s="449">
        <v>720</v>
      </c>
      <c r="X36" s="449">
        <v>970</v>
      </c>
      <c r="Y36" s="449">
        <v>1109</v>
      </c>
      <c r="Z36" s="449">
        <v>1311</v>
      </c>
      <c r="AA36" s="449">
        <v>2222</v>
      </c>
      <c r="AB36" s="449">
        <v>1444.99</v>
      </c>
      <c r="AC36" s="449">
        <v>1771</v>
      </c>
      <c r="AD36" s="449">
        <v>4300</v>
      </c>
      <c r="AE36" s="449">
        <v>4219</v>
      </c>
      <c r="AF36" s="449">
        <v>6226</v>
      </c>
      <c r="AG36" s="449">
        <v>5265</v>
      </c>
      <c r="AH36" s="449">
        <v>2564</v>
      </c>
      <c r="AI36" s="449">
        <v>10749</v>
      </c>
      <c r="AJ36" s="449">
        <v>11266</v>
      </c>
      <c r="AK36" s="449">
        <v>21146</v>
      </c>
      <c r="AL36" s="449">
        <v>32134.852000000014</v>
      </c>
      <c r="AM36" s="449">
        <v>33279</v>
      </c>
      <c r="AN36" s="449">
        <v>42372.885999999999</v>
      </c>
      <c r="AO36" s="449">
        <v>75915</v>
      </c>
      <c r="AP36" s="449">
        <v>20691</v>
      </c>
      <c r="AQ36" s="449">
        <v>4095</v>
      </c>
      <c r="AR36" s="449">
        <v>3843</v>
      </c>
      <c r="AS36" s="449">
        <v>7375</v>
      </c>
      <c r="AT36" s="449">
        <v>8590</v>
      </c>
      <c r="AU36" s="449">
        <v>13330</v>
      </c>
      <c r="AV36" s="449">
        <v>13085</v>
      </c>
      <c r="AW36" s="449">
        <v>7149</v>
      </c>
      <c r="AX36" s="450">
        <v>7591</v>
      </c>
    </row>
    <row r="37" spans="1:50" ht="13">
      <c r="A37" s="457" t="s">
        <v>770</v>
      </c>
      <c r="B37" s="449">
        <v>0</v>
      </c>
      <c r="C37" s="449">
        <v>0</v>
      </c>
      <c r="D37" s="449">
        <v>118.08499999999999</v>
      </c>
      <c r="E37" s="449">
        <v>74.885000000000005</v>
      </c>
      <c r="F37" s="449">
        <v>60.759</v>
      </c>
      <c r="G37" s="449">
        <v>68.349999999999994</v>
      </c>
      <c r="H37" s="449">
        <v>69.496000000000009</v>
      </c>
      <c r="I37" s="449">
        <v>73.656999999999996</v>
      </c>
      <c r="J37" s="449">
        <v>85.704000000000008</v>
      </c>
      <c r="K37" s="449">
        <v>90.587000000000003</v>
      </c>
      <c r="L37" s="449">
        <v>89.506</v>
      </c>
      <c r="M37" s="449">
        <v>83.677999999999997</v>
      </c>
      <c r="N37" s="449">
        <v>101.4</v>
      </c>
      <c r="O37" s="449">
        <v>107</v>
      </c>
      <c r="P37" s="449">
        <v>130.4</v>
      </c>
      <c r="Q37" s="449">
        <v>145.4</v>
      </c>
      <c r="R37" s="449">
        <v>160.4</v>
      </c>
      <c r="S37" s="449">
        <v>245</v>
      </c>
      <c r="T37" s="449">
        <v>226.6</v>
      </c>
      <c r="U37" s="449">
        <v>285.2</v>
      </c>
      <c r="V37" s="449">
        <v>326.89999999999998</v>
      </c>
      <c r="W37" s="449">
        <v>620.4</v>
      </c>
      <c r="X37" s="449">
        <v>567.1</v>
      </c>
      <c r="Y37" s="449">
        <v>651.4</v>
      </c>
      <c r="Z37" s="449">
        <v>637.6</v>
      </c>
      <c r="AA37" s="449">
        <v>1153.8</v>
      </c>
      <c r="AB37" s="449">
        <v>719.5</v>
      </c>
      <c r="AC37" s="449">
        <v>734.2</v>
      </c>
      <c r="AD37" s="449">
        <v>3234.4</v>
      </c>
      <c r="AE37" s="449">
        <v>3343</v>
      </c>
      <c r="AF37" s="449">
        <v>5105.3599999999997</v>
      </c>
      <c r="AG37" s="449">
        <v>3153</v>
      </c>
      <c r="AH37" s="449">
        <v>1587</v>
      </c>
      <c r="AI37" s="449">
        <v>8216</v>
      </c>
      <c r="AJ37" s="449">
        <v>8710.9159999999993</v>
      </c>
      <c r="AK37" s="449">
        <v>8615.6630000000005</v>
      </c>
      <c r="AL37" s="449">
        <v>12216</v>
      </c>
      <c r="AM37" s="449">
        <v>17465.215</v>
      </c>
      <c r="AN37" s="449">
        <v>12167.886</v>
      </c>
      <c r="AO37" s="447">
        <v>56414</v>
      </c>
      <c r="AP37" s="447">
        <v>20195</v>
      </c>
      <c r="AQ37" s="447">
        <v>381</v>
      </c>
      <c r="AR37" s="447">
        <v>107</v>
      </c>
      <c r="AS37" s="447">
        <v>424</v>
      </c>
      <c r="AT37" s="447">
        <v>1275</v>
      </c>
      <c r="AU37" s="447">
        <v>2228</v>
      </c>
      <c r="AV37" s="447">
        <v>765</v>
      </c>
      <c r="AW37" s="447">
        <v>578</v>
      </c>
      <c r="AX37" s="448">
        <v>532</v>
      </c>
    </row>
    <row r="38" spans="1:5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8"/>
    </row>
    <row r="39" spans="1:50" ht="13">
      <c r="A39" s="446" t="s">
        <v>767</v>
      </c>
      <c r="B39" s="449">
        <v>199.0933216861535</v>
      </c>
      <c r="C39" s="449">
        <v>296.79421048179074</v>
      </c>
      <c r="D39" s="449">
        <v>985.8693919285929</v>
      </c>
      <c r="E39" s="449">
        <v>780.14338334832769</v>
      </c>
      <c r="F39" s="449">
        <v>847.75033390571809</v>
      </c>
      <c r="G39" s="449">
        <v>1058.3837184504039</v>
      </c>
      <c r="H39" s="449">
        <v>820.13188780793053</v>
      </c>
      <c r="I39" s="449">
        <v>795.02133279173756</v>
      </c>
      <c r="J39" s="449">
        <v>682.25102800986667</v>
      </c>
      <c r="K39" s="449">
        <v>950.51013544526575</v>
      </c>
      <c r="L39" s="449">
        <v>1203.907156292719</v>
      </c>
      <c r="M39" s="449">
        <v>1331.6036369816093</v>
      </c>
      <c r="N39" s="449">
        <v>1044.6261868381366</v>
      </c>
      <c r="O39" s="449">
        <v>883.83168135087908</v>
      </c>
      <c r="P39" s="449">
        <v>1168.9864046831358</v>
      </c>
      <c r="Q39" s="449">
        <v>1173.9774105237416</v>
      </c>
      <c r="R39" s="449">
        <v>1108.947294243766</v>
      </c>
      <c r="S39" s="449">
        <v>1226.6765588013184</v>
      </c>
      <c r="T39" s="449">
        <v>1948.0166127275027</v>
      </c>
      <c r="U39" s="449">
        <v>2296.1377753409015</v>
      </c>
      <c r="V39" s="449">
        <v>2524.2467787111636</v>
      </c>
      <c r="W39" s="449">
        <v>3417.7545916860004</v>
      </c>
      <c r="X39" s="449">
        <v>3614.9395590398867</v>
      </c>
      <c r="Y39" s="449">
        <v>4860.4844049538324</v>
      </c>
      <c r="Z39" s="449">
        <v>5116.0491276625116</v>
      </c>
      <c r="AA39" s="449">
        <v>6302.0096823283156</v>
      </c>
      <c r="AB39" s="449">
        <v>6085.8491557084226</v>
      </c>
      <c r="AC39" s="449">
        <v>11899.28921006219</v>
      </c>
      <c r="AD39" s="449">
        <v>12303.946502051807</v>
      </c>
      <c r="AE39" s="449">
        <v>21787.648461635468</v>
      </c>
      <c r="AF39" s="449">
        <v>24971.558431186848</v>
      </c>
      <c r="AG39" s="449">
        <v>35061.786215910688</v>
      </c>
      <c r="AH39" s="449">
        <v>36910.539091636572</v>
      </c>
      <c r="AI39" s="449">
        <v>93629.170925977349</v>
      </c>
      <c r="AJ39" s="449">
        <v>134117.23672720254</v>
      </c>
      <c r="AK39" s="449">
        <v>117927.958981107</v>
      </c>
      <c r="AL39" s="449">
        <v>171645.93540594808</v>
      </c>
      <c r="AM39" s="449">
        <v>295547.18720398378</v>
      </c>
      <c r="AN39" s="449">
        <v>293703.99982136581</v>
      </c>
      <c r="AO39" s="449">
        <v>178514.58912758122</v>
      </c>
      <c r="AP39" s="449">
        <v>35284.506542002069</v>
      </c>
      <c r="AQ39" s="449">
        <v>14822.018219101352</v>
      </c>
      <c r="AR39" s="449">
        <v>13222.862434812121</v>
      </c>
      <c r="AS39" s="449">
        <v>14317.419641375422</v>
      </c>
      <c r="AT39" s="449">
        <v>15906.751302763092</v>
      </c>
      <c r="AU39" s="449">
        <v>29275.439278571768</v>
      </c>
      <c r="AV39" s="449">
        <v>35801.773606341652</v>
      </c>
      <c r="AW39" s="449">
        <v>31729.319695615428</v>
      </c>
      <c r="AX39" s="450">
        <v>28999.106618716778</v>
      </c>
    </row>
    <row r="40" spans="1:5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8"/>
    </row>
    <row r="41" spans="1:50" ht="13.5" thickBot="1">
      <c r="A41" s="452" t="s">
        <v>768</v>
      </c>
      <c r="B41" s="453">
        <v>305.29899999999998</v>
      </c>
      <c r="C41" s="453">
        <v>269.78699999999992</v>
      </c>
      <c r="D41" s="453">
        <v>-110.42599999999993</v>
      </c>
      <c r="E41" s="453">
        <v>803.88799999999992</v>
      </c>
      <c r="F41" s="453">
        <v>-93.863000000000056</v>
      </c>
      <c r="G41" s="453">
        <v>-160.46600000000012</v>
      </c>
      <c r="H41" s="453">
        <v>64.785000000000082</v>
      </c>
      <c r="I41" s="453">
        <v>39.878000000000043</v>
      </c>
      <c r="J41" s="453">
        <v>176.55099999999993</v>
      </c>
      <c r="K41" s="453">
        <v>109.10299999999995</v>
      </c>
      <c r="L41" s="453">
        <v>70.616999999999962</v>
      </c>
      <c r="M41" s="453">
        <v>-65.307999999999993</v>
      </c>
      <c r="N41" s="453">
        <v>219.95467095341701</v>
      </c>
      <c r="O41" s="453">
        <v>266.79203377197609</v>
      </c>
      <c r="P41" s="453">
        <v>446.71132732839351</v>
      </c>
      <c r="Q41" s="453">
        <v>623.85654034386948</v>
      </c>
      <c r="R41" s="453">
        <v>710.31413384649704</v>
      </c>
      <c r="S41" s="453">
        <v>1046.9893876133281</v>
      </c>
      <c r="T41" s="453">
        <v>935.32151034822732</v>
      </c>
      <c r="U41" s="453">
        <v>994.71479008408778</v>
      </c>
      <c r="V41" s="453">
        <v>1314.777867856541</v>
      </c>
      <c r="W41" s="453">
        <v>962.45257170682044</v>
      </c>
      <c r="X41" s="453">
        <v>1060.2684881675846</v>
      </c>
      <c r="Y41" s="453">
        <v>1028.5738399912316</v>
      </c>
      <c r="Z41" s="453">
        <v>479.94869370596552</v>
      </c>
      <c r="AA41" s="453">
        <v>21.306487906387702</v>
      </c>
      <c r="AB41" s="453">
        <v>1843.6556338552973</v>
      </c>
      <c r="AC41" s="453">
        <v>-1101.5627336508442</v>
      </c>
      <c r="AD41" s="453">
        <v>1760.7740285514228</v>
      </c>
      <c r="AE41" s="453">
        <v>1149.1453185918726</v>
      </c>
      <c r="AF41" s="453">
        <v>3473</v>
      </c>
      <c r="AG41" s="453">
        <v>1067</v>
      </c>
      <c r="AH41" s="453">
        <v>8712</v>
      </c>
      <c r="AI41" s="453">
        <v>-17554.599999999999</v>
      </c>
      <c r="AJ41" s="453">
        <v>-45657.8</v>
      </c>
      <c r="AK41" s="453">
        <v>-6259.1000000000058</v>
      </c>
      <c r="AL41" s="453">
        <v>-10431.826000000001</v>
      </c>
      <c r="AM41" s="453">
        <v>-119094.33100000001</v>
      </c>
      <c r="AN41" s="453">
        <v>-59528.524000000063</v>
      </c>
      <c r="AO41" s="453">
        <v>51981</v>
      </c>
      <c r="AP41" s="453">
        <v>184996</v>
      </c>
      <c r="AQ41" s="453">
        <v>97188</v>
      </c>
      <c r="AR41" s="453">
        <v>29850</v>
      </c>
      <c r="AS41" s="453">
        <v>23162</v>
      </c>
      <c r="AT41" s="453">
        <v>9805</v>
      </c>
      <c r="AU41" s="453">
        <v>9789</v>
      </c>
      <c r="AV41" s="453">
        <v>-1697</v>
      </c>
      <c r="AW41" s="453">
        <v>3108.5396518996058</v>
      </c>
      <c r="AX41" s="454">
        <v>9990.6630915792739</v>
      </c>
    </row>
    <row r="43" spans="1:50" ht="52">
      <c r="A43" s="461" t="s">
        <v>785</v>
      </c>
    </row>
    <row r="44" spans="1:50" ht="39">
      <c r="A44" s="461" t="s">
        <v>786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86" orientation="landscape" horizontalDpi="4294967292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5000-D5C6-457E-8908-E3955377ADF2}">
  <sheetPr>
    <pageSetUpPr fitToPage="1"/>
  </sheetPr>
  <dimension ref="A1:AV41"/>
  <sheetViews>
    <sheetView showGridLines="0" workbookViewId="0">
      <selection activeCell="A2" sqref="A2"/>
    </sheetView>
  </sheetViews>
  <sheetFormatPr defaultRowHeight="12.5"/>
  <cols>
    <col min="1" max="1" width="79.54296875" style="396" customWidth="1"/>
    <col min="2" max="11" width="4.453125" style="396" customWidth="1"/>
    <col min="12" max="12" width="5" style="396" customWidth="1"/>
    <col min="13" max="17" width="6.54296875" style="396" customWidth="1"/>
    <col min="18" max="20" width="10.7265625" style="396" customWidth="1"/>
    <col min="21" max="256" width="8.7265625" style="396"/>
    <col min="257" max="257" width="79.54296875" style="396" customWidth="1"/>
    <col min="258" max="267" width="4.453125" style="396" customWidth="1"/>
    <col min="268" max="268" width="5" style="396" customWidth="1"/>
    <col min="269" max="273" width="6.54296875" style="396" customWidth="1"/>
    <col min="274" max="276" width="10.7265625" style="396" customWidth="1"/>
    <col min="277" max="512" width="8.7265625" style="396"/>
    <col min="513" max="513" width="79.54296875" style="396" customWidth="1"/>
    <col min="514" max="523" width="4.453125" style="396" customWidth="1"/>
    <col min="524" max="524" width="5" style="396" customWidth="1"/>
    <col min="525" max="529" width="6.54296875" style="396" customWidth="1"/>
    <col min="530" max="532" width="10.7265625" style="396" customWidth="1"/>
    <col min="533" max="768" width="8.7265625" style="396"/>
    <col min="769" max="769" width="79.54296875" style="396" customWidth="1"/>
    <col min="770" max="779" width="4.453125" style="396" customWidth="1"/>
    <col min="780" max="780" width="5" style="396" customWidth="1"/>
    <col min="781" max="785" width="6.54296875" style="396" customWidth="1"/>
    <col min="786" max="788" width="10.7265625" style="396" customWidth="1"/>
    <col min="789" max="1024" width="8.7265625" style="396"/>
    <col min="1025" max="1025" width="79.54296875" style="396" customWidth="1"/>
    <col min="1026" max="1035" width="4.453125" style="396" customWidth="1"/>
    <col min="1036" max="1036" width="5" style="396" customWidth="1"/>
    <col min="1037" max="1041" width="6.54296875" style="396" customWidth="1"/>
    <col min="1042" max="1044" width="10.7265625" style="396" customWidth="1"/>
    <col min="1045" max="1280" width="8.7265625" style="396"/>
    <col min="1281" max="1281" width="79.54296875" style="396" customWidth="1"/>
    <col min="1282" max="1291" width="4.453125" style="396" customWidth="1"/>
    <col min="1292" max="1292" width="5" style="396" customWidth="1"/>
    <col min="1293" max="1297" width="6.54296875" style="396" customWidth="1"/>
    <col min="1298" max="1300" width="10.7265625" style="396" customWidth="1"/>
    <col min="1301" max="1536" width="8.7265625" style="396"/>
    <col min="1537" max="1537" width="79.54296875" style="396" customWidth="1"/>
    <col min="1538" max="1547" width="4.453125" style="396" customWidth="1"/>
    <col min="1548" max="1548" width="5" style="396" customWidth="1"/>
    <col min="1549" max="1553" width="6.54296875" style="396" customWidth="1"/>
    <col min="1554" max="1556" width="10.7265625" style="396" customWidth="1"/>
    <col min="1557" max="1792" width="8.7265625" style="396"/>
    <col min="1793" max="1793" width="79.54296875" style="396" customWidth="1"/>
    <col min="1794" max="1803" width="4.453125" style="396" customWidth="1"/>
    <col min="1804" max="1804" width="5" style="396" customWidth="1"/>
    <col min="1805" max="1809" width="6.54296875" style="396" customWidth="1"/>
    <col min="1810" max="1812" width="10.7265625" style="396" customWidth="1"/>
    <col min="1813" max="2048" width="8.7265625" style="396"/>
    <col min="2049" max="2049" width="79.54296875" style="396" customWidth="1"/>
    <col min="2050" max="2059" width="4.453125" style="396" customWidth="1"/>
    <col min="2060" max="2060" width="5" style="396" customWidth="1"/>
    <col min="2061" max="2065" width="6.54296875" style="396" customWidth="1"/>
    <col min="2066" max="2068" width="10.7265625" style="396" customWidth="1"/>
    <col min="2069" max="2304" width="8.7265625" style="396"/>
    <col min="2305" max="2305" width="79.54296875" style="396" customWidth="1"/>
    <col min="2306" max="2315" width="4.453125" style="396" customWidth="1"/>
    <col min="2316" max="2316" width="5" style="396" customWidth="1"/>
    <col min="2317" max="2321" width="6.54296875" style="396" customWidth="1"/>
    <col min="2322" max="2324" width="10.7265625" style="396" customWidth="1"/>
    <col min="2325" max="2560" width="8.7265625" style="396"/>
    <col min="2561" max="2561" width="79.54296875" style="396" customWidth="1"/>
    <col min="2562" max="2571" width="4.453125" style="396" customWidth="1"/>
    <col min="2572" max="2572" width="5" style="396" customWidth="1"/>
    <col min="2573" max="2577" width="6.54296875" style="396" customWidth="1"/>
    <col min="2578" max="2580" width="10.7265625" style="396" customWidth="1"/>
    <col min="2581" max="2816" width="8.7265625" style="396"/>
    <col min="2817" max="2817" width="79.54296875" style="396" customWidth="1"/>
    <col min="2818" max="2827" width="4.453125" style="396" customWidth="1"/>
    <col min="2828" max="2828" width="5" style="396" customWidth="1"/>
    <col min="2829" max="2833" width="6.54296875" style="396" customWidth="1"/>
    <col min="2834" max="2836" width="10.7265625" style="396" customWidth="1"/>
    <col min="2837" max="3072" width="8.7265625" style="396"/>
    <col min="3073" max="3073" width="79.54296875" style="396" customWidth="1"/>
    <col min="3074" max="3083" width="4.453125" style="396" customWidth="1"/>
    <col min="3084" max="3084" width="5" style="396" customWidth="1"/>
    <col min="3085" max="3089" width="6.54296875" style="396" customWidth="1"/>
    <col min="3090" max="3092" width="10.7265625" style="396" customWidth="1"/>
    <col min="3093" max="3328" width="8.7265625" style="396"/>
    <col min="3329" max="3329" width="79.54296875" style="396" customWidth="1"/>
    <col min="3330" max="3339" width="4.453125" style="396" customWidth="1"/>
    <col min="3340" max="3340" width="5" style="396" customWidth="1"/>
    <col min="3341" max="3345" width="6.54296875" style="396" customWidth="1"/>
    <col min="3346" max="3348" width="10.7265625" style="396" customWidth="1"/>
    <col min="3349" max="3584" width="8.7265625" style="396"/>
    <col min="3585" max="3585" width="79.54296875" style="396" customWidth="1"/>
    <col min="3586" max="3595" width="4.453125" style="396" customWidth="1"/>
    <col min="3596" max="3596" width="5" style="396" customWidth="1"/>
    <col min="3597" max="3601" width="6.54296875" style="396" customWidth="1"/>
    <col min="3602" max="3604" width="10.7265625" style="396" customWidth="1"/>
    <col min="3605" max="3840" width="8.7265625" style="396"/>
    <col min="3841" max="3841" width="79.54296875" style="396" customWidth="1"/>
    <col min="3842" max="3851" width="4.453125" style="396" customWidth="1"/>
    <col min="3852" max="3852" width="5" style="396" customWidth="1"/>
    <col min="3853" max="3857" width="6.54296875" style="396" customWidth="1"/>
    <col min="3858" max="3860" width="10.7265625" style="396" customWidth="1"/>
    <col min="3861" max="4096" width="8.7265625" style="396"/>
    <col min="4097" max="4097" width="79.54296875" style="396" customWidth="1"/>
    <col min="4098" max="4107" width="4.453125" style="396" customWidth="1"/>
    <col min="4108" max="4108" width="5" style="396" customWidth="1"/>
    <col min="4109" max="4113" width="6.54296875" style="396" customWidth="1"/>
    <col min="4114" max="4116" width="10.7265625" style="396" customWidth="1"/>
    <col min="4117" max="4352" width="8.7265625" style="396"/>
    <col min="4353" max="4353" width="79.54296875" style="396" customWidth="1"/>
    <col min="4354" max="4363" width="4.453125" style="396" customWidth="1"/>
    <col min="4364" max="4364" width="5" style="396" customWidth="1"/>
    <col min="4365" max="4369" width="6.54296875" style="396" customWidth="1"/>
    <col min="4370" max="4372" width="10.7265625" style="396" customWidth="1"/>
    <col min="4373" max="4608" width="8.7265625" style="396"/>
    <col min="4609" max="4609" width="79.54296875" style="396" customWidth="1"/>
    <col min="4610" max="4619" width="4.453125" style="396" customWidth="1"/>
    <col min="4620" max="4620" width="5" style="396" customWidth="1"/>
    <col min="4621" max="4625" width="6.54296875" style="396" customWidth="1"/>
    <col min="4626" max="4628" width="10.7265625" style="396" customWidth="1"/>
    <col min="4629" max="4864" width="8.7265625" style="396"/>
    <col min="4865" max="4865" width="79.54296875" style="396" customWidth="1"/>
    <col min="4866" max="4875" width="4.453125" style="396" customWidth="1"/>
    <col min="4876" max="4876" width="5" style="396" customWidth="1"/>
    <col min="4877" max="4881" width="6.54296875" style="396" customWidth="1"/>
    <col min="4882" max="4884" width="10.7265625" style="396" customWidth="1"/>
    <col min="4885" max="5120" width="8.7265625" style="396"/>
    <col min="5121" max="5121" width="79.54296875" style="396" customWidth="1"/>
    <col min="5122" max="5131" width="4.453125" style="396" customWidth="1"/>
    <col min="5132" max="5132" width="5" style="396" customWidth="1"/>
    <col min="5133" max="5137" width="6.54296875" style="396" customWidth="1"/>
    <col min="5138" max="5140" width="10.7265625" style="396" customWidth="1"/>
    <col min="5141" max="5376" width="8.7265625" style="396"/>
    <col min="5377" max="5377" width="79.54296875" style="396" customWidth="1"/>
    <col min="5378" max="5387" width="4.453125" style="396" customWidth="1"/>
    <col min="5388" max="5388" width="5" style="396" customWidth="1"/>
    <col min="5389" max="5393" width="6.54296875" style="396" customWidth="1"/>
    <col min="5394" max="5396" width="10.7265625" style="396" customWidth="1"/>
    <col min="5397" max="5632" width="8.7265625" style="396"/>
    <col min="5633" max="5633" width="79.54296875" style="396" customWidth="1"/>
    <col min="5634" max="5643" width="4.453125" style="396" customWidth="1"/>
    <col min="5644" max="5644" width="5" style="396" customWidth="1"/>
    <col min="5645" max="5649" width="6.54296875" style="396" customWidth="1"/>
    <col min="5650" max="5652" width="10.7265625" style="396" customWidth="1"/>
    <col min="5653" max="5888" width="8.7265625" style="396"/>
    <col min="5889" max="5889" width="79.54296875" style="396" customWidth="1"/>
    <col min="5890" max="5899" width="4.453125" style="396" customWidth="1"/>
    <col min="5900" max="5900" width="5" style="396" customWidth="1"/>
    <col min="5901" max="5905" width="6.54296875" style="396" customWidth="1"/>
    <col min="5906" max="5908" width="10.7265625" style="396" customWidth="1"/>
    <col min="5909" max="6144" width="8.7265625" style="396"/>
    <col min="6145" max="6145" width="79.54296875" style="396" customWidth="1"/>
    <col min="6146" max="6155" width="4.453125" style="396" customWidth="1"/>
    <col min="6156" max="6156" width="5" style="396" customWidth="1"/>
    <col min="6157" max="6161" width="6.54296875" style="396" customWidth="1"/>
    <col min="6162" max="6164" width="10.7265625" style="396" customWidth="1"/>
    <col min="6165" max="6400" width="8.7265625" style="396"/>
    <col min="6401" max="6401" width="79.54296875" style="396" customWidth="1"/>
    <col min="6402" max="6411" width="4.453125" style="396" customWidth="1"/>
    <col min="6412" max="6412" width="5" style="396" customWidth="1"/>
    <col min="6413" max="6417" width="6.54296875" style="396" customWidth="1"/>
    <col min="6418" max="6420" width="10.7265625" style="396" customWidth="1"/>
    <col min="6421" max="6656" width="8.7265625" style="396"/>
    <col min="6657" max="6657" width="79.54296875" style="396" customWidth="1"/>
    <col min="6658" max="6667" width="4.453125" style="396" customWidth="1"/>
    <col min="6668" max="6668" width="5" style="396" customWidth="1"/>
    <col min="6669" max="6673" width="6.54296875" style="396" customWidth="1"/>
    <col min="6674" max="6676" width="10.7265625" style="396" customWidth="1"/>
    <col min="6677" max="6912" width="8.7265625" style="396"/>
    <col min="6913" max="6913" width="79.54296875" style="396" customWidth="1"/>
    <col min="6914" max="6923" width="4.453125" style="396" customWidth="1"/>
    <col min="6924" max="6924" width="5" style="396" customWidth="1"/>
    <col min="6925" max="6929" width="6.54296875" style="396" customWidth="1"/>
    <col min="6930" max="6932" width="10.7265625" style="396" customWidth="1"/>
    <col min="6933" max="7168" width="8.7265625" style="396"/>
    <col min="7169" max="7169" width="79.54296875" style="396" customWidth="1"/>
    <col min="7170" max="7179" width="4.453125" style="396" customWidth="1"/>
    <col min="7180" max="7180" width="5" style="396" customWidth="1"/>
    <col min="7181" max="7185" width="6.54296875" style="396" customWidth="1"/>
    <col min="7186" max="7188" width="10.7265625" style="396" customWidth="1"/>
    <col min="7189" max="7424" width="8.7265625" style="396"/>
    <col min="7425" max="7425" width="79.54296875" style="396" customWidth="1"/>
    <col min="7426" max="7435" width="4.453125" style="396" customWidth="1"/>
    <col min="7436" max="7436" width="5" style="396" customWidth="1"/>
    <col min="7437" max="7441" width="6.54296875" style="396" customWidth="1"/>
    <col min="7442" max="7444" width="10.7265625" style="396" customWidth="1"/>
    <col min="7445" max="7680" width="8.7265625" style="396"/>
    <col min="7681" max="7681" width="79.54296875" style="396" customWidth="1"/>
    <col min="7682" max="7691" width="4.453125" style="396" customWidth="1"/>
    <col min="7692" max="7692" width="5" style="396" customWidth="1"/>
    <col min="7693" max="7697" width="6.54296875" style="396" customWidth="1"/>
    <col min="7698" max="7700" width="10.7265625" style="396" customWidth="1"/>
    <col min="7701" max="7936" width="8.7265625" style="396"/>
    <col min="7937" max="7937" width="79.54296875" style="396" customWidth="1"/>
    <col min="7938" max="7947" width="4.453125" style="396" customWidth="1"/>
    <col min="7948" max="7948" width="5" style="396" customWidth="1"/>
    <col min="7949" max="7953" width="6.54296875" style="396" customWidth="1"/>
    <col min="7954" max="7956" width="10.7265625" style="396" customWidth="1"/>
    <col min="7957" max="8192" width="8.7265625" style="396"/>
    <col min="8193" max="8193" width="79.54296875" style="396" customWidth="1"/>
    <col min="8194" max="8203" width="4.453125" style="396" customWidth="1"/>
    <col min="8204" max="8204" width="5" style="396" customWidth="1"/>
    <col min="8205" max="8209" width="6.54296875" style="396" customWidth="1"/>
    <col min="8210" max="8212" width="10.7265625" style="396" customWidth="1"/>
    <col min="8213" max="8448" width="8.7265625" style="396"/>
    <col min="8449" max="8449" width="79.54296875" style="396" customWidth="1"/>
    <col min="8450" max="8459" width="4.453125" style="396" customWidth="1"/>
    <col min="8460" max="8460" width="5" style="396" customWidth="1"/>
    <col min="8461" max="8465" width="6.54296875" style="396" customWidth="1"/>
    <col min="8466" max="8468" width="10.7265625" style="396" customWidth="1"/>
    <col min="8469" max="8704" width="8.7265625" style="396"/>
    <col min="8705" max="8705" width="79.54296875" style="396" customWidth="1"/>
    <col min="8706" max="8715" width="4.453125" style="396" customWidth="1"/>
    <col min="8716" max="8716" width="5" style="396" customWidth="1"/>
    <col min="8717" max="8721" width="6.54296875" style="396" customWidth="1"/>
    <col min="8722" max="8724" width="10.7265625" style="396" customWidth="1"/>
    <col min="8725" max="8960" width="8.7265625" style="396"/>
    <col min="8961" max="8961" width="79.54296875" style="396" customWidth="1"/>
    <col min="8962" max="8971" width="4.453125" style="396" customWidth="1"/>
    <col min="8972" max="8972" width="5" style="396" customWidth="1"/>
    <col min="8973" max="8977" width="6.54296875" style="396" customWidth="1"/>
    <col min="8978" max="8980" width="10.7265625" style="396" customWidth="1"/>
    <col min="8981" max="9216" width="8.7265625" style="396"/>
    <col min="9217" max="9217" width="79.54296875" style="396" customWidth="1"/>
    <col min="9218" max="9227" width="4.453125" style="396" customWidth="1"/>
    <col min="9228" max="9228" width="5" style="396" customWidth="1"/>
    <col min="9229" max="9233" width="6.54296875" style="396" customWidth="1"/>
    <col min="9234" max="9236" width="10.7265625" style="396" customWidth="1"/>
    <col min="9237" max="9472" width="8.7265625" style="396"/>
    <col min="9473" max="9473" width="79.54296875" style="396" customWidth="1"/>
    <col min="9474" max="9483" width="4.453125" style="396" customWidth="1"/>
    <col min="9484" max="9484" width="5" style="396" customWidth="1"/>
    <col min="9485" max="9489" width="6.54296875" style="396" customWidth="1"/>
    <col min="9490" max="9492" width="10.7265625" style="396" customWidth="1"/>
    <col min="9493" max="9728" width="8.7265625" style="396"/>
    <col min="9729" max="9729" width="79.54296875" style="396" customWidth="1"/>
    <col min="9730" max="9739" width="4.453125" style="396" customWidth="1"/>
    <col min="9740" max="9740" width="5" style="396" customWidth="1"/>
    <col min="9741" max="9745" width="6.54296875" style="396" customWidth="1"/>
    <col min="9746" max="9748" width="10.7265625" style="396" customWidth="1"/>
    <col min="9749" max="9984" width="8.7265625" style="396"/>
    <col min="9985" max="9985" width="79.54296875" style="396" customWidth="1"/>
    <col min="9986" max="9995" width="4.453125" style="396" customWidth="1"/>
    <col min="9996" max="9996" width="5" style="396" customWidth="1"/>
    <col min="9997" max="10001" width="6.54296875" style="396" customWidth="1"/>
    <col min="10002" max="10004" width="10.7265625" style="396" customWidth="1"/>
    <col min="10005" max="10240" width="8.7265625" style="396"/>
    <col min="10241" max="10241" width="79.54296875" style="396" customWidth="1"/>
    <col min="10242" max="10251" width="4.453125" style="396" customWidth="1"/>
    <col min="10252" max="10252" width="5" style="396" customWidth="1"/>
    <col min="10253" max="10257" width="6.54296875" style="396" customWidth="1"/>
    <col min="10258" max="10260" width="10.7265625" style="396" customWidth="1"/>
    <col min="10261" max="10496" width="8.7265625" style="396"/>
    <col min="10497" max="10497" width="79.54296875" style="396" customWidth="1"/>
    <col min="10498" max="10507" width="4.453125" style="396" customWidth="1"/>
    <col min="10508" max="10508" width="5" style="396" customWidth="1"/>
    <col min="10509" max="10513" width="6.54296875" style="396" customWidth="1"/>
    <col min="10514" max="10516" width="10.7265625" style="396" customWidth="1"/>
    <col min="10517" max="10752" width="8.7265625" style="396"/>
    <col min="10753" max="10753" width="79.54296875" style="396" customWidth="1"/>
    <col min="10754" max="10763" width="4.453125" style="396" customWidth="1"/>
    <col min="10764" max="10764" width="5" style="396" customWidth="1"/>
    <col min="10765" max="10769" width="6.54296875" style="396" customWidth="1"/>
    <col min="10770" max="10772" width="10.7265625" style="396" customWidth="1"/>
    <col min="10773" max="11008" width="8.7265625" style="396"/>
    <col min="11009" max="11009" width="79.54296875" style="396" customWidth="1"/>
    <col min="11010" max="11019" width="4.453125" style="396" customWidth="1"/>
    <col min="11020" max="11020" width="5" style="396" customWidth="1"/>
    <col min="11021" max="11025" width="6.54296875" style="396" customWidth="1"/>
    <col min="11026" max="11028" width="10.7265625" style="396" customWidth="1"/>
    <col min="11029" max="11264" width="8.7265625" style="396"/>
    <col min="11265" max="11265" width="79.54296875" style="396" customWidth="1"/>
    <col min="11266" max="11275" width="4.453125" style="396" customWidth="1"/>
    <col min="11276" max="11276" width="5" style="396" customWidth="1"/>
    <col min="11277" max="11281" width="6.54296875" style="396" customWidth="1"/>
    <col min="11282" max="11284" width="10.7265625" style="396" customWidth="1"/>
    <col min="11285" max="11520" width="8.7265625" style="396"/>
    <col min="11521" max="11521" width="79.54296875" style="396" customWidth="1"/>
    <col min="11522" max="11531" width="4.453125" style="396" customWidth="1"/>
    <col min="11532" max="11532" width="5" style="396" customWidth="1"/>
    <col min="11533" max="11537" width="6.54296875" style="396" customWidth="1"/>
    <col min="11538" max="11540" width="10.7265625" style="396" customWidth="1"/>
    <col min="11541" max="11776" width="8.7265625" style="396"/>
    <col min="11777" max="11777" width="79.54296875" style="396" customWidth="1"/>
    <col min="11778" max="11787" width="4.453125" style="396" customWidth="1"/>
    <col min="11788" max="11788" width="5" style="396" customWidth="1"/>
    <col min="11789" max="11793" width="6.54296875" style="396" customWidth="1"/>
    <col min="11794" max="11796" width="10.7265625" style="396" customWidth="1"/>
    <col min="11797" max="12032" width="8.7265625" style="396"/>
    <col min="12033" max="12033" width="79.54296875" style="396" customWidth="1"/>
    <col min="12034" max="12043" width="4.453125" style="396" customWidth="1"/>
    <col min="12044" max="12044" width="5" style="396" customWidth="1"/>
    <col min="12045" max="12049" width="6.54296875" style="396" customWidth="1"/>
    <col min="12050" max="12052" width="10.7265625" style="396" customWidth="1"/>
    <col min="12053" max="12288" width="8.7265625" style="396"/>
    <col min="12289" max="12289" width="79.54296875" style="396" customWidth="1"/>
    <col min="12290" max="12299" width="4.453125" style="396" customWidth="1"/>
    <col min="12300" max="12300" width="5" style="396" customWidth="1"/>
    <col min="12301" max="12305" width="6.54296875" style="396" customWidth="1"/>
    <col min="12306" max="12308" width="10.7265625" style="396" customWidth="1"/>
    <col min="12309" max="12544" width="8.7265625" style="396"/>
    <col min="12545" max="12545" width="79.54296875" style="396" customWidth="1"/>
    <col min="12546" max="12555" width="4.453125" style="396" customWidth="1"/>
    <col min="12556" max="12556" width="5" style="396" customWidth="1"/>
    <col min="12557" max="12561" width="6.54296875" style="396" customWidth="1"/>
    <col min="12562" max="12564" width="10.7265625" style="396" customWidth="1"/>
    <col min="12565" max="12800" width="8.7265625" style="396"/>
    <col min="12801" max="12801" width="79.54296875" style="396" customWidth="1"/>
    <col min="12802" max="12811" width="4.453125" style="396" customWidth="1"/>
    <col min="12812" max="12812" width="5" style="396" customWidth="1"/>
    <col min="12813" max="12817" width="6.54296875" style="396" customWidth="1"/>
    <col min="12818" max="12820" width="10.7265625" style="396" customWidth="1"/>
    <col min="12821" max="13056" width="8.7265625" style="396"/>
    <col min="13057" max="13057" width="79.54296875" style="396" customWidth="1"/>
    <col min="13058" max="13067" width="4.453125" style="396" customWidth="1"/>
    <col min="13068" max="13068" width="5" style="396" customWidth="1"/>
    <col min="13069" max="13073" width="6.54296875" style="396" customWidth="1"/>
    <col min="13074" max="13076" width="10.7265625" style="396" customWidth="1"/>
    <col min="13077" max="13312" width="8.7265625" style="396"/>
    <col min="13313" max="13313" width="79.54296875" style="396" customWidth="1"/>
    <col min="13314" max="13323" width="4.453125" style="396" customWidth="1"/>
    <col min="13324" max="13324" width="5" style="396" customWidth="1"/>
    <col min="13325" max="13329" width="6.54296875" style="396" customWidth="1"/>
    <col min="13330" max="13332" width="10.7265625" style="396" customWidth="1"/>
    <col min="13333" max="13568" width="8.7265625" style="396"/>
    <col min="13569" max="13569" width="79.54296875" style="396" customWidth="1"/>
    <col min="13570" max="13579" width="4.453125" style="396" customWidth="1"/>
    <col min="13580" max="13580" width="5" style="396" customWidth="1"/>
    <col min="13581" max="13585" width="6.54296875" style="396" customWidth="1"/>
    <col min="13586" max="13588" width="10.7265625" style="396" customWidth="1"/>
    <col min="13589" max="13824" width="8.7265625" style="396"/>
    <col min="13825" max="13825" width="79.54296875" style="396" customWidth="1"/>
    <col min="13826" max="13835" width="4.453125" style="396" customWidth="1"/>
    <col min="13836" max="13836" width="5" style="396" customWidth="1"/>
    <col min="13837" max="13841" width="6.54296875" style="396" customWidth="1"/>
    <col min="13842" max="13844" width="10.7265625" style="396" customWidth="1"/>
    <col min="13845" max="14080" width="8.7265625" style="396"/>
    <col min="14081" max="14081" width="79.54296875" style="396" customWidth="1"/>
    <col min="14082" max="14091" width="4.453125" style="396" customWidth="1"/>
    <col min="14092" max="14092" width="5" style="396" customWidth="1"/>
    <col min="14093" max="14097" width="6.54296875" style="396" customWidth="1"/>
    <col min="14098" max="14100" width="10.7265625" style="396" customWidth="1"/>
    <col min="14101" max="14336" width="8.7265625" style="396"/>
    <col min="14337" max="14337" width="79.54296875" style="396" customWidth="1"/>
    <col min="14338" max="14347" width="4.453125" style="396" customWidth="1"/>
    <col min="14348" max="14348" width="5" style="396" customWidth="1"/>
    <col min="14349" max="14353" width="6.54296875" style="396" customWidth="1"/>
    <col min="14354" max="14356" width="10.7265625" style="396" customWidth="1"/>
    <col min="14357" max="14592" width="8.7265625" style="396"/>
    <col min="14593" max="14593" width="79.54296875" style="396" customWidth="1"/>
    <col min="14594" max="14603" width="4.453125" style="396" customWidth="1"/>
    <col min="14604" max="14604" width="5" style="396" customWidth="1"/>
    <col min="14605" max="14609" width="6.54296875" style="396" customWidth="1"/>
    <col min="14610" max="14612" width="10.7265625" style="396" customWidth="1"/>
    <col min="14613" max="14848" width="8.7265625" style="396"/>
    <col min="14849" max="14849" width="79.54296875" style="396" customWidth="1"/>
    <col min="14850" max="14859" width="4.453125" style="396" customWidth="1"/>
    <col min="14860" max="14860" width="5" style="396" customWidth="1"/>
    <col min="14861" max="14865" width="6.54296875" style="396" customWidth="1"/>
    <col min="14866" max="14868" width="10.7265625" style="396" customWidth="1"/>
    <col min="14869" max="15104" width="8.7265625" style="396"/>
    <col min="15105" max="15105" width="79.54296875" style="396" customWidth="1"/>
    <col min="15106" max="15115" width="4.453125" style="396" customWidth="1"/>
    <col min="15116" max="15116" width="5" style="396" customWidth="1"/>
    <col min="15117" max="15121" width="6.54296875" style="396" customWidth="1"/>
    <col min="15122" max="15124" width="10.7265625" style="396" customWidth="1"/>
    <col min="15125" max="15360" width="8.7265625" style="396"/>
    <col min="15361" max="15361" width="79.54296875" style="396" customWidth="1"/>
    <col min="15362" max="15371" width="4.453125" style="396" customWidth="1"/>
    <col min="15372" max="15372" width="5" style="396" customWidth="1"/>
    <col min="15373" max="15377" width="6.54296875" style="396" customWidth="1"/>
    <col min="15378" max="15380" width="10.7265625" style="396" customWidth="1"/>
    <col min="15381" max="15616" width="8.7265625" style="396"/>
    <col min="15617" max="15617" width="79.54296875" style="396" customWidth="1"/>
    <col min="15618" max="15627" width="4.453125" style="396" customWidth="1"/>
    <col min="15628" max="15628" width="5" style="396" customWidth="1"/>
    <col min="15629" max="15633" width="6.54296875" style="396" customWidth="1"/>
    <col min="15634" max="15636" width="10.7265625" style="396" customWidth="1"/>
    <col min="15637" max="15872" width="8.7265625" style="396"/>
    <col min="15873" max="15873" width="79.54296875" style="396" customWidth="1"/>
    <col min="15874" max="15883" width="4.453125" style="396" customWidth="1"/>
    <col min="15884" max="15884" width="5" style="396" customWidth="1"/>
    <col min="15885" max="15889" width="6.54296875" style="396" customWidth="1"/>
    <col min="15890" max="15892" width="10.7265625" style="396" customWidth="1"/>
    <col min="15893" max="16128" width="8.7265625" style="396"/>
    <col min="16129" max="16129" width="79.54296875" style="396" customWidth="1"/>
    <col min="16130" max="16139" width="4.453125" style="396" customWidth="1"/>
    <col min="16140" max="16140" width="5" style="396" customWidth="1"/>
    <col min="16141" max="16145" width="6.54296875" style="396" customWidth="1"/>
    <col min="16146" max="16148" width="10.7265625" style="396" customWidth="1"/>
    <col min="16149" max="16384" width="8.7265625" style="396"/>
  </cols>
  <sheetData>
    <row r="1" spans="1:48" ht="13">
      <c r="A1" s="440" t="s">
        <v>787</v>
      </c>
    </row>
    <row r="2" spans="1:48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48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</row>
    <row r="4" spans="1:48" ht="13">
      <c r="A4" s="443"/>
      <c r="B4" s="444">
        <v>1977</v>
      </c>
      <c r="C4" s="444">
        <v>1978</v>
      </c>
      <c r="D4" s="444">
        <v>1979</v>
      </c>
      <c r="E4" s="444">
        <v>1980</v>
      </c>
      <c r="F4" s="444">
        <v>1981</v>
      </c>
      <c r="G4" s="444">
        <v>1982</v>
      </c>
      <c r="H4" s="444">
        <v>1983</v>
      </c>
      <c r="I4" s="444">
        <v>1984</v>
      </c>
      <c r="J4" s="444">
        <v>1985</v>
      </c>
      <c r="K4" s="444">
        <v>1986</v>
      </c>
      <c r="L4" s="444">
        <v>1987</v>
      </c>
      <c r="M4" s="444">
        <v>1988</v>
      </c>
      <c r="N4" s="444">
        <v>1989</v>
      </c>
      <c r="O4" s="444">
        <v>1990</v>
      </c>
      <c r="P4" s="444">
        <v>1991</v>
      </c>
      <c r="Q4" s="444">
        <v>1992</v>
      </c>
      <c r="R4" s="444">
        <v>1993</v>
      </c>
      <c r="S4" s="444">
        <v>1994</v>
      </c>
      <c r="T4" s="445">
        <v>1995</v>
      </c>
    </row>
    <row r="5" spans="1:48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8"/>
    </row>
    <row r="6" spans="1:48" ht="13">
      <c r="A6" s="446" t="s">
        <v>749</v>
      </c>
      <c r="B6" s="449">
        <v>193.23239895711893</v>
      </c>
      <c r="C6" s="449">
        <v>273.42502491760138</v>
      </c>
      <c r="D6" s="449">
        <v>254.1750269104453</v>
      </c>
      <c r="E6" s="449">
        <v>473.96949684811921</v>
      </c>
      <c r="F6" s="449">
        <v>564.68391425741788</v>
      </c>
      <c r="G6" s="449">
        <v>712.4227557725369</v>
      </c>
      <c r="H6" s="449">
        <v>942.04190369998355</v>
      </c>
      <c r="I6" s="449">
        <v>1080.4119695833178</v>
      </c>
      <c r="J6" s="449">
        <v>1646.0105765530102</v>
      </c>
      <c r="K6" s="449">
        <v>1447.4117938979753</v>
      </c>
      <c r="L6" s="449">
        <v>2710.5657422829663</v>
      </c>
      <c r="M6" s="449">
        <v>2259.8046752250348</v>
      </c>
      <c r="N6" s="449">
        <v>1856.9967815226496</v>
      </c>
      <c r="O6" s="449">
        <v>519.31981864056411</v>
      </c>
      <c r="P6" s="449">
        <v>828.17876968391408</v>
      </c>
      <c r="Q6" s="449">
        <v>1491.7367211198234</v>
      </c>
      <c r="R6" s="449">
        <v>14792.172618200952</v>
      </c>
      <c r="S6" s="449">
        <v>18889.60057916979</v>
      </c>
      <c r="T6" s="450">
        <v>24856.645734373247</v>
      </c>
    </row>
    <row r="7" spans="1:48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8"/>
    </row>
    <row r="8" spans="1:48" ht="13">
      <c r="A8" s="451" t="s">
        <v>750</v>
      </c>
      <c r="B8" s="449">
        <v>0</v>
      </c>
      <c r="C8" s="449">
        <v>0</v>
      </c>
      <c r="D8" s="449">
        <v>0</v>
      </c>
      <c r="E8" s="449">
        <v>0</v>
      </c>
      <c r="F8" s="449">
        <v>0</v>
      </c>
      <c r="G8" s="449">
        <v>0</v>
      </c>
      <c r="H8" s="449">
        <v>0</v>
      </c>
      <c r="I8" s="449">
        <v>0</v>
      </c>
      <c r="J8" s="449">
        <v>0</v>
      </c>
      <c r="K8" s="449">
        <v>0</v>
      </c>
      <c r="L8" s="449">
        <v>0</v>
      </c>
      <c r="M8" s="449">
        <v>0</v>
      </c>
      <c r="N8" s="449">
        <v>0</v>
      </c>
      <c r="O8" s="449">
        <v>0</v>
      </c>
      <c r="P8" s="449">
        <v>0</v>
      </c>
      <c r="Q8" s="449">
        <v>0</v>
      </c>
      <c r="R8" s="449">
        <v>0</v>
      </c>
      <c r="S8" s="449">
        <v>0</v>
      </c>
      <c r="T8" s="450">
        <v>0</v>
      </c>
    </row>
    <row r="9" spans="1:48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8">
        <v>0</v>
      </c>
    </row>
    <row r="10" spans="1:48" ht="13">
      <c r="A10" s="451" t="s">
        <v>752</v>
      </c>
      <c r="B10" s="449">
        <v>0</v>
      </c>
      <c r="C10" s="449">
        <v>0</v>
      </c>
      <c r="D10" s="449">
        <v>0</v>
      </c>
      <c r="E10" s="449">
        <v>0</v>
      </c>
      <c r="F10" s="449">
        <v>0</v>
      </c>
      <c r="G10" s="449">
        <v>0</v>
      </c>
      <c r="H10" s="449">
        <v>0</v>
      </c>
      <c r="I10" s="449">
        <v>0</v>
      </c>
      <c r="J10" s="449">
        <v>0</v>
      </c>
      <c r="K10" s="449">
        <v>0</v>
      </c>
      <c r="L10" s="449">
        <v>0</v>
      </c>
      <c r="M10" s="449">
        <v>0</v>
      </c>
      <c r="N10" s="449">
        <v>0</v>
      </c>
      <c r="O10" s="449">
        <v>0</v>
      </c>
      <c r="P10" s="449">
        <v>0</v>
      </c>
      <c r="Q10" s="449">
        <v>0</v>
      </c>
      <c r="R10" s="449">
        <v>0</v>
      </c>
      <c r="S10" s="449">
        <v>0</v>
      </c>
      <c r="T10" s="450">
        <v>0</v>
      </c>
    </row>
    <row r="11" spans="1:48" ht="13">
      <c r="A11" s="446" t="s">
        <v>753</v>
      </c>
      <c r="B11" s="449">
        <v>0.4</v>
      </c>
      <c r="C11" s="449">
        <v>1.6</v>
      </c>
      <c r="D11" s="449">
        <v>2.6</v>
      </c>
      <c r="E11" s="449">
        <v>22.2</v>
      </c>
      <c r="F11" s="449">
        <v>27.8</v>
      </c>
      <c r="G11" s="449">
        <v>31</v>
      </c>
      <c r="H11" s="449">
        <v>50.6</v>
      </c>
      <c r="I11" s="449">
        <v>66.599999999999994</v>
      </c>
      <c r="J11" s="449">
        <v>70.2</v>
      </c>
      <c r="K11" s="449">
        <v>85</v>
      </c>
      <c r="L11" s="449">
        <v>127</v>
      </c>
      <c r="M11" s="449">
        <v>151</v>
      </c>
      <c r="N11" s="449">
        <v>76</v>
      </c>
      <c r="O11" s="449">
        <v>-316</v>
      </c>
      <c r="P11" s="449">
        <v>-126</v>
      </c>
      <c r="Q11" s="449">
        <v>539</v>
      </c>
      <c r="R11" s="449">
        <v>2627</v>
      </c>
      <c r="S11" s="449">
        <v>2507</v>
      </c>
      <c r="T11" s="450">
        <v>1518</v>
      </c>
    </row>
    <row r="12" spans="1:48" ht="13">
      <c r="A12" s="446" t="s">
        <v>754</v>
      </c>
      <c r="B12" s="449">
        <v>6.0823989571189259</v>
      </c>
      <c r="C12" s="449">
        <v>8.8750249176014009</v>
      </c>
      <c r="D12" s="449">
        <v>12.825026910445294</v>
      </c>
      <c r="E12" s="449">
        <v>19.269496848119211</v>
      </c>
      <c r="F12" s="449">
        <v>28.283914257417862</v>
      </c>
      <c r="G12" s="449">
        <v>41.022755772536911</v>
      </c>
      <c r="H12" s="449">
        <v>61.191903699983584</v>
      </c>
      <c r="I12" s="449">
        <v>85.661969583317941</v>
      </c>
      <c r="J12" s="449">
        <v>116.71057655301017</v>
      </c>
      <c r="K12" s="449">
        <v>150.41179389797537</v>
      </c>
      <c r="L12" s="449">
        <v>180.56574228296634</v>
      </c>
      <c r="M12" s="449">
        <v>214.80467522503497</v>
      </c>
      <c r="N12" s="449">
        <v>251.99678152264954</v>
      </c>
      <c r="O12" s="449">
        <v>295.31981864056405</v>
      </c>
      <c r="P12" s="449">
        <v>335.17876968391408</v>
      </c>
      <c r="Q12" s="449">
        <v>377.73672111982341</v>
      </c>
      <c r="R12" s="449">
        <v>439.1726182009524</v>
      </c>
      <c r="S12" s="449">
        <v>510.60057916979076</v>
      </c>
      <c r="T12" s="450">
        <v>593.64573437324589</v>
      </c>
    </row>
    <row r="13" spans="1:48" ht="13">
      <c r="A13" s="451" t="s">
        <v>755</v>
      </c>
      <c r="B13" s="449">
        <v>186.75</v>
      </c>
      <c r="C13" s="449">
        <v>262.95</v>
      </c>
      <c r="D13" s="449">
        <v>238.75</v>
      </c>
      <c r="E13" s="449">
        <v>432.5</v>
      </c>
      <c r="F13" s="449">
        <v>508.6</v>
      </c>
      <c r="G13" s="449">
        <v>640.4</v>
      </c>
      <c r="H13" s="449">
        <v>830.25</v>
      </c>
      <c r="I13" s="449">
        <v>928.15</v>
      </c>
      <c r="J13" s="449">
        <v>1459.1</v>
      </c>
      <c r="K13" s="449">
        <v>1212</v>
      </c>
      <c r="L13" s="449">
        <v>2403</v>
      </c>
      <c r="M13" s="449">
        <v>1894</v>
      </c>
      <c r="N13" s="449">
        <v>1529</v>
      </c>
      <c r="O13" s="449">
        <v>540</v>
      </c>
      <c r="P13" s="449">
        <v>619</v>
      </c>
      <c r="Q13" s="449">
        <v>575</v>
      </c>
      <c r="R13" s="449">
        <v>11726</v>
      </c>
      <c r="S13" s="449">
        <v>15872</v>
      </c>
      <c r="T13" s="450">
        <v>22745</v>
      </c>
    </row>
    <row r="14" spans="1:48" ht="13">
      <c r="A14" s="457" t="s">
        <v>770</v>
      </c>
      <c r="B14" s="458">
        <v>180.75</v>
      </c>
      <c r="C14" s="458">
        <v>255.75</v>
      </c>
      <c r="D14" s="458">
        <v>228.75</v>
      </c>
      <c r="E14" s="458">
        <v>425</v>
      </c>
      <c r="F14" s="458">
        <v>502</v>
      </c>
      <c r="G14" s="458">
        <v>620.5</v>
      </c>
      <c r="H14" s="458">
        <v>805.75</v>
      </c>
      <c r="I14" s="458">
        <v>898.25</v>
      </c>
      <c r="J14" s="458">
        <v>1389.5</v>
      </c>
      <c r="K14" s="458">
        <v>1121</v>
      </c>
      <c r="L14" s="458">
        <v>2256</v>
      </c>
      <c r="M14" s="458">
        <v>1766</v>
      </c>
      <c r="N14" s="458">
        <v>1389</v>
      </c>
      <c r="O14" s="458">
        <v>25</v>
      </c>
      <c r="P14" s="458">
        <v>305</v>
      </c>
      <c r="Q14" s="458">
        <v>213</v>
      </c>
      <c r="R14" s="458">
        <v>84</v>
      </c>
      <c r="S14" s="458">
        <v>13808</v>
      </c>
      <c r="T14" s="459">
        <v>10803</v>
      </c>
    </row>
    <row r="15" spans="1:48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8"/>
    </row>
    <row r="16" spans="1:48" ht="13">
      <c r="A16" s="446" t="s">
        <v>756</v>
      </c>
      <c r="B16" s="460">
        <v>35</v>
      </c>
      <c r="C16" s="460">
        <v>18</v>
      </c>
      <c r="D16" s="447">
        <v>27</v>
      </c>
      <c r="E16" s="447">
        <v>30</v>
      </c>
      <c r="F16" s="447">
        <v>37</v>
      </c>
      <c r="G16" s="447">
        <v>69</v>
      </c>
      <c r="H16" s="447">
        <v>25</v>
      </c>
      <c r="I16" s="447">
        <v>65</v>
      </c>
      <c r="J16" s="447">
        <v>127</v>
      </c>
      <c r="K16" s="447">
        <v>934</v>
      </c>
      <c r="L16" s="447">
        <v>113</v>
      </c>
      <c r="M16" s="447">
        <v>160</v>
      </c>
      <c r="N16" s="447">
        <v>442</v>
      </c>
      <c r="O16" s="447">
        <v>135</v>
      </c>
      <c r="P16" s="447">
        <v>70</v>
      </c>
      <c r="Q16" s="447">
        <v>13</v>
      </c>
      <c r="R16" s="447">
        <v>5</v>
      </c>
      <c r="S16" s="447">
        <v>49</v>
      </c>
      <c r="T16" s="448">
        <v>0</v>
      </c>
    </row>
    <row r="17" spans="1:20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8"/>
    </row>
    <row r="18" spans="1:20" ht="13">
      <c r="A18" s="446" t="s">
        <v>757</v>
      </c>
      <c r="B18" s="449">
        <v>35</v>
      </c>
      <c r="C18" s="449">
        <v>18</v>
      </c>
      <c r="D18" s="449">
        <v>27</v>
      </c>
      <c r="E18" s="449">
        <v>30</v>
      </c>
      <c r="F18" s="449">
        <v>37</v>
      </c>
      <c r="G18" s="449">
        <v>69</v>
      </c>
      <c r="H18" s="449">
        <v>25</v>
      </c>
      <c r="I18" s="449">
        <v>65</v>
      </c>
      <c r="J18" s="449">
        <v>127</v>
      </c>
      <c r="K18" s="449">
        <v>934</v>
      </c>
      <c r="L18" s="449">
        <v>113</v>
      </c>
      <c r="M18" s="449">
        <v>160</v>
      </c>
      <c r="N18" s="449">
        <v>442</v>
      </c>
      <c r="O18" s="449">
        <v>135</v>
      </c>
      <c r="P18" s="449">
        <v>70</v>
      </c>
      <c r="Q18" s="449">
        <v>13</v>
      </c>
      <c r="R18" s="449">
        <v>5</v>
      </c>
      <c r="S18" s="449">
        <v>49</v>
      </c>
      <c r="T18" s="450">
        <v>0</v>
      </c>
    </row>
    <row r="19" spans="1:20" ht="13">
      <c r="A19" s="457" t="s">
        <v>770</v>
      </c>
      <c r="B19" s="449">
        <v>35</v>
      </c>
      <c r="C19" s="449">
        <v>5</v>
      </c>
      <c r="D19" s="449">
        <v>19</v>
      </c>
      <c r="E19" s="449">
        <v>12</v>
      </c>
      <c r="F19" s="449">
        <v>37</v>
      </c>
      <c r="G19" s="449">
        <v>63</v>
      </c>
      <c r="H19" s="449">
        <v>20</v>
      </c>
      <c r="I19" s="449">
        <v>62</v>
      </c>
      <c r="J19" s="449">
        <v>109</v>
      </c>
      <c r="K19" s="447">
        <v>918</v>
      </c>
      <c r="L19" s="447">
        <v>79</v>
      </c>
      <c r="M19" s="447">
        <v>131</v>
      </c>
      <c r="N19" s="447">
        <v>311</v>
      </c>
      <c r="O19" s="447">
        <v>135</v>
      </c>
      <c r="P19" s="447">
        <v>70</v>
      </c>
      <c r="Q19" s="447">
        <v>13</v>
      </c>
      <c r="R19" s="447">
        <v>3</v>
      </c>
      <c r="S19" s="447">
        <v>49</v>
      </c>
      <c r="T19" s="448">
        <v>0</v>
      </c>
    </row>
    <row r="20" spans="1:2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8"/>
    </row>
    <row r="21" spans="1:20" ht="13">
      <c r="A21" s="446" t="s">
        <v>758</v>
      </c>
      <c r="B21" s="449">
        <v>228.23239895711893</v>
      </c>
      <c r="C21" s="449">
        <v>291.42502491760138</v>
      </c>
      <c r="D21" s="449">
        <v>281.1750269104453</v>
      </c>
      <c r="E21" s="449">
        <v>503.96949684811921</v>
      </c>
      <c r="F21" s="449">
        <v>601.68391425741788</v>
      </c>
      <c r="G21" s="449">
        <v>781.4227557725369</v>
      </c>
      <c r="H21" s="449">
        <v>967.04190369998355</v>
      </c>
      <c r="I21" s="449">
        <v>1145.4119695833178</v>
      </c>
      <c r="J21" s="449">
        <v>1773.0105765530102</v>
      </c>
      <c r="K21" s="449">
        <v>2381.4117938979753</v>
      </c>
      <c r="L21" s="449">
        <v>2823.5657422829663</v>
      </c>
      <c r="M21" s="449">
        <v>2419.8046752250348</v>
      </c>
      <c r="N21" s="449">
        <v>2298.9967815226496</v>
      </c>
      <c r="O21" s="449">
        <v>654.31981864056411</v>
      </c>
      <c r="P21" s="449">
        <v>898.17876968391408</v>
      </c>
      <c r="Q21" s="449">
        <v>1504.7367211198234</v>
      </c>
      <c r="R21" s="449">
        <v>14797.172618200952</v>
      </c>
      <c r="S21" s="449">
        <v>18938.60057916979</v>
      </c>
      <c r="T21" s="450">
        <v>24856.645734373247</v>
      </c>
    </row>
    <row r="22" spans="1:2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8"/>
    </row>
    <row r="23" spans="1:20" ht="13">
      <c r="A23" s="446" t="s">
        <v>759</v>
      </c>
      <c r="B23" s="449">
        <v>285.79239895711891</v>
      </c>
      <c r="C23" s="449">
        <v>209.67502491760141</v>
      </c>
      <c r="D23" s="449">
        <v>321.6750269104453</v>
      </c>
      <c r="E23" s="449">
        <v>415.68949684811923</v>
      </c>
      <c r="F23" s="449">
        <v>579.36391425741795</v>
      </c>
      <c r="G23" s="449">
        <v>487.94775577253694</v>
      </c>
      <c r="H23" s="449">
        <v>704.9819036999836</v>
      </c>
      <c r="I23" s="449">
        <v>934.42196958331795</v>
      </c>
      <c r="J23" s="449">
        <v>1349.5355765530103</v>
      </c>
      <c r="K23" s="449">
        <v>2285.4117938979753</v>
      </c>
      <c r="L23" s="449">
        <v>3345.5657422829663</v>
      </c>
      <c r="M23" s="449">
        <v>2070.8046752250348</v>
      </c>
      <c r="N23" s="449">
        <v>1822.9967815226496</v>
      </c>
      <c r="O23" s="449">
        <v>1527.3198186405641</v>
      </c>
      <c r="P23" s="449">
        <v>12779.178769683915</v>
      </c>
      <c r="Q23" s="449">
        <v>12941.736721119823</v>
      </c>
      <c r="R23" s="449">
        <v>28140.172618200952</v>
      </c>
      <c r="S23" s="449">
        <v>30457.60057916979</v>
      </c>
      <c r="T23" s="450">
        <v>27803.645734373247</v>
      </c>
    </row>
    <row r="24" spans="1:20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8"/>
    </row>
    <row r="25" spans="1:20" ht="13">
      <c r="A25" s="446" t="s">
        <v>760</v>
      </c>
      <c r="B25" s="449">
        <v>233.08239895711893</v>
      </c>
      <c r="C25" s="449">
        <v>195.37502491760139</v>
      </c>
      <c r="D25" s="449">
        <v>313.82502691044527</v>
      </c>
      <c r="E25" s="449">
        <v>388.76949684811922</v>
      </c>
      <c r="F25" s="449">
        <v>558.2839142574179</v>
      </c>
      <c r="G25" s="449">
        <v>401.39775577253693</v>
      </c>
      <c r="H25" s="449">
        <v>637.94190369998364</v>
      </c>
      <c r="I25" s="449">
        <v>890.41196958331795</v>
      </c>
      <c r="J25" s="449">
        <v>1230.0855765530102</v>
      </c>
      <c r="K25" s="449">
        <v>2151.4117938979753</v>
      </c>
      <c r="L25" s="449">
        <v>2063.5657422829663</v>
      </c>
      <c r="M25" s="449">
        <v>1996.804675225035</v>
      </c>
      <c r="N25" s="449">
        <v>1753.9967815226496</v>
      </c>
      <c r="O25" s="449">
        <v>1448.3198186405641</v>
      </c>
      <c r="P25" s="449">
        <v>11153.178769683915</v>
      </c>
      <c r="Q25" s="449">
        <v>12659.736721119823</v>
      </c>
      <c r="R25" s="449">
        <v>20449.172618200952</v>
      </c>
      <c r="S25" s="449">
        <v>23273.60057916979</v>
      </c>
      <c r="T25" s="450">
        <v>20900.645734373247</v>
      </c>
    </row>
    <row r="26" spans="1:20" ht="13">
      <c r="A26" s="446" t="s">
        <v>761</v>
      </c>
      <c r="B26" s="449">
        <v>209</v>
      </c>
      <c r="C26" s="449">
        <v>170</v>
      </c>
      <c r="D26" s="449">
        <v>256</v>
      </c>
      <c r="E26" s="449">
        <v>319</v>
      </c>
      <c r="F26" s="449">
        <v>381.5</v>
      </c>
      <c r="G26" s="449">
        <v>371</v>
      </c>
      <c r="H26" s="449">
        <v>541.5</v>
      </c>
      <c r="I26" s="449">
        <v>769</v>
      </c>
      <c r="J26" s="449">
        <v>1063</v>
      </c>
      <c r="K26" s="449">
        <v>1938</v>
      </c>
      <c r="L26" s="449">
        <v>1975</v>
      </c>
      <c r="M26" s="449">
        <v>2023</v>
      </c>
      <c r="N26" s="449">
        <v>2315</v>
      </c>
      <c r="O26" s="449">
        <v>1030</v>
      </c>
      <c r="P26" s="449">
        <v>4564</v>
      </c>
      <c r="Q26" s="449">
        <v>4955</v>
      </c>
      <c r="R26" s="449">
        <v>12915</v>
      </c>
      <c r="S26" s="449">
        <v>14469</v>
      </c>
      <c r="T26" s="450">
        <v>15095</v>
      </c>
    </row>
    <row r="27" spans="1:20" ht="13">
      <c r="A27" s="446" t="s">
        <v>762</v>
      </c>
      <c r="B27" s="449">
        <v>24.082398957118926</v>
      </c>
      <c r="C27" s="449">
        <v>25.375024917601394</v>
      </c>
      <c r="D27" s="449">
        <v>57.825026910445274</v>
      </c>
      <c r="E27" s="449">
        <v>69.769496848119218</v>
      </c>
      <c r="F27" s="449">
        <v>176.7839142574179</v>
      </c>
      <c r="G27" s="449">
        <v>30.397755772536925</v>
      </c>
      <c r="H27" s="449">
        <v>96.441903699983641</v>
      </c>
      <c r="I27" s="449">
        <v>121.41196958331795</v>
      </c>
      <c r="J27" s="449">
        <v>167.08557655301024</v>
      </c>
      <c r="K27" s="449">
        <v>213.41179389797526</v>
      </c>
      <c r="L27" s="449">
        <v>88.565742282966312</v>
      </c>
      <c r="M27" s="449">
        <v>-26.195324774965002</v>
      </c>
      <c r="N27" s="449">
        <v>-561.0032184773504</v>
      </c>
      <c r="O27" s="449">
        <v>418.31981864056411</v>
      </c>
      <c r="P27" s="449">
        <v>6589.1787696839147</v>
      </c>
      <c r="Q27" s="449">
        <v>7704.7367211198234</v>
      </c>
      <c r="R27" s="449">
        <v>7534.1726182009515</v>
      </c>
      <c r="S27" s="449">
        <v>8804.6005791697899</v>
      </c>
      <c r="T27" s="450">
        <v>5805.6457343732454</v>
      </c>
    </row>
    <row r="28" spans="1:20" ht="13">
      <c r="A28" s="446" t="s">
        <v>763</v>
      </c>
      <c r="B28" s="449">
        <v>3</v>
      </c>
      <c r="C28" s="449">
        <v>0</v>
      </c>
      <c r="D28" s="449">
        <v>0</v>
      </c>
      <c r="E28" s="449">
        <v>0</v>
      </c>
      <c r="F28" s="449">
        <v>1</v>
      </c>
      <c r="G28" s="449">
        <v>0</v>
      </c>
      <c r="H28" s="449">
        <v>5</v>
      </c>
      <c r="I28" s="449">
        <v>7</v>
      </c>
      <c r="J28" s="449">
        <v>12</v>
      </c>
      <c r="K28" s="449">
        <v>0</v>
      </c>
      <c r="L28" s="449">
        <v>1</v>
      </c>
      <c r="M28" s="449">
        <v>1</v>
      </c>
      <c r="N28" s="449">
        <v>2</v>
      </c>
      <c r="O28" s="449">
        <v>13</v>
      </c>
      <c r="P28" s="449">
        <v>72</v>
      </c>
      <c r="Q28" s="449">
        <v>122</v>
      </c>
      <c r="R28" s="449">
        <v>10</v>
      </c>
      <c r="S28" s="449">
        <v>123</v>
      </c>
      <c r="T28" s="450">
        <v>116</v>
      </c>
    </row>
    <row r="29" spans="1:20" ht="13">
      <c r="A29" s="446" t="s">
        <v>764</v>
      </c>
      <c r="B29" s="449">
        <v>0</v>
      </c>
      <c r="C29" s="449">
        <v>0</v>
      </c>
      <c r="D29" s="449">
        <v>0</v>
      </c>
      <c r="E29" s="449">
        <v>0</v>
      </c>
      <c r="F29" s="449">
        <v>0</v>
      </c>
      <c r="G29" s="449">
        <v>0</v>
      </c>
      <c r="H29" s="449">
        <v>0</v>
      </c>
      <c r="I29" s="449">
        <v>0</v>
      </c>
      <c r="J29" s="449">
        <v>0</v>
      </c>
      <c r="K29" s="449">
        <v>0</v>
      </c>
      <c r="L29" s="449">
        <v>0</v>
      </c>
      <c r="M29" s="449">
        <v>0</v>
      </c>
      <c r="N29" s="449">
        <v>0</v>
      </c>
      <c r="O29" s="449">
        <v>0</v>
      </c>
      <c r="P29" s="449">
        <v>0</v>
      </c>
      <c r="Q29" s="449">
        <v>0</v>
      </c>
      <c r="R29" s="449">
        <v>181</v>
      </c>
      <c r="S29" s="449">
        <v>183</v>
      </c>
      <c r="T29" s="450">
        <v>103</v>
      </c>
    </row>
    <row r="30" spans="1:20" ht="13">
      <c r="A30" s="451" t="s">
        <v>755</v>
      </c>
      <c r="B30" s="449">
        <v>49.71</v>
      </c>
      <c r="C30" s="449">
        <v>14.3</v>
      </c>
      <c r="D30" s="449">
        <v>7.85</v>
      </c>
      <c r="E30" s="449">
        <v>26.92</v>
      </c>
      <c r="F30" s="449">
        <v>20.079999999999998</v>
      </c>
      <c r="G30" s="449">
        <v>86.55</v>
      </c>
      <c r="H30" s="449">
        <v>62.04</v>
      </c>
      <c r="I30" s="449">
        <v>37.01</v>
      </c>
      <c r="J30" s="449">
        <v>107.45</v>
      </c>
      <c r="K30" s="449">
        <v>134</v>
      </c>
      <c r="L30" s="449">
        <v>1281</v>
      </c>
      <c r="M30" s="449">
        <v>73</v>
      </c>
      <c r="N30" s="449">
        <v>67</v>
      </c>
      <c r="O30" s="449">
        <v>66</v>
      </c>
      <c r="P30" s="449">
        <v>1554</v>
      </c>
      <c r="Q30" s="449">
        <v>160</v>
      </c>
      <c r="R30" s="449">
        <v>7500</v>
      </c>
      <c r="S30" s="449">
        <v>6878</v>
      </c>
      <c r="T30" s="450">
        <v>6684</v>
      </c>
    </row>
    <row r="31" spans="1:20" ht="13">
      <c r="A31" s="457" t="s">
        <v>770</v>
      </c>
      <c r="B31" s="449">
        <v>48</v>
      </c>
      <c r="C31" s="449">
        <v>12</v>
      </c>
      <c r="D31" s="449">
        <v>5</v>
      </c>
      <c r="E31" s="449">
        <v>21</v>
      </c>
      <c r="F31" s="449">
        <v>15</v>
      </c>
      <c r="G31" s="449">
        <v>86</v>
      </c>
      <c r="H31" s="449">
        <v>53</v>
      </c>
      <c r="I31" s="449">
        <v>26</v>
      </c>
      <c r="J31" s="449">
        <v>94</v>
      </c>
      <c r="K31" s="449">
        <v>108</v>
      </c>
      <c r="L31" s="449">
        <v>15</v>
      </c>
      <c r="M31" s="449">
        <v>6</v>
      </c>
      <c r="N31" s="449">
        <v>0</v>
      </c>
      <c r="O31" s="449">
        <v>50</v>
      </c>
      <c r="P31" s="449">
        <v>3</v>
      </c>
      <c r="Q31" s="449">
        <v>2</v>
      </c>
      <c r="R31" s="449">
        <v>5</v>
      </c>
      <c r="S31" s="449">
        <v>0</v>
      </c>
      <c r="T31" s="450">
        <v>30</v>
      </c>
    </row>
    <row r="32" spans="1:20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8"/>
    </row>
    <row r="33" spans="1:20" ht="13">
      <c r="A33" s="446" t="s">
        <v>765</v>
      </c>
      <c r="B33" s="449">
        <v>10.5</v>
      </c>
      <c r="C33" s="449">
        <v>24.5</v>
      </c>
      <c r="D33" s="449">
        <v>31.5</v>
      </c>
      <c r="E33" s="449">
        <v>42</v>
      </c>
      <c r="F33" s="449">
        <v>80.5</v>
      </c>
      <c r="G33" s="449">
        <v>122.5</v>
      </c>
      <c r="H33" s="449">
        <v>12</v>
      </c>
      <c r="I33" s="449">
        <v>292.5</v>
      </c>
      <c r="J33" s="449">
        <v>301</v>
      </c>
      <c r="K33" s="449">
        <v>186</v>
      </c>
      <c r="L33" s="449">
        <v>658</v>
      </c>
      <c r="M33" s="449">
        <v>624</v>
      </c>
      <c r="N33" s="449">
        <v>317</v>
      </c>
      <c r="O33" s="449">
        <v>70</v>
      </c>
      <c r="P33" s="449">
        <v>1683</v>
      </c>
      <c r="Q33" s="449">
        <v>1940</v>
      </c>
      <c r="R33" s="449">
        <v>2288</v>
      </c>
      <c r="S33" s="449">
        <v>3239.6331430367968</v>
      </c>
      <c r="T33" s="450">
        <v>4258.2507505264848</v>
      </c>
    </row>
    <row r="34" spans="1:2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50"/>
    </row>
    <row r="35" spans="1:20" ht="13">
      <c r="A35" s="446" t="s">
        <v>766</v>
      </c>
      <c r="B35" s="449">
        <v>10.5</v>
      </c>
      <c r="C35" s="449">
        <v>24.5</v>
      </c>
      <c r="D35" s="449">
        <v>31.5</v>
      </c>
      <c r="E35" s="449">
        <v>39</v>
      </c>
      <c r="F35" s="449">
        <v>80.5</v>
      </c>
      <c r="G35" s="449">
        <v>106.5</v>
      </c>
      <c r="H35" s="449">
        <v>-11</v>
      </c>
      <c r="I35" s="449">
        <v>279.5</v>
      </c>
      <c r="J35" s="449">
        <v>301</v>
      </c>
      <c r="K35" s="449">
        <v>186</v>
      </c>
      <c r="L35" s="449">
        <v>658</v>
      </c>
      <c r="M35" s="449">
        <v>604</v>
      </c>
      <c r="N35" s="449">
        <v>317</v>
      </c>
      <c r="O35" s="449">
        <v>70</v>
      </c>
      <c r="P35" s="449">
        <v>1683</v>
      </c>
      <c r="Q35" s="449">
        <v>1940</v>
      </c>
      <c r="R35" s="449">
        <v>2288</v>
      </c>
      <c r="S35" s="449">
        <v>3239.6331430367968</v>
      </c>
      <c r="T35" s="450">
        <v>4234.2507505264848</v>
      </c>
    </row>
    <row r="36" spans="1:20" ht="13">
      <c r="A36" s="446" t="s">
        <v>757</v>
      </c>
      <c r="B36" s="449">
        <v>0</v>
      </c>
      <c r="C36" s="449">
        <v>0</v>
      </c>
      <c r="D36" s="449">
        <v>0</v>
      </c>
      <c r="E36" s="449">
        <v>3</v>
      </c>
      <c r="F36" s="449">
        <v>0</v>
      </c>
      <c r="G36" s="449">
        <v>16</v>
      </c>
      <c r="H36" s="449">
        <v>23</v>
      </c>
      <c r="I36" s="449">
        <v>13</v>
      </c>
      <c r="J36" s="449">
        <v>0</v>
      </c>
      <c r="K36" s="449">
        <v>0</v>
      </c>
      <c r="L36" s="449">
        <v>0</v>
      </c>
      <c r="M36" s="449">
        <v>20</v>
      </c>
      <c r="N36" s="449">
        <v>0</v>
      </c>
      <c r="O36" s="449">
        <v>0</v>
      </c>
      <c r="P36" s="449">
        <v>0</v>
      </c>
      <c r="Q36" s="449">
        <v>0</v>
      </c>
      <c r="R36" s="449">
        <v>0</v>
      </c>
      <c r="S36" s="449">
        <v>0</v>
      </c>
      <c r="T36" s="450">
        <v>24</v>
      </c>
    </row>
    <row r="37" spans="1:20" ht="13">
      <c r="A37" s="457" t="s">
        <v>770</v>
      </c>
      <c r="B37" s="449">
        <v>0</v>
      </c>
      <c r="C37" s="449">
        <v>0</v>
      </c>
      <c r="D37" s="449">
        <v>0</v>
      </c>
      <c r="E37" s="449">
        <v>0</v>
      </c>
      <c r="F37" s="449">
        <v>0</v>
      </c>
      <c r="G37" s="449">
        <v>6</v>
      </c>
      <c r="H37" s="449">
        <v>23</v>
      </c>
      <c r="I37" s="449">
        <v>0</v>
      </c>
      <c r="J37" s="449">
        <v>0</v>
      </c>
      <c r="K37" s="447">
        <v>0</v>
      </c>
      <c r="L37" s="447">
        <v>0</v>
      </c>
      <c r="M37" s="447">
        <v>20</v>
      </c>
      <c r="N37" s="447">
        <v>0</v>
      </c>
      <c r="O37" s="447">
        <v>0</v>
      </c>
      <c r="P37" s="447">
        <v>0</v>
      </c>
      <c r="Q37" s="447">
        <v>0</v>
      </c>
      <c r="R37" s="447">
        <v>0</v>
      </c>
      <c r="S37" s="447">
        <v>0</v>
      </c>
      <c r="T37" s="448">
        <v>24</v>
      </c>
    </row>
    <row r="38" spans="1:2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8"/>
    </row>
    <row r="39" spans="1:20" ht="13">
      <c r="A39" s="446" t="s">
        <v>767</v>
      </c>
      <c r="B39" s="449">
        <v>296.29239895711891</v>
      </c>
      <c r="C39" s="449">
        <v>234.17502491760141</v>
      </c>
      <c r="D39" s="449">
        <v>353.1750269104453</v>
      </c>
      <c r="E39" s="449">
        <v>457.68949684811923</v>
      </c>
      <c r="F39" s="449">
        <v>659.86391425741795</v>
      </c>
      <c r="G39" s="449">
        <v>610.44775577253699</v>
      </c>
      <c r="H39" s="449">
        <v>716.9819036999836</v>
      </c>
      <c r="I39" s="449">
        <v>1226.9219695833181</v>
      </c>
      <c r="J39" s="449">
        <v>1650.5355765530103</v>
      </c>
      <c r="K39" s="449">
        <v>2471.4117938979753</v>
      </c>
      <c r="L39" s="449">
        <v>4003.5657422829663</v>
      </c>
      <c r="M39" s="449">
        <v>2694.8046752250348</v>
      </c>
      <c r="N39" s="449">
        <v>2139.9967815226496</v>
      </c>
      <c r="O39" s="449">
        <v>1597.3198186405641</v>
      </c>
      <c r="P39" s="449">
        <v>14462.178769683915</v>
      </c>
      <c r="Q39" s="449">
        <v>14881.736721119823</v>
      </c>
      <c r="R39" s="449">
        <v>30428.172618200952</v>
      </c>
      <c r="S39" s="449">
        <v>33697.233722206583</v>
      </c>
      <c r="T39" s="450">
        <v>32061.896484899731</v>
      </c>
    </row>
    <row r="40" spans="1:2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8"/>
    </row>
    <row r="41" spans="1:20" ht="13.5" thickBot="1">
      <c r="A41" s="452" t="s">
        <v>768</v>
      </c>
      <c r="B41" s="453">
        <v>-68.06</v>
      </c>
      <c r="C41" s="453">
        <v>57.25</v>
      </c>
      <c r="D41" s="453">
        <v>-72</v>
      </c>
      <c r="E41" s="453">
        <v>46.28</v>
      </c>
      <c r="F41" s="453">
        <v>-58.180000000000064</v>
      </c>
      <c r="G41" s="453">
        <v>170.97499999999999</v>
      </c>
      <c r="H41" s="453">
        <v>250.06</v>
      </c>
      <c r="I41" s="453">
        <v>-81.510000000000218</v>
      </c>
      <c r="J41" s="453">
        <v>122.47499999999999</v>
      </c>
      <c r="K41" s="453">
        <v>-90</v>
      </c>
      <c r="L41" s="453">
        <v>-1180</v>
      </c>
      <c r="M41" s="453">
        <v>-275</v>
      </c>
      <c r="N41" s="453">
        <v>159</v>
      </c>
      <c r="O41" s="453">
        <v>-943</v>
      </c>
      <c r="P41" s="453">
        <v>-13564</v>
      </c>
      <c r="Q41" s="453">
        <v>-13377</v>
      </c>
      <c r="R41" s="453">
        <v>-15631</v>
      </c>
      <c r="S41" s="453">
        <v>-14758.633143036794</v>
      </c>
      <c r="T41" s="454">
        <v>-7205.2507505264839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85" orientation="landscape" horizontalDpi="4294967292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FCF6-0765-4E90-8342-9EBF6A8AA3B6}">
  <sheetPr>
    <pageSetUpPr fitToPage="1"/>
  </sheetPr>
  <dimension ref="A1:AY41"/>
  <sheetViews>
    <sheetView showGridLines="0" workbookViewId="0">
      <selection activeCell="A14" sqref="A14"/>
    </sheetView>
  </sheetViews>
  <sheetFormatPr defaultRowHeight="12.5"/>
  <cols>
    <col min="1" max="1" width="50.81640625" style="396" customWidth="1"/>
    <col min="2" max="47" width="8.7265625" style="396"/>
    <col min="48" max="50" width="10.7265625" style="396" customWidth="1"/>
    <col min="51" max="256" width="8.7265625" style="396"/>
    <col min="257" max="257" width="50.81640625" style="396" customWidth="1"/>
    <col min="258" max="303" width="8.7265625" style="396"/>
    <col min="304" max="306" width="10.7265625" style="396" customWidth="1"/>
    <col min="307" max="512" width="8.7265625" style="396"/>
    <col min="513" max="513" width="50.81640625" style="396" customWidth="1"/>
    <col min="514" max="559" width="8.7265625" style="396"/>
    <col min="560" max="562" width="10.7265625" style="396" customWidth="1"/>
    <col min="563" max="768" width="8.7265625" style="396"/>
    <col min="769" max="769" width="50.81640625" style="396" customWidth="1"/>
    <col min="770" max="815" width="8.7265625" style="396"/>
    <col min="816" max="818" width="10.7265625" style="396" customWidth="1"/>
    <col min="819" max="1024" width="8.7265625" style="396"/>
    <col min="1025" max="1025" width="50.81640625" style="396" customWidth="1"/>
    <col min="1026" max="1071" width="8.7265625" style="396"/>
    <col min="1072" max="1074" width="10.7265625" style="396" customWidth="1"/>
    <col min="1075" max="1280" width="8.7265625" style="396"/>
    <col min="1281" max="1281" width="50.81640625" style="396" customWidth="1"/>
    <col min="1282" max="1327" width="8.7265625" style="396"/>
    <col min="1328" max="1330" width="10.7265625" style="396" customWidth="1"/>
    <col min="1331" max="1536" width="8.7265625" style="396"/>
    <col min="1537" max="1537" width="50.81640625" style="396" customWidth="1"/>
    <col min="1538" max="1583" width="8.7265625" style="396"/>
    <col min="1584" max="1586" width="10.7265625" style="396" customWidth="1"/>
    <col min="1587" max="1792" width="8.7265625" style="396"/>
    <col min="1793" max="1793" width="50.81640625" style="396" customWidth="1"/>
    <col min="1794" max="1839" width="8.7265625" style="396"/>
    <col min="1840" max="1842" width="10.7265625" style="396" customWidth="1"/>
    <col min="1843" max="2048" width="8.7265625" style="396"/>
    <col min="2049" max="2049" width="50.81640625" style="396" customWidth="1"/>
    <col min="2050" max="2095" width="8.7265625" style="396"/>
    <col min="2096" max="2098" width="10.7265625" style="396" customWidth="1"/>
    <col min="2099" max="2304" width="8.7265625" style="396"/>
    <col min="2305" max="2305" width="50.81640625" style="396" customWidth="1"/>
    <col min="2306" max="2351" width="8.7265625" style="396"/>
    <col min="2352" max="2354" width="10.7265625" style="396" customWidth="1"/>
    <col min="2355" max="2560" width="8.7265625" style="396"/>
    <col min="2561" max="2561" width="50.81640625" style="396" customWidth="1"/>
    <col min="2562" max="2607" width="8.7265625" style="396"/>
    <col min="2608" max="2610" width="10.7265625" style="396" customWidth="1"/>
    <col min="2611" max="2816" width="8.7265625" style="396"/>
    <col min="2817" max="2817" width="50.81640625" style="396" customWidth="1"/>
    <col min="2818" max="2863" width="8.7265625" style="396"/>
    <col min="2864" max="2866" width="10.7265625" style="396" customWidth="1"/>
    <col min="2867" max="3072" width="8.7265625" style="396"/>
    <col min="3073" max="3073" width="50.81640625" style="396" customWidth="1"/>
    <col min="3074" max="3119" width="8.7265625" style="396"/>
    <col min="3120" max="3122" width="10.7265625" style="396" customWidth="1"/>
    <col min="3123" max="3328" width="8.7265625" style="396"/>
    <col min="3329" max="3329" width="50.81640625" style="396" customWidth="1"/>
    <col min="3330" max="3375" width="8.7265625" style="396"/>
    <col min="3376" max="3378" width="10.7265625" style="396" customWidth="1"/>
    <col min="3379" max="3584" width="8.7265625" style="396"/>
    <col min="3585" max="3585" width="50.81640625" style="396" customWidth="1"/>
    <col min="3586" max="3631" width="8.7265625" style="396"/>
    <col min="3632" max="3634" width="10.7265625" style="396" customWidth="1"/>
    <col min="3635" max="3840" width="8.7265625" style="396"/>
    <col min="3841" max="3841" width="50.81640625" style="396" customWidth="1"/>
    <col min="3842" max="3887" width="8.7265625" style="396"/>
    <col min="3888" max="3890" width="10.7265625" style="396" customWidth="1"/>
    <col min="3891" max="4096" width="8.7265625" style="396"/>
    <col min="4097" max="4097" width="50.81640625" style="396" customWidth="1"/>
    <col min="4098" max="4143" width="8.7265625" style="396"/>
    <col min="4144" max="4146" width="10.7265625" style="396" customWidth="1"/>
    <col min="4147" max="4352" width="8.7265625" style="396"/>
    <col min="4353" max="4353" width="50.81640625" style="396" customWidth="1"/>
    <col min="4354" max="4399" width="8.7265625" style="396"/>
    <col min="4400" max="4402" width="10.7265625" style="396" customWidth="1"/>
    <col min="4403" max="4608" width="8.7265625" style="396"/>
    <col min="4609" max="4609" width="50.81640625" style="396" customWidth="1"/>
    <col min="4610" max="4655" width="8.7265625" style="396"/>
    <col min="4656" max="4658" width="10.7265625" style="396" customWidth="1"/>
    <col min="4659" max="4864" width="8.7265625" style="396"/>
    <col min="4865" max="4865" width="50.81640625" style="396" customWidth="1"/>
    <col min="4866" max="4911" width="8.7265625" style="396"/>
    <col min="4912" max="4914" width="10.7265625" style="396" customWidth="1"/>
    <col min="4915" max="5120" width="8.7265625" style="396"/>
    <col min="5121" max="5121" width="50.81640625" style="396" customWidth="1"/>
    <col min="5122" max="5167" width="8.7265625" style="396"/>
    <col min="5168" max="5170" width="10.7265625" style="396" customWidth="1"/>
    <col min="5171" max="5376" width="8.7265625" style="396"/>
    <col min="5377" max="5377" width="50.81640625" style="396" customWidth="1"/>
    <col min="5378" max="5423" width="8.7265625" style="396"/>
    <col min="5424" max="5426" width="10.7265625" style="396" customWidth="1"/>
    <col min="5427" max="5632" width="8.7265625" style="396"/>
    <col min="5633" max="5633" width="50.81640625" style="396" customWidth="1"/>
    <col min="5634" max="5679" width="8.7265625" style="396"/>
    <col min="5680" max="5682" width="10.7265625" style="396" customWidth="1"/>
    <col min="5683" max="5888" width="8.7265625" style="396"/>
    <col min="5889" max="5889" width="50.81640625" style="396" customWidth="1"/>
    <col min="5890" max="5935" width="8.7265625" style="396"/>
    <col min="5936" max="5938" width="10.7265625" style="396" customWidth="1"/>
    <col min="5939" max="6144" width="8.7265625" style="396"/>
    <col min="6145" max="6145" width="50.81640625" style="396" customWidth="1"/>
    <col min="6146" max="6191" width="8.7265625" style="396"/>
    <col min="6192" max="6194" width="10.7265625" style="396" customWidth="1"/>
    <col min="6195" max="6400" width="8.7265625" style="396"/>
    <col min="6401" max="6401" width="50.81640625" style="396" customWidth="1"/>
    <col min="6402" max="6447" width="8.7265625" style="396"/>
    <col min="6448" max="6450" width="10.7265625" style="396" customWidth="1"/>
    <col min="6451" max="6656" width="8.7265625" style="396"/>
    <col min="6657" max="6657" width="50.81640625" style="396" customWidth="1"/>
    <col min="6658" max="6703" width="8.7265625" style="396"/>
    <col min="6704" max="6706" width="10.7265625" style="396" customWidth="1"/>
    <col min="6707" max="6912" width="8.7265625" style="396"/>
    <col min="6913" max="6913" width="50.81640625" style="396" customWidth="1"/>
    <col min="6914" max="6959" width="8.7265625" style="396"/>
    <col min="6960" max="6962" width="10.7265625" style="396" customWidth="1"/>
    <col min="6963" max="7168" width="8.7265625" style="396"/>
    <col min="7169" max="7169" width="50.81640625" style="396" customWidth="1"/>
    <col min="7170" max="7215" width="8.7265625" style="396"/>
    <col min="7216" max="7218" width="10.7265625" style="396" customWidth="1"/>
    <col min="7219" max="7424" width="8.7265625" style="396"/>
    <col min="7425" max="7425" width="50.81640625" style="396" customWidth="1"/>
    <col min="7426" max="7471" width="8.7265625" style="396"/>
    <col min="7472" max="7474" width="10.7265625" style="396" customWidth="1"/>
    <col min="7475" max="7680" width="8.7265625" style="396"/>
    <col min="7681" max="7681" width="50.81640625" style="396" customWidth="1"/>
    <col min="7682" max="7727" width="8.7265625" style="396"/>
    <col min="7728" max="7730" width="10.7265625" style="396" customWidth="1"/>
    <col min="7731" max="7936" width="8.7265625" style="396"/>
    <col min="7937" max="7937" width="50.81640625" style="396" customWidth="1"/>
    <col min="7938" max="7983" width="8.7265625" style="396"/>
    <col min="7984" max="7986" width="10.7265625" style="396" customWidth="1"/>
    <col min="7987" max="8192" width="8.7265625" style="396"/>
    <col min="8193" max="8193" width="50.81640625" style="396" customWidth="1"/>
    <col min="8194" max="8239" width="8.7265625" style="396"/>
    <col min="8240" max="8242" width="10.7265625" style="396" customWidth="1"/>
    <col min="8243" max="8448" width="8.7265625" style="396"/>
    <col min="8449" max="8449" width="50.81640625" style="396" customWidth="1"/>
    <col min="8450" max="8495" width="8.7265625" style="396"/>
    <col min="8496" max="8498" width="10.7265625" style="396" customWidth="1"/>
    <col min="8499" max="8704" width="8.7265625" style="396"/>
    <col min="8705" max="8705" width="50.81640625" style="396" customWidth="1"/>
    <col min="8706" max="8751" width="8.7265625" style="396"/>
    <col min="8752" max="8754" width="10.7265625" style="396" customWidth="1"/>
    <col min="8755" max="8960" width="8.7265625" style="396"/>
    <col min="8961" max="8961" width="50.81640625" style="396" customWidth="1"/>
    <col min="8962" max="9007" width="8.7265625" style="396"/>
    <col min="9008" max="9010" width="10.7265625" style="396" customWidth="1"/>
    <col min="9011" max="9216" width="8.7265625" style="396"/>
    <col min="9217" max="9217" width="50.81640625" style="396" customWidth="1"/>
    <col min="9218" max="9263" width="8.7265625" style="396"/>
    <col min="9264" max="9266" width="10.7265625" style="396" customWidth="1"/>
    <col min="9267" max="9472" width="8.7265625" style="396"/>
    <col min="9473" max="9473" width="50.81640625" style="396" customWidth="1"/>
    <col min="9474" max="9519" width="8.7265625" style="396"/>
    <col min="9520" max="9522" width="10.7265625" style="396" customWidth="1"/>
    <col min="9523" max="9728" width="8.7265625" style="396"/>
    <col min="9729" max="9729" width="50.81640625" style="396" customWidth="1"/>
    <col min="9730" max="9775" width="8.7265625" style="396"/>
    <col min="9776" max="9778" width="10.7265625" style="396" customWidth="1"/>
    <col min="9779" max="9984" width="8.7265625" style="396"/>
    <col min="9985" max="9985" width="50.81640625" style="396" customWidth="1"/>
    <col min="9986" max="10031" width="8.7265625" style="396"/>
    <col min="10032" max="10034" width="10.7265625" style="396" customWidth="1"/>
    <col min="10035" max="10240" width="8.7265625" style="396"/>
    <col min="10241" max="10241" width="50.81640625" style="396" customWidth="1"/>
    <col min="10242" max="10287" width="8.7265625" style="396"/>
    <col min="10288" max="10290" width="10.7265625" style="396" customWidth="1"/>
    <col min="10291" max="10496" width="8.7265625" style="396"/>
    <col min="10497" max="10497" width="50.81640625" style="396" customWidth="1"/>
    <col min="10498" max="10543" width="8.7265625" style="396"/>
    <col min="10544" max="10546" width="10.7265625" style="396" customWidth="1"/>
    <col min="10547" max="10752" width="8.7265625" style="396"/>
    <col min="10753" max="10753" width="50.81640625" style="396" customWidth="1"/>
    <col min="10754" max="10799" width="8.7265625" style="396"/>
    <col min="10800" max="10802" width="10.7265625" style="396" customWidth="1"/>
    <col min="10803" max="11008" width="8.7265625" style="396"/>
    <col min="11009" max="11009" width="50.81640625" style="396" customWidth="1"/>
    <col min="11010" max="11055" width="8.7265625" style="396"/>
    <col min="11056" max="11058" width="10.7265625" style="396" customWidth="1"/>
    <col min="11059" max="11264" width="8.7265625" style="396"/>
    <col min="11265" max="11265" width="50.81640625" style="396" customWidth="1"/>
    <col min="11266" max="11311" width="8.7265625" style="396"/>
    <col min="11312" max="11314" width="10.7265625" style="396" customWidth="1"/>
    <col min="11315" max="11520" width="8.7265625" style="396"/>
    <col min="11521" max="11521" width="50.81640625" style="396" customWidth="1"/>
    <col min="11522" max="11567" width="8.7265625" style="396"/>
    <col min="11568" max="11570" width="10.7265625" style="396" customWidth="1"/>
    <col min="11571" max="11776" width="8.7265625" style="396"/>
    <col min="11777" max="11777" width="50.81640625" style="396" customWidth="1"/>
    <col min="11778" max="11823" width="8.7265625" style="396"/>
    <col min="11824" max="11826" width="10.7265625" style="396" customWidth="1"/>
    <col min="11827" max="12032" width="8.7265625" style="396"/>
    <col min="12033" max="12033" width="50.81640625" style="396" customWidth="1"/>
    <col min="12034" max="12079" width="8.7265625" style="396"/>
    <col min="12080" max="12082" width="10.7265625" style="396" customWidth="1"/>
    <col min="12083" max="12288" width="8.7265625" style="396"/>
    <col min="12289" max="12289" width="50.81640625" style="396" customWidth="1"/>
    <col min="12290" max="12335" width="8.7265625" style="396"/>
    <col min="12336" max="12338" width="10.7265625" style="396" customWidth="1"/>
    <col min="12339" max="12544" width="8.7265625" style="396"/>
    <col min="12545" max="12545" width="50.81640625" style="396" customWidth="1"/>
    <col min="12546" max="12591" width="8.7265625" style="396"/>
    <col min="12592" max="12594" width="10.7265625" style="396" customWidth="1"/>
    <col min="12595" max="12800" width="8.7265625" style="396"/>
    <col min="12801" max="12801" width="50.81640625" style="396" customWidth="1"/>
    <col min="12802" max="12847" width="8.7265625" style="396"/>
    <col min="12848" max="12850" width="10.7265625" style="396" customWidth="1"/>
    <col min="12851" max="13056" width="8.7265625" style="396"/>
    <col min="13057" max="13057" width="50.81640625" style="396" customWidth="1"/>
    <col min="13058" max="13103" width="8.7265625" style="396"/>
    <col min="13104" max="13106" width="10.7265625" style="396" customWidth="1"/>
    <col min="13107" max="13312" width="8.7265625" style="396"/>
    <col min="13313" max="13313" width="50.81640625" style="396" customWidth="1"/>
    <col min="13314" max="13359" width="8.7265625" style="396"/>
    <col min="13360" max="13362" width="10.7265625" style="396" customWidth="1"/>
    <col min="13363" max="13568" width="8.7265625" style="396"/>
    <col min="13569" max="13569" width="50.81640625" style="396" customWidth="1"/>
    <col min="13570" max="13615" width="8.7265625" style="396"/>
    <col min="13616" max="13618" width="10.7265625" style="396" customWidth="1"/>
    <col min="13619" max="13824" width="8.7265625" style="396"/>
    <col min="13825" max="13825" width="50.81640625" style="396" customWidth="1"/>
    <col min="13826" max="13871" width="8.7265625" style="396"/>
    <col min="13872" max="13874" width="10.7265625" style="396" customWidth="1"/>
    <col min="13875" max="14080" width="8.7265625" style="396"/>
    <col min="14081" max="14081" width="50.81640625" style="396" customWidth="1"/>
    <col min="14082" max="14127" width="8.7265625" style="396"/>
    <col min="14128" max="14130" width="10.7265625" style="396" customWidth="1"/>
    <col min="14131" max="14336" width="8.7265625" style="396"/>
    <col min="14337" max="14337" width="50.81640625" style="396" customWidth="1"/>
    <col min="14338" max="14383" width="8.7265625" style="396"/>
    <col min="14384" max="14386" width="10.7265625" style="396" customWidth="1"/>
    <col min="14387" max="14592" width="8.7265625" style="396"/>
    <col min="14593" max="14593" width="50.81640625" style="396" customWidth="1"/>
    <col min="14594" max="14639" width="8.7265625" style="396"/>
    <col min="14640" max="14642" width="10.7265625" style="396" customWidth="1"/>
    <col min="14643" max="14848" width="8.7265625" style="396"/>
    <col min="14849" max="14849" width="50.81640625" style="396" customWidth="1"/>
    <col min="14850" max="14895" width="8.7265625" style="396"/>
    <col min="14896" max="14898" width="10.7265625" style="396" customWidth="1"/>
    <col min="14899" max="15104" width="8.7265625" style="396"/>
    <col min="15105" max="15105" width="50.81640625" style="396" customWidth="1"/>
    <col min="15106" max="15151" width="8.7265625" style="396"/>
    <col min="15152" max="15154" width="10.7265625" style="396" customWidth="1"/>
    <col min="15155" max="15360" width="8.7265625" style="396"/>
    <col min="15361" max="15361" width="50.81640625" style="396" customWidth="1"/>
    <col min="15362" max="15407" width="8.7265625" style="396"/>
    <col min="15408" max="15410" width="10.7265625" style="396" customWidth="1"/>
    <col min="15411" max="15616" width="8.7265625" style="396"/>
    <col min="15617" max="15617" width="50.81640625" style="396" customWidth="1"/>
    <col min="15618" max="15663" width="8.7265625" style="396"/>
    <col min="15664" max="15666" width="10.7265625" style="396" customWidth="1"/>
    <col min="15667" max="15872" width="8.7265625" style="396"/>
    <col min="15873" max="15873" width="50.81640625" style="396" customWidth="1"/>
    <col min="15874" max="15919" width="8.7265625" style="396"/>
    <col min="15920" max="15922" width="10.7265625" style="396" customWidth="1"/>
    <col min="15923" max="16128" width="8.7265625" style="396"/>
    <col min="16129" max="16129" width="50.81640625" style="396" customWidth="1"/>
    <col min="16130" max="16175" width="8.7265625" style="396"/>
    <col min="16176" max="16178" width="10.7265625" style="396" customWidth="1"/>
    <col min="16179" max="16384" width="8.7265625" style="396"/>
  </cols>
  <sheetData>
    <row r="1" spans="1:51" ht="13">
      <c r="A1" s="440" t="s">
        <v>788</v>
      </c>
    </row>
    <row r="2" spans="1:51" ht="13">
      <c r="A2" s="395" t="s">
        <v>192</v>
      </c>
      <c r="B2" s="395"/>
      <c r="C2" s="395"/>
      <c r="D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  <c r="AW2" s="395"/>
      <c r="AX2" s="395"/>
    </row>
    <row r="3" spans="1:51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</row>
    <row r="4" spans="1:51" ht="13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1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1" ht="13">
      <c r="A6" s="446" t="s">
        <v>749</v>
      </c>
      <c r="B6" s="449">
        <v>618.46639834909365</v>
      </c>
      <c r="C6" s="449">
        <v>698.53812514140418</v>
      </c>
      <c r="D6" s="449">
        <v>753.24608022164819</v>
      </c>
      <c r="E6" s="449">
        <v>797.74112667865165</v>
      </c>
      <c r="F6" s="449">
        <v>842.80437749283283</v>
      </c>
      <c r="G6" s="449">
        <v>873.01735154837922</v>
      </c>
      <c r="H6" s="449">
        <v>961.22875973930707</v>
      </c>
      <c r="I6" s="449">
        <v>970.23327866196689</v>
      </c>
      <c r="J6" s="449">
        <v>1067.0370012701167</v>
      </c>
      <c r="K6" s="449">
        <v>1152.0756119981902</v>
      </c>
      <c r="L6" s="449">
        <v>1230.5053265390368</v>
      </c>
      <c r="M6" s="449">
        <v>1335.3252859018255</v>
      </c>
      <c r="N6" s="449">
        <v>1381.5720687999051</v>
      </c>
      <c r="O6" s="449">
        <v>1468.9547628453129</v>
      </c>
      <c r="P6" s="449">
        <v>1531.2500381914444</v>
      </c>
      <c r="Q6" s="449">
        <v>1687.362989279769</v>
      </c>
      <c r="R6" s="449">
        <v>1732.2551112793892</v>
      </c>
      <c r="S6" s="449">
        <v>1918.2671651588689</v>
      </c>
      <c r="T6" s="449">
        <v>2080.41116028224</v>
      </c>
      <c r="U6" s="449">
        <v>2410.0002440128642</v>
      </c>
      <c r="V6" s="449">
        <v>2584.3003149709452</v>
      </c>
      <c r="W6" s="449">
        <v>2846.8531675565737</v>
      </c>
      <c r="X6" s="449">
        <v>3198.0542549793577</v>
      </c>
      <c r="Y6" s="449">
        <v>3772.2206256582158</v>
      </c>
      <c r="Z6" s="449">
        <v>3898.0665385436196</v>
      </c>
      <c r="AA6" s="449">
        <v>4224.4134791230254</v>
      </c>
      <c r="AB6" s="449">
        <v>4798.619472902129</v>
      </c>
      <c r="AC6" s="449">
        <v>6034.1669867143009</v>
      </c>
      <c r="AD6" s="449">
        <v>8798.1584661290253</v>
      </c>
      <c r="AE6" s="449">
        <v>10273.092038917472</v>
      </c>
      <c r="AF6" s="449">
        <v>13766.651179361317</v>
      </c>
      <c r="AG6" s="449">
        <v>15786.500470995205</v>
      </c>
      <c r="AH6" s="449">
        <v>26760.716873319419</v>
      </c>
      <c r="AI6" s="449">
        <v>32408.255858322304</v>
      </c>
      <c r="AJ6" s="449">
        <v>41040.703939094761</v>
      </c>
      <c r="AK6" s="449">
        <v>56467.09990299042</v>
      </c>
      <c r="AL6" s="449">
        <v>70498.427041503324</v>
      </c>
      <c r="AM6" s="449">
        <v>88199.852247187067</v>
      </c>
      <c r="AN6" s="449">
        <v>113154.07878292692</v>
      </c>
      <c r="AO6" s="449">
        <v>140622.85615197395</v>
      </c>
      <c r="AP6" s="449">
        <v>192525.50490547752</v>
      </c>
      <c r="AQ6" s="449">
        <v>242375.52486230782</v>
      </c>
      <c r="AR6" s="449">
        <v>280235.38678314618</v>
      </c>
      <c r="AS6" s="449">
        <v>321797.49129026849</v>
      </c>
      <c r="AT6" s="449">
        <v>378766.85273749498</v>
      </c>
      <c r="AU6" s="449">
        <v>476359.64348911599</v>
      </c>
      <c r="AV6" s="449">
        <v>494090.28700796852</v>
      </c>
      <c r="AW6" s="449">
        <v>507776.25422105432</v>
      </c>
      <c r="AX6" s="450">
        <v>561971.1174962942</v>
      </c>
      <c r="AY6" s="456"/>
    </row>
    <row r="7" spans="1:51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  <c r="AY7" s="456"/>
    </row>
    <row r="8" spans="1:51" ht="13">
      <c r="A8" s="451" t="s">
        <v>750</v>
      </c>
      <c r="B8" s="449">
        <v>336.78003132056006</v>
      </c>
      <c r="C8" s="449">
        <v>377.32213332773188</v>
      </c>
      <c r="D8" s="449">
        <v>410.00046782830873</v>
      </c>
      <c r="E8" s="449">
        <v>431.68626984863261</v>
      </c>
      <c r="F8" s="449">
        <v>436.1</v>
      </c>
      <c r="G8" s="449">
        <v>473.6</v>
      </c>
      <c r="H8" s="449">
        <v>533.1</v>
      </c>
      <c r="I8" s="449">
        <v>543.70000000000005</v>
      </c>
      <c r="J8" s="449">
        <v>564.4</v>
      </c>
      <c r="K8" s="449">
        <v>617.5</v>
      </c>
      <c r="L8" s="449">
        <v>661.1</v>
      </c>
      <c r="M8" s="449">
        <v>702</v>
      </c>
      <c r="N8" s="449">
        <v>733.2</v>
      </c>
      <c r="O8" s="449">
        <v>798.2</v>
      </c>
      <c r="P8" s="449">
        <v>787.1</v>
      </c>
      <c r="Q8" s="449">
        <v>901.3</v>
      </c>
      <c r="R8" s="449">
        <v>894.8</v>
      </c>
      <c r="S8" s="449">
        <v>1040.9000000000001</v>
      </c>
      <c r="T8" s="449">
        <v>1161.9000000000001</v>
      </c>
      <c r="U8" s="449">
        <v>1437.2</v>
      </c>
      <c r="V8" s="449">
        <v>1509</v>
      </c>
      <c r="W8" s="449">
        <v>1689</v>
      </c>
      <c r="X8" s="449">
        <v>1928</v>
      </c>
      <c r="Y8" s="449">
        <v>2259.6</v>
      </c>
      <c r="Z8" s="449">
        <v>2223.1999999999998</v>
      </c>
      <c r="AA8" s="449">
        <v>2275.8000000000002</v>
      </c>
      <c r="AB8" s="449">
        <v>2416.5</v>
      </c>
      <c r="AC8" s="449">
        <v>2829.2</v>
      </c>
      <c r="AD8" s="449">
        <v>3007.5</v>
      </c>
      <c r="AE8" s="449">
        <v>3126</v>
      </c>
      <c r="AF8" s="449">
        <v>4913.8460000000005</v>
      </c>
      <c r="AG8" s="449">
        <v>6504.7701098778061</v>
      </c>
      <c r="AH8" s="449">
        <v>9981.6155463647174</v>
      </c>
      <c r="AI8" s="449">
        <v>9347.5244999999995</v>
      </c>
      <c r="AJ8" s="449">
        <v>11068.940999999999</v>
      </c>
      <c r="AK8" s="449">
        <v>14027.715</v>
      </c>
      <c r="AL8" s="449">
        <v>17326.261399999999</v>
      </c>
      <c r="AM8" s="449">
        <v>22245.688999999998</v>
      </c>
      <c r="AN8" s="449">
        <v>27608.201999999997</v>
      </c>
      <c r="AO8" s="449">
        <v>31105</v>
      </c>
      <c r="AP8" s="449">
        <v>38310</v>
      </c>
      <c r="AQ8" s="449">
        <v>53207</v>
      </c>
      <c r="AR8" s="449">
        <v>60809</v>
      </c>
      <c r="AS8" s="449">
        <v>72589</v>
      </c>
      <c r="AT8" s="449">
        <v>86170</v>
      </c>
      <c r="AU8" s="449">
        <v>107459</v>
      </c>
      <c r="AV8" s="449">
        <v>110320</v>
      </c>
      <c r="AW8" s="449">
        <v>116745</v>
      </c>
      <c r="AX8" s="450">
        <v>130989</v>
      </c>
      <c r="AY8" s="456"/>
    </row>
    <row r="9" spans="1:51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7">
        <v>0</v>
      </c>
      <c r="U9" s="447">
        <v>0</v>
      </c>
      <c r="V9" s="447">
        <v>0</v>
      </c>
      <c r="W9" s="447">
        <v>0</v>
      </c>
      <c r="X9" s="447">
        <v>0</v>
      </c>
      <c r="Y9" s="447">
        <v>0</v>
      </c>
      <c r="Z9" s="447">
        <v>0</v>
      </c>
      <c r="AA9" s="447">
        <v>0</v>
      </c>
      <c r="AB9" s="447">
        <v>0</v>
      </c>
      <c r="AC9" s="447">
        <v>0</v>
      </c>
      <c r="AD9" s="447">
        <v>0</v>
      </c>
      <c r="AE9" s="447">
        <v>0</v>
      </c>
      <c r="AF9" s="447">
        <v>0</v>
      </c>
      <c r="AG9" s="447">
        <v>0</v>
      </c>
      <c r="AH9" s="447">
        <v>0</v>
      </c>
      <c r="AI9" s="447">
        <v>0</v>
      </c>
      <c r="AJ9" s="447">
        <v>0</v>
      </c>
      <c r="AK9" s="447">
        <v>0</v>
      </c>
      <c r="AL9" s="447">
        <v>0</v>
      </c>
      <c r="AM9" s="447">
        <v>0</v>
      </c>
      <c r="AN9" s="447">
        <v>0</v>
      </c>
      <c r="AO9" s="447">
        <v>561</v>
      </c>
      <c r="AP9" s="447">
        <v>138</v>
      </c>
      <c r="AQ9" s="447">
        <v>140</v>
      </c>
      <c r="AR9" s="447">
        <v>175</v>
      </c>
      <c r="AS9" s="447">
        <v>222</v>
      </c>
      <c r="AT9" s="447">
        <v>46</v>
      </c>
      <c r="AU9" s="447">
        <v>68</v>
      </c>
      <c r="AV9" s="447">
        <v>26</v>
      </c>
      <c r="AW9" s="447">
        <v>8</v>
      </c>
      <c r="AX9" s="448">
        <v>30</v>
      </c>
      <c r="AY9" s="456"/>
    </row>
    <row r="10" spans="1:51" ht="13">
      <c r="A10" s="451" t="s">
        <v>752</v>
      </c>
      <c r="B10" s="449">
        <v>117.02682473395375</v>
      </c>
      <c r="C10" s="449">
        <v>121.94286128580818</v>
      </c>
      <c r="D10" s="449">
        <v>124.14601202268493</v>
      </c>
      <c r="E10" s="449">
        <v>131.24729818932263</v>
      </c>
      <c r="F10" s="449">
        <v>136.94579159124919</v>
      </c>
      <c r="G10" s="449">
        <v>127.5311186690611</v>
      </c>
      <c r="H10" s="449">
        <v>138.16861859865534</v>
      </c>
      <c r="I10" s="449">
        <v>116.26888007282345</v>
      </c>
      <c r="J10" s="449">
        <v>160.27185497345818</v>
      </c>
      <c r="K10" s="449">
        <v>169.61208241696028</v>
      </c>
      <c r="L10" s="449">
        <v>182.49127407626185</v>
      </c>
      <c r="M10" s="449">
        <v>186.09852184005362</v>
      </c>
      <c r="N10" s="449">
        <v>189.07313020797881</v>
      </c>
      <c r="O10" s="449">
        <v>185.45658410008903</v>
      </c>
      <c r="P10" s="449">
        <v>210.00864724604455</v>
      </c>
      <c r="Q10" s="449">
        <v>205.45230995590418</v>
      </c>
      <c r="R10" s="449">
        <v>217.85669101211752</v>
      </c>
      <c r="S10" s="449">
        <v>243.79622743006598</v>
      </c>
      <c r="T10" s="449">
        <v>247.26671899170151</v>
      </c>
      <c r="U10" s="449">
        <v>253.13514740738154</v>
      </c>
      <c r="V10" s="449">
        <v>297.57298235570505</v>
      </c>
      <c r="W10" s="449">
        <v>319.68873118479667</v>
      </c>
      <c r="X10" s="449">
        <v>309.7</v>
      </c>
      <c r="Y10" s="449">
        <v>380.5</v>
      </c>
      <c r="Z10" s="449">
        <v>374.9</v>
      </c>
      <c r="AA10" s="449">
        <v>404.7</v>
      </c>
      <c r="AB10" s="449">
        <v>476.9</v>
      </c>
      <c r="AC10" s="449">
        <v>442.2</v>
      </c>
      <c r="AD10" s="449">
        <v>397</v>
      </c>
      <c r="AE10" s="449">
        <v>459.4</v>
      </c>
      <c r="AF10" s="449">
        <v>2032.4190000000001</v>
      </c>
      <c r="AG10" s="449">
        <v>2366.5084502217933</v>
      </c>
      <c r="AH10" s="449">
        <v>3165.6600916488633</v>
      </c>
      <c r="AI10" s="449">
        <v>4032.5315000000001</v>
      </c>
      <c r="AJ10" s="449">
        <v>5931.5435000000007</v>
      </c>
      <c r="AK10" s="449">
        <v>7986.5740000000005</v>
      </c>
      <c r="AL10" s="449">
        <v>10225.0941</v>
      </c>
      <c r="AM10" s="449">
        <v>12451.550499999999</v>
      </c>
      <c r="AN10" s="449">
        <v>15460.6085</v>
      </c>
      <c r="AO10" s="449">
        <v>22721</v>
      </c>
      <c r="AP10" s="449">
        <v>51101</v>
      </c>
      <c r="AQ10" s="449">
        <v>68459</v>
      </c>
      <c r="AR10" s="449">
        <v>79382</v>
      </c>
      <c r="AS10" s="449">
        <v>98863</v>
      </c>
      <c r="AT10" s="449">
        <v>110381</v>
      </c>
      <c r="AU10" s="449">
        <v>140773</v>
      </c>
      <c r="AV10" s="449">
        <v>145469</v>
      </c>
      <c r="AW10" s="449">
        <v>153539</v>
      </c>
      <c r="AX10" s="450">
        <v>166577</v>
      </c>
      <c r="AY10" s="456"/>
    </row>
    <row r="11" spans="1:51" ht="13">
      <c r="A11" s="446" t="s">
        <v>753</v>
      </c>
      <c r="B11" s="449">
        <v>74.012900657554965</v>
      </c>
      <c r="C11" s="449">
        <v>89.358627453719961</v>
      </c>
      <c r="D11" s="449">
        <v>96.378140408356302</v>
      </c>
      <c r="E11" s="449">
        <v>102.96890673160283</v>
      </c>
      <c r="F11" s="449">
        <v>111.15593626272407</v>
      </c>
      <c r="G11" s="449">
        <v>117.05933950994574</v>
      </c>
      <c r="H11" s="449">
        <v>132.65878636080348</v>
      </c>
      <c r="I11" s="449">
        <v>142.42842348990436</v>
      </c>
      <c r="J11" s="449">
        <v>154.92635945791829</v>
      </c>
      <c r="K11" s="449">
        <v>164.02146488889082</v>
      </c>
      <c r="L11" s="449">
        <v>176.7859449867255</v>
      </c>
      <c r="M11" s="449">
        <v>183.59950605127457</v>
      </c>
      <c r="N11" s="449">
        <v>181.72435189696111</v>
      </c>
      <c r="O11" s="449">
        <v>195.22392926775728</v>
      </c>
      <c r="P11" s="449">
        <v>213.1006464918226</v>
      </c>
      <c r="Q11" s="449">
        <v>248.81559505932825</v>
      </c>
      <c r="R11" s="449">
        <v>254.62025075211227</v>
      </c>
      <c r="S11" s="449">
        <v>261.22451658833455</v>
      </c>
      <c r="T11" s="449">
        <v>291.30544535805075</v>
      </c>
      <c r="U11" s="449">
        <v>314.36576869021349</v>
      </c>
      <c r="V11" s="449">
        <v>325.50502163815662</v>
      </c>
      <c r="W11" s="449">
        <v>337.56731092634834</v>
      </c>
      <c r="X11" s="449">
        <v>409.6</v>
      </c>
      <c r="Y11" s="449">
        <v>453.935</v>
      </c>
      <c r="Z11" s="449">
        <v>497.93799999999999</v>
      </c>
      <c r="AA11" s="449">
        <v>519.79999999999995</v>
      </c>
      <c r="AB11" s="449">
        <v>597.6</v>
      </c>
      <c r="AC11" s="449">
        <v>469.65</v>
      </c>
      <c r="AD11" s="449">
        <v>401.46299999999997</v>
      </c>
      <c r="AE11" s="449">
        <v>462.5139999999999</v>
      </c>
      <c r="AF11" s="449">
        <v>439.17700000000002</v>
      </c>
      <c r="AG11" s="449">
        <v>547.05964345327982</v>
      </c>
      <c r="AH11" s="449">
        <v>477.03367447043291</v>
      </c>
      <c r="AI11" s="449">
        <v>510.18863999999996</v>
      </c>
      <c r="AJ11" s="449">
        <v>1055.2386799999999</v>
      </c>
      <c r="AK11" s="449">
        <v>1769.2310599999998</v>
      </c>
      <c r="AL11" s="449">
        <v>1981.2015999999999</v>
      </c>
      <c r="AM11" s="449">
        <v>3043.482</v>
      </c>
      <c r="AN11" s="449">
        <v>3637.8624</v>
      </c>
      <c r="AO11" s="449">
        <v>3902</v>
      </c>
      <c r="AP11" s="449">
        <v>6571</v>
      </c>
      <c r="AQ11" s="449">
        <v>10066</v>
      </c>
      <c r="AR11" s="449">
        <v>10817</v>
      </c>
      <c r="AS11" s="449">
        <v>14944</v>
      </c>
      <c r="AT11" s="449">
        <v>14111</v>
      </c>
      <c r="AU11" s="449">
        <v>28767</v>
      </c>
      <c r="AV11" s="449">
        <v>28922</v>
      </c>
      <c r="AW11" s="449">
        <v>31357</v>
      </c>
      <c r="AX11" s="450">
        <v>36011</v>
      </c>
      <c r="AY11" s="456"/>
    </row>
    <row r="12" spans="1:51" ht="13">
      <c r="A12" s="446" t="s">
        <v>754</v>
      </c>
      <c r="B12" s="449">
        <v>18.489272141122669</v>
      </c>
      <c r="C12" s="449">
        <v>20.43671617861316</v>
      </c>
      <c r="D12" s="449">
        <v>22.822898211635582</v>
      </c>
      <c r="E12" s="449">
        <v>24.891475688618605</v>
      </c>
      <c r="F12" s="449">
        <v>29.022950888164292</v>
      </c>
      <c r="G12" s="449">
        <v>33.216228523423752</v>
      </c>
      <c r="H12" s="449">
        <v>37.655808155286948</v>
      </c>
      <c r="I12" s="449">
        <v>41.578900744227127</v>
      </c>
      <c r="J12" s="449">
        <v>46.376178538589009</v>
      </c>
      <c r="K12" s="449">
        <v>51.63446018177099</v>
      </c>
      <c r="L12" s="449">
        <v>56.8204246057918</v>
      </c>
      <c r="M12" s="449">
        <v>61.477906104757757</v>
      </c>
      <c r="N12" s="449">
        <v>66.783450080365</v>
      </c>
      <c r="O12" s="449">
        <v>73.549820630509771</v>
      </c>
      <c r="P12" s="449">
        <v>81.90222336092333</v>
      </c>
      <c r="Q12" s="449">
        <v>89.085738942106929</v>
      </c>
      <c r="R12" s="449">
        <v>103.32954586581684</v>
      </c>
      <c r="S12" s="449">
        <v>110.44031898998927</v>
      </c>
      <c r="T12" s="449">
        <v>119.81848092028484</v>
      </c>
      <c r="U12" s="449">
        <v>132.15674658693302</v>
      </c>
      <c r="V12" s="449">
        <v>158.80257698956297</v>
      </c>
      <c r="W12" s="449">
        <v>168.66182207314654</v>
      </c>
      <c r="X12" s="449">
        <v>181.11599349471859</v>
      </c>
      <c r="Y12" s="449">
        <v>198.17067650425486</v>
      </c>
      <c r="Z12" s="449">
        <v>230.28282918018851</v>
      </c>
      <c r="AA12" s="449">
        <v>279.00022332133506</v>
      </c>
      <c r="AB12" s="449">
        <v>322.20787959627899</v>
      </c>
      <c r="AC12" s="449">
        <v>408.64897243487155</v>
      </c>
      <c r="AD12" s="449">
        <v>523.3664804202881</v>
      </c>
      <c r="AE12" s="449">
        <v>657.65119473297455</v>
      </c>
      <c r="AF12" s="449">
        <v>915.19521100021689</v>
      </c>
      <c r="AG12" s="449">
        <v>1305.5738779612684</v>
      </c>
      <c r="AH12" s="449">
        <v>1870.7163380309712</v>
      </c>
      <c r="AI12" s="449">
        <v>2919.9276191207673</v>
      </c>
      <c r="AJ12" s="449">
        <v>4454.8063175492316</v>
      </c>
      <c r="AK12" s="449">
        <v>6385.7642958575689</v>
      </c>
      <c r="AL12" s="449">
        <v>9179.7910414362032</v>
      </c>
      <c r="AM12" s="449">
        <v>12115.907319228907</v>
      </c>
      <c r="AN12" s="449">
        <v>15451.365433938336</v>
      </c>
      <c r="AO12" s="449">
        <v>18302.856151973931</v>
      </c>
      <c r="AP12" s="449">
        <v>20882.504905477523</v>
      </c>
      <c r="AQ12" s="449">
        <v>23668.524862307837</v>
      </c>
      <c r="AR12" s="449">
        <v>26670.386783146147</v>
      </c>
      <c r="AS12" s="449">
        <v>29756.491290268459</v>
      </c>
      <c r="AT12" s="449">
        <v>32923.85273749497</v>
      </c>
      <c r="AU12" s="449">
        <v>35891.643489115988</v>
      </c>
      <c r="AV12" s="449">
        <v>39899.287007968545</v>
      </c>
      <c r="AW12" s="449">
        <v>43365.25422105434</v>
      </c>
      <c r="AX12" s="450">
        <v>46809.11749629426</v>
      </c>
      <c r="AY12" s="456"/>
    </row>
    <row r="13" spans="1:51" ht="13">
      <c r="A13" s="446" t="s">
        <v>755</v>
      </c>
      <c r="B13" s="449">
        <v>72.157369495902174</v>
      </c>
      <c r="C13" s="449">
        <v>89.477786895530897</v>
      </c>
      <c r="D13" s="449">
        <v>99.898561750662651</v>
      </c>
      <c r="E13" s="449">
        <v>106.947176220475</v>
      </c>
      <c r="F13" s="449">
        <v>129.57969875069529</v>
      </c>
      <c r="G13" s="449">
        <v>121.61066484594866</v>
      </c>
      <c r="H13" s="449">
        <v>119.64554662456126</v>
      </c>
      <c r="I13" s="449">
        <v>126.25707435501188</v>
      </c>
      <c r="J13" s="449">
        <v>141.06260830015134</v>
      </c>
      <c r="K13" s="449">
        <v>149.30760451056813</v>
      </c>
      <c r="L13" s="449">
        <v>153.30768287025757</v>
      </c>
      <c r="M13" s="449">
        <v>202.14935190573968</v>
      </c>
      <c r="N13" s="449">
        <v>210.79113661460013</v>
      </c>
      <c r="O13" s="449">
        <v>216.52442884695665</v>
      </c>
      <c r="P13" s="449">
        <v>239.13852109265397</v>
      </c>
      <c r="Q13" s="449">
        <v>242.70934532242967</v>
      </c>
      <c r="R13" s="449">
        <v>261.64862364934265</v>
      </c>
      <c r="S13" s="449">
        <v>261.90610215047934</v>
      </c>
      <c r="T13" s="449">
        <v>260.12051501220304</v>
      </c>
      <c r="U13" s="449">
        <v>273.14258132833629</v>
      </c>
      <c r="V13" s="449">
        <v>293.41973398752054</v>
      </c>
      <c r="W13" s="449">
        <v>331.93530337228162</v>
      </c>
      <c r="X13" s="449">
        <v>369.63826148463932</v>
      </c>
      <c r="Y13" s="449">
        <v>480.01494915396097</v>
      </c>
      <c r="Z13" s="449">
        <v>571.74570936343093</v>
      </c>
      <c r="AA13" s="449">
        <v>745.11325580169046</v>
      </c>
      <c r="AB13" s="449">
        <v>985.41159330585094</v>
      </c>
      <c r="AC13" s="449">
        <v>1884.4680142794296</v>
      </c>
      <c r="AD13" s="449">
        <v>4468.8289857087366</v>
      </c>
      <c r="AE13" s="449">
        <v>5567.5268441844964</v>
      </c>
      <c r="AF13" s="449">
        <v>5466.0139683610996</v>
      </c>
      <c r="AG13" s="449">
        <v>5062.5883894810577</v>
      </c>
      <c r="AH13" s="449">
        <v>11265.691222804433</v>
      </c>
      <c r="AI13" s="449">
        <v>15598.083599201535</v>
      </c>
      <c r="AJ13" s="449">
        <v>18530.174441545532</v>
      </c>
      <c r="AK13" s="449">
        <v>26297.81554713285</v>
      </c>
      <c r="AL13" s="449">
        <v>31786.078900067118</v>
      </c>
      <c r="AM13" s="449">
        <v>38343.223427958161</v>
      </c>
      <c r="AN13" s="449">
        <v>50996.040448988591</v>
      </c>
      <c r="AO13" s="449">
        <v>64031</v>
      </c>
      <c r="AP13" s="449">
        <v>75523</v>
      </c>
      <c r="AQ13" s="449">
        <v>86835</v>
      </c>
      <c r="AR13" s="449">
        <v>102382</v>
      </c>
      <c r="AS13" s="449">
        <v>105423</v>
      </c>
      <c r="AT13" s="449">
        <v>135135</v>
      </c>
      <c r="AU13" s="449">
        <v>163401</v>
      </c>
      <c r="AV13" s="449">
        <v>169454</v>
      </c>
      <c r="AW13" s="449">
        <v>162762</v>
      </c>
      <c r="AX13" s="448">
        <v>181555</v>
      </c>
      <c r="AY13" s="456"/>
    </row>
    <row r="14" spans="1:51" ht="13">
      <c r="A14" s="457" t="s">
        <v>770</v>
      </c>
      <c r="B14" s="458">
        <v>57.759970555570774</v>
      </c>
      <c r="C14" s="458">
        <v>53.44827666831366</v>
      </c>
      <c r="D14" s="458">
        <v>60.941662011779684</v>
      </c>
      <c r="E14" s="458">
        <v>60.693174967733924</v>
      </c>
      <c r="F14" s="458">
        <v>83.49633562824117</v>
      </c>
      <c r="G14" s="458">
        <v>70.55347271936833</v>
      </c>
      <c r="H14" s="458">
        <v>65.176634603013269</v>
      </c>
      <c r="I14" s="458">
        <v>65.708538745666516</v>
      </c>
      <c r="J14" s="458">
        <v>70.054892521789057</v>
      </c>
      <c r="K14" s="458">
        <v>70.239121954194047</v>
      </c>
      <c r="L14" s="458">
        <v>67.66401980062669</v>
      </c>
      <c r="M14" s="458">
        <v>102.95402787911034</v>
      </c>
      <c r="N14" s="458">
        <v>103.08169858057342</v>
      </c>
      <c r="O14" s="458">
        <v>99.338781893243279</v>
      </c>
      <c r="P14" s="458">
        <v>101.9204702039498</v>
      </c>
      <c r="Q14" s="458">
        <v>104.90989124110546</v>
      </c>
      <c r="R14" s="458">
        <v>106.30826602774368</v>
      </c>
      <c r="S14" s="458">
        <v>97.948615505127677</v>
      </c>
      <c r="T14" s="458">
        <v>84.187099701595201</v>
      </c>
      <c r="U14" s="458">
        <v>86.277654498473069</v>
      </c>
      <c r="V14" s="458">
        <v>80.498296346623249</v>
      </c>
      <c r="W14" s="458">
        <v>101.05360663386713</v>
      </c>
      <c r="X14" s="458">
        <v>123.11124206778069</v>
      </c>
      <c r="Y14" s="458">
        <v>181.32447287466985</v>
      </c>
      <c r="Z14" s="458">
        <v>258.24459984141021</v>
      </c>
      <c r="AA14" s="458">
        <v>373.28485814392803</v>
      </c>
      <c r="AB14" s="458">
        <v>557.55513418871658</v>
      </c>
      <c r="AC14" s="458">
        <v>1355.6367414735087</v>
      </c>
      <c r="AD14" s="458">
        <v>3810.259363925506</v>
      </c>
      <c r="AE14" s="458">
        <v>4757.5521559068538</v>
      </c>
      <c r="AF14" s="458">
        <v>5085.1890000000003</v>
      </c>
      <c r="AG14" s="458">
        <v>4419.7039999999997</v>
      </c>
      <c r="AH14" s="458">
        <v>10370.531999999999</v>
      </c>
      <c r="AI14" s="458">
        <v>13629.602000000001</v>
      </c>
      <c r="AJ14" s="458">
        <v>16952.688000000002</v>
      </c>
      <c r="AK14" s="458">
        <v>23137.917000000001</v>
      </c>
      <c r="AL14" s="458">
        <v>28154.038999999997</v>
      </c>
      <c r="AM14" s="458">
        <v>33328.923000000003</v>
      </c>
      <c r="AN14" s="458">
        <v>44576.976999999999</v>
      </c>
      <c r="AO14" s="458">
        <v>53942</v>
      </c>
      <c r="AP14" s="458">
        <v>61152</v>
      </c>
      <c r="AQ14" s="458">
        <v>71160</v>
      </c>
      <c r="AR14" s="458">
        <v>78971</v>
      </c>
      <c r="AS14" s="458">
        <v>88150</v>
      </c>
      <c r="AT14" s="458">
        <v>110812</v>
      </c>
      <c r="AU14" s="458">
        <v>135222</v>
      </c>
      <c r="AV14" s="458">
        <v>139109</v>
      </c>
      <c r="AW14" s="458">
        <v>131356</v>
      </c>
      <c r="AX14" s="459">
        <v>145696</v>
      </c>
      <c r="AY14" s="456"/>
    </row>
    <row r="15" spans="1:51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8"/>
      <c r="AY15" s="456"/>
    </row>
    <row r="16" spans="1:51" ht="13">
      <c r="A16" s="446" t="s">
        <v>756</v>
      </c>
      <c r="B16" s="449">
        <v>88.159228807554257</v>
      </c>
      <c r="C16" s="449">
        <v>133.17847892601799</v>
      </c>
      <c r="D16" s="449">
        <v>213.66662616480576</v>
      </c>
      <c r="E16" s="449">
        <v>149.93692288849675</v>
      </c>
      <c r="F16" s="449">
        <v>137.616691952971</v>
      </c>
      <c r="G16" s="449">
        <v>171.16989450722818</v>
      </c>
      <c r="H16" s="449">
        <v>161.98659890526909</v>
      </c>
      <c r="I16" s="449">
        <v>199.8616394169191</v>
      </c>
      <c r="J16" s="449">
        <v>220.23571463635579</v>
      </c>
      <c r="K16" s="449">
        <v>221.26390990993008</v>
      </c>
      <c r="L16" s="449">
        <v>223.83451261017433</v>
      </c>
      <c r="M16" s="449">
        <v>219.27785157001486</v>
      </c>
      <c r="N16" s="449">
        <v>266.13</v>
      </c>
      <c r="O16" s="449">
        <v>285.75</v>
      </c>
      <c r="P16" s="449">
        <v>332.15</v>
      </c>
      <c r="Q16" s="449">
        <v>324.14999999999998</v>
      </c>
      <c r="R16" s="449">
        <v>333.15</v>
      </c>
      <c r="S16" s="449">
        <v>419.75</v>
      </c>
      <c r="T16" s="449">
        <v>435.35</v>
      </c>
      <c r="U16" s="449">
        <v>516.95000000000005</v>
      </c>
      <c r="V16" s="449">
        <v>564.95000000000005</v>
      </c>
      <c r="W16" s="449">
        <v>523</v>
      </c>
      <c r="X16" s="449">
        <v>587.72500000000002</v>
      </c>
      <c r="Y16" s="449">
        <v>664.1</v>
      </c>
      <c r="Z16" s="449">
        <v>727.8</v>
      </c>
      <c r="AA16" s="449">
        <v>980.16499999999996</v>
      </c>
      <c r="AB16" s="449">
        <v>1277.7089999999998</v>
      </c>
      <c r="AC16" s="449">
        <v>1126.0899999999999</v>
      </c>
      <c r="AD16" s="449">
        <v>3892.8050000000003</v>
      </c>
      <c r="AE16" s="449">
        <v>4499.4110000000001</v>
      </c>
      <c r="AF16" s="460">
        <v>7636.107</v>
      </c>
      <c r="AG16" s="460">
        <v>10164.958754154744</v>
      </c>
      <c r="AH16" s="449">
        <v>17224.7637726416</v>
      </c>
      <c r="AI16" s="449">
        <v>25697.571000000004</v>
      </c>
      <c r="AJ16" s="449">
        <v>30693.214999999997</v>
      </c>
      <c r="AK16" s="449">
        <v>29295.647999999997</v>
      </c>
      <c r="AL16" s="449">
        <v>31278.695000000003</v>
      </c>
      <c r="AM16" s="449">
        <v>31411.797000000002</v>
      </c>
      <c r="AN16" s="449">
        <v>37534.116000000002</v>
      </c>
      <c r="AO16" s="447">
        <v>53249</v>
      </c>
      <c r="AP16" s="447">
        <v>71328</v>
      </c>
      <c r="AQ16" s="447">
        <v>81033</v>
      </c>
      <c r="AR16" s="447">
        <v>103313</v>
      </c>
      <c r="AS16" s="447">
        <v>113071</v>
      </c>
      <c r="AT16" s="447">
        <v>160560</v>
      </c>
      <c r="AU16" s="447">
        <v>185641</v>
      </c>
      <c r="AV16" s="447">
        <v>191373</v>
      </c>
      <c r="AW16" s="447">
        <v>187679</v>
      </c>
      <c r="AX16" s="448">
        <v>205299</v>
      </c>
      <c r="AY16" s="456"/>
    </row>
    <row r="17" spans="1:51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8"/>
      <c r="AY17" s="456"/>
    </row>
    <row r="18" spans="1:51" ht="13">
      <c r="A18" s="446" t="s">
        <v>757</v>
      </c>
      <c r="B18" s="449">
        <v>88.159228807554257</v>
      </c>
      <c r="C18" s="449">
        <v>133.17847892601799</v>
      </c>
      <c r="D18" s="449">
        <v>213.66662616480576</v>
      </c>
      <c r="E18" s="449">
        <v>149.93692288849675</v>
      </c>
      <c r="F18" s="449">
        <v>137.616691952971</v>
      </c>
      <c r="G18" s="449">
        <v>171.16989450722818</v>
      </c>
      <c r="H18" s="449">
        <v>161.98659890526909</v>
      </c>
      <c r="I18" s="449">
        <v>199.8616394169191</v>
      </c>
      <c r="J18" s="449">
        <v>220.23571463635579</v>
      </c>
      <c r="K18" s="449">
        <v>221.26390990993008</v>
      </c>
      <c r="L18" s="449">
        <v>223.83451261017433</v>
      </c>
      <c r="M18" s="449">
        <v>219.27785157001486</v>
      </c>
      <c r="N18" s="449">
        <v>266.13</v>
      </c>
      <c r="O18" s="449">
        <v>285.75</v>
      </c>
      <c r="P18" s="449">
        <v>332.15</v>
      </c>
      <c r="Q18" s="449">
        <v>324.14999999999998</v>
      </c>
      <c r="R18" s="449">
        <v>333.15</v>
      </c>
      <c r="S18" s="449">
        <v>419.75</v>
      </c>
      <c r="T18" s="449">
        <v>435.35</v>
      </c>
      <c r="U18" s="449">
        <v>516.95000000000005</v>
      </c>
      <c r="V18" s="449">
        <v>564.95000000000005</v>
      </c>
      <c r="W18" s="449">
        <v>523</v>
      </c>
      <c r="X18" s="449">
        <v>587.72500000000002</v>
      </c>
      <c r="Y18" s="449">
        <v>664.1</v>
      </c>
      <c r="Z18" s="449">
        <v>727.8</v>
      </c>
      <c r="AA18" s="449">
        <v>980.16499999999996</v>
      </c>
      <c r="AB18" s="449">
        <v>1277.7089999999998</v>
      </c>
      <c r="AC18" s="449">
        <v>1126.0899999999999</v>
      </c>
      <c r="AD18" s="449">
        <v>3892.8050000000003</v>
      </c>
      <c r="AE18" s="449">
        <v>4499.4110000000001</v>
      </c>
      <c r="AF18" s="449">
        <v>7636.107</v>
      </c>
      <c r="AG18" s="449">
        <v>10164.958754154744</v>
      </c>
      <c r="AH18" s="449">
        <v>17224.7637726416</v>
      </c>
      <c r="AI18" s="449">
        <v>25697.571000000004</v>
      </c>
      <c r="AJ18" s="449">
        <v>30693.214999999997</v>
      </c>
      <c r="AK18" s="449">
        <v>29295.647999999997</v>
      </c>
      <c r="AL18" s="449">
        <v>31278.695000000003</v>
      </c>
      <c r="AM18" s="449">
        <v>31411.797000000002</v>
      </c>
      <c r="AN18" s="449">
        <v>37534.116000000002</v>
      </c>
      <c r="AO18" s="449">
        <v>53249</v>
      </c>
      <c r="AP18" s="449">
        <v>71328</v>
      </c>
      <c r="AQ18" s="449">
        <v>81033</v>
      </c>
      <c r="AR18" s="449">
        <v>103313</v>
      </c>
      <c r="AS18" s="449">
        <v>113071</v>
      </c>
      <c r="AT18" s="449">
        <v>160560</v>
      </c>
      <c r="AU18" s="449">
        <v>185641</v>
      </c>
      <c r="AV18" s="449">
        <v>191373</v>
      </c>
      <c r="AW18" s="449">
        <v>187679</v>
      </c>
      <c r="AX18" s="450">
        <v>205299</v>
      </c>
      <c r="AY18" s="456"/>
    </row>
    <row r="19" spans="1:51" ht="13">
      <c r="A19" s="457" t="s">
        <v>770</v>
      </c>
      <c r="B19" s="449">
        <v>84.905000000000001</v>
      </c>
      <c r="C19" s="449">
        <v>129.94800000000001</v>
      </c>
      <c r="D19" s="449">
        <v>210.57900000000001</v>
      </c>
      <c r="E19" s="449">
        <v>146.94300000000001</v>
      </c>
      <c r="F19" s="449">
        <v>134.874</v>
      </c>
      <c r="G19" s="449">
        <v>165.553</v>
      </c>
      <c r="H19" s="449">
        <v>158.39699999999999</v>
      </c>
      <c r="I19" s="449">
        <v>195.06599999999997</v>
      </c>
      <c r="J19" s="449">
        <v>214.78700000000001</v>
      </c>
      <c r="K19" s="449">
        <v>213.89699999999999</v>
      </c>
      <c r="L19" s="449">
        <v>219.37599999999998</v>
      </c>
      <c r="M19" s="449">
        <v>213.66700000000003</v>
      </c>
      <c r="N19" s="449">
        <v>258.13</v>
      </c>
      <c r="O19" s="449">
        <v>279.75</v>
      </c>
      <c r="P19" s="449">
        <v>326.14999999999998</v>
      </c>
      <c r="Q19" s="449">
        <v>318.14999999999998</v>
      </c>
      <c r="R19" s="449">
        <v>317.14999999999998</v>
      </c>
      <c r="S19" s="449">
        <v>386.75</v>
      </c>
      <c r="T19" s="449">
        <v>411.35</v>
      </c>
      <c r="U19" s="449">
        <v>491.95</v>
      </c>
      <c r="V19" s="449">
        <v>533.65</v>
      </c>
      <c r="W19" s="449">
        <v>487.9</v>
      </c>
      <c r="X19" s="449">
        <v>554.625</v>
      </c>
      <c r="Y19" s="449">
        <v>638.4</v>
      </c>
      <c r="Z19" s="449">
        <v>701.6</v>
      </c>
      <c r="AA19" s="449">
        <v>949.56500000000005</v>
      </c>
      <c r="AB19" s="449">
        <v>1192.05</v>
      </c>
      <c r="AC19" s="449">
        <v>1009.4290000000001</v>
      </c>
      <c r="AD19" s="449">
        <v>3776.5660000000003</v>
      </c>
      <c r="AE19" s="449">
        <v>4416</v>
      </c>
      <c r="AF19" s="449">
        <v>7123.1270000000004</v>
      </c>
      <c r="AG19" s="449">
        <v>7788.1129999999994</v>
      </c>
      <c r="AH19" s="449">
        <v>16045.62</v>
      </c>
      <c r="AI19" s="449">
        <v>25056.116999999998</v>
      </c>
      <c r="AJ19" s="449">
        <v>30086.345999999998</v>
      </c>
      <c r="AK19" s="449">
        <v>28593.384000000002</v>
      </c>
      <c r="AL19" s="449">
        <v>30218.028000000002</v>
      </c>
      <c r="AM19" s="449">
        <v>29836</v>
      </c>
      <c r="AN19" s="449">
        <v>35302.753000000004</v>
      </c>
      <c r="AO19" s="447">
        <v>44190</v>
      </c>
      <c r="AP19" s="447">
        <v>50456</v>
      </c>
      <c r="AQ19" s="447">
        <v>54158</v>
      </c>
      <c r="AR19" s="447">
        <v>51107</v>
      </c>
      <c r="AS19" s="447">
        <v>76942</v>
      </c>
      <c r="AT19" s="447">
        <v>89918</v>
      </c>
      <c r="AU19" s="447">
        <v>103135</v>
      </c>
      <c r="AV19" s="447">
        <v>112605</v>
      </c>
      <c r="AW19" s="447">
        <v>121228</v>
      </c>
      <c r="AX19" s="448">
        <v>132416</v>
      </c>
      <c r="AY19" s="456"/>
    </row>
    <row r="20" spans="1:51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1" ht="13">
      <c r="A21" s="446" t="s">
        <v>758</v>
      </c>
      <c r="B21" s="449">
        <v>706.62562715664785</v>
      </c>
      <c r="C21" s="449">
        <v>831.71660406742217</v>
      </c>
      <c r="D21" s="449">
        <v>966.91270638645392</v>
      </c>
      <c r="E21" s="449">
        <v>947.67804956714838</v>
      </c>
      <c r="F21" s="449">
        <v>980.42106944580382</v>
      </c>
      <c r="G21" s="449">
        <v>1044.1872460556074</v>
      </c>
      <c r="H21" s="449">
        <v>1123.2153586445761</v>
      </c>
      <c r="I21" s="449">
        <v>1170.0949180788859</v>
      </c>
      <c r="J21" s="449">
        <v>1287.2727159064725</v>
      </c>
      <c r="K21" s="449">
        <v>1373.3395219081203</v>
      </c>
      <c r="L21" s="449">
        <v>1454.339839149211</v>
      </c>
      <c r="M21" s="449">
        <v>1554.6031374718405</v>
      </c>
      <c r="N21" s="449">
        <v>1647.7020687999052</v>
      </c>
      <c r="O21" s="449">
        <v>1754.7047628453129</v>
      </c>
      <c r="P21" s="449">
        <v>1863.4000381914443</v>
      </c>
      <c r="Q21" s="449">
        <v>2011.512989279769</v>
      </c>
      <c r="R21" s="449">
        <v>2065.4051112793891</v>
      </c>
      <c r="S21" s="449">
        <v>2338.0171651588689</v>
      </c>
      <c r="T21" s="449">
        <v>2515.7611602822399</v>
      </c>
      <c r="U21" s="449">
        <v>2926.9502440128645</v>
      </c>
      <c r="V21" s="449">
        <v>3149.2503149709451</v>
      </c>
      <c r="W21" s="449">
        <v>3369.8531675565737</v>
      </c>
      <c r="X21" s="449">
        <v>3785.7792549793576</v>
      </c>
      <c r="Y21" s="449">
        <v>4436.3206256582162</v>
      </c>
      <c r="Z21" s="449">
        <v>4625.8665385436198</v>
      </c>
      <c r="AA21" s="449">
        <v>5204.5784791230253</v>
      </c>
      <c r="AB21" s="449">
        <v>6076.3284729021289</v>
      </c>
      <c r="AC21" s="449">
        <v>7160.2569867143011</v>
      </c>
      <c r="AD21" s="449">
        <v>12690.963466129026</v>
      </c>
      <c r="AE21" s="449">
        <v>14772.503038917472</v>
      </c>
      <c r="AF21" s="449">
        <v>21402.758179361317</v>
      </c>
      <c r="AG21" s="449">
        <v>25951.459225149949</v>
      </c>
      <c r="AH21" s="449">
        <v>43985.480645961019</v>
      </c>
      <c r="AI21" s="449">
        <v>58105.826858322311</v>
      </c>
      <c r="AJ21" s="449">
        <v>71733.918939094758</v>
      </c>
      <c r="AK21" s="449">
        <v>85762.747902990421</v>
      </c>
      <c r="AL21" s="449">
        <v>101777.12204150333</v>
      </c>
      <c r="AM21" s="449">
        <v>119611.64924718707</v>
      </c>
      <c r="AN21" s="449">
        <v>150688.19478292693</v>
      </c>
      <c r="AO21" s="449">
        <v>193871.85615197395</v>
      </c>
      <c r="AP21" s="449">
        <v>263853.50490547752</v>
      </c>
      <c r="AQ21" s="449">
        <v>323408.52486230782</v>
      </c>
      <c r="AR21" s="449">
        <v>383548.38678314618</v>
      </c>
      <c r="AS21" s="449">
        <v>434868.49129026849</v>
      </c>
      <c r="AT21" s="449">
        <v>539326.85273749498</v>
      </c>
      <c r="AU21" s="449">
        <v>662000.64348911599</v>
      </c>
      <c r="AV21" s="449">
        <v>685463.28700796852</v>
      </c>
      <c r="AW21" s="449">
        <v>695455.25422105426</v>
      </c>
      <c r="AX21" s="450">
        <v>767270.1174962942</v>
      </c>
    </row>
    <row r="22" spans="1:51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</row>
    <row r="23" spans="1:51" ht="13">
      <c r="A23" s="446" t="s">
        <v>759</v>
      </c>
      <c r="B23" s="449">
        <v>477.10551970310701</v>
      </c>
      <c r="C23" s="449">
        <v>474.55994980341683</v>
      </c>
      <c r="D23" s="449">
        <v>515.74821221949674</v>
      </c>
      <c r="E23" s="449">
        <v>539.69384676483571</v>
      </c>
      <c r="F23" s="449">
        <v>568.35534888580412</v>
      </c>
      <c r="G23" s="449">
        <v>586.50085354764565</v>
      </c>
      <c r="H23" s="449">
        <v>614.53841220916911</v>
      </c>
      <c r="I23" s="449">
        <v>637.26826442634967</v>
      </c>
      <c r="J23" s="449">
        <v>698.22368437001251</v>
      </c>
      <c r="K23" s="449">
        <v>708.60513672039065</v>
      </c>
      <c r="L23" s="449">
        <v>810.52837416232228</v>
      </c>
      <c r="M23" s="449">
        <v>813.10895505197584</v>
      </c>
      <c r="N23" s="449">
        <v>932.83605230306603</v>
      </c>
      <c r="O23" s="449">
        <v>975.19885973237297</v>
      </c>
      <c r="P23" s="449">
        <v>984.3867351363524</v>
      </c>
      <c r="Q23" s="449">
        <v>987.66741198523391</v>
      </c>
      <c r="R23" s="449">
        <v>1044.2744160641842</v>
      </c>
      <c r="S23" s="449">
        <v>1100.7672714656399</v>
      </c>
      <c r="T23" s="449">
        <v>1131.8320292586438</v>
      </c>
      <c r="U23" s="449">
        <v>1192.7656698906239</v>
      </c>
      <c r="V23" s="449">
        <v>1396.9301353535873</v>
      </c>
      <c r="W23" s="449">
        <v>1439.5979754393445</v>
      </c>
      <c r="X23" s="449">
        <v>1611.3500194168585</v>
      </c>
      <c r="Y23" s="449">
        <v>1922.6514762792908</v>
      </c>
      <c r="Z23" s="449">
        <v>2013.4661095220206</v>
      </c>
      <c r="AA23" s="449">
        <v>2420.376714657762</v>
      </c>
      <c r="AB23" s="449">
        <v>2751.9884091171343</v>
      </c>
      <c r="AC23" s="449">
        <v>3332.7457638059213</v>
      </c>
      <c r="AD23" s="449">
        <v>5212.551785783231</v>
      </c>
      <c r="AE23" s="449">
        <v>6750.1201342776421</v>
      </c>
      <c r="AF23" s="449">
        <v>11037.245529216696</v>
      </c>
      <c r="AG23" s="449">
        <v>14678.124815307227</v>
      </c>
      <c r="AH23" s="449">
        <v>21385.220363215853</v>
      </c>
      <c r="AI23" s="449">
        <v>31008.0048583223</v>
      </c>
      <c r="AJ23" s="449">
        <v>39051.556939094764</v>
      </c>
      <c r="AK23" s="449">
        <v>51195.668902990423</v>
      </c>
      <c r="AL23" s="449">
        <v>66295.85404150332</v>
      </c>
      <c r="AM23" s="449">
        <v>80344.140247187053</v>
      </c>
      <c r="AN23" s="449">
        <v>105153.92178292693</v>
      </c>
      <c r="AO23" s="449">
        <v>125408.85615197393</v>
      </c>
      <c r="AP23" s="449">
        <v>172169.50490547752</v>
      </c>
      <c r="AQ23" s="449">
        <v>186364.52486230782</v>
      </c>
      <c r="AR23" s="449">
        <v>238854.38678314615</v>
      </c>
      <c r="AS23" s="449">
        <v>341547.49129026849</v>
      </c>
      <c r="AT23" s="449">
        <v>355089.85273749498</v>
      </c>
      <c r="AU23" s="449">
        <v>422393.64348911599</v>
      </c>
      <c r="AV23" s="449">
        <v>449115.28700796852</v>
      </c>
      <c r="AW23" s="449">
        <v>466117.25422105432</v>
      </c>
      <c r="AX23" s="450">
        <v>492229.11749629426</v>
      </c>
    </row>
    <row r="24" spans="1:51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8"/>
    </row>
    <row r="25" spans="1:51" ht="13">
      <c r="A25" s="446" t="s">
        <v>760</v>
      </c>
      <c r="B25" s="449">
        <v>401.60764269669346</v>
      </c>
      <c r="C25" s="449">
        <v>403.76409284692681</v>
      </c>
      <c r="D25" s="449">
        <v>448.55876022341528</v>
      </c>
      <c r="E25" s="449">
        <v>457.22435065635256</v>
      </c>
      <c r="F25" s="449">
        <v>476.09909491324299</v>
      </c>
      <c r="G25" s="449">
        <v>486.92949270776808</v>
      </c>
      <c r="H25" s="449">
        <v>522.03508718947251</v>
      </c>
      <c r="I25" s="449">
        <v>535.04067130474652</v>
      </c>
      <c r="J25" s="449">
        <v>589.93505502105677</v>
      </c>
      <c r="K25" s="449">
        <v>604.85130244561799</v>
      </c>
      <c r="L25" s="449">
        <v>706.00279870873089</v>
      </c>
      <c r="M25" s="449">
        <v>705.84691791680984</v>
      </c>
      <c r="N25" s="449">
        <v>807.56304754297298</v>
      </c>
      <c r="O25" s="449">
        <v>833.21593030182157</v>
      </c>
      <c r="P25" s="449">
        <v>831.45954181639513</v>
      </c>
      <c r="Q25" s="449">
        <v>837.7605389421069</v>
      </c>
      <c r="R25" s="449">
        <v>875.543145865817</v>
      </c>
      <c r="S25" s="449">
        <v>921.98901898998918</v>
      </c>
      <c r="T25" s="449">
        <v>915.09208092028484</v>
      </c>
      <c r="U25" s="449">
        <v>953.32774658693302</v>
      </c>
      <c r="V25" s="449">
        <v>1130.087276989563</v>
      </c>
      <c r="W25" s="449">
        <v>1191.7004220731465</v>
      </c>
      <c r="X25" s="449">
        <v>1294.8269934947186</v>
      </c>
      <c r="Y25" s="449">
        <v>1570.3446765042547</v>
      </c>
      <c r="Z25" s="449">
        <v>1628.1818291801885</v>
      </c>
      <c r="AA25" s="449">
        <v>1963.3335083213349</v>
      </c>
      <c r="AB25" s="449">
        <v>2323.583809596279</v>
      </c>
      <c r="AC25" s="449">
        <v>2891.8029194348719</v>
      </c>
      <c r="AD25" s="449">
        <v>4688.2610964202886</v>
      </c>
      <c r="AE25" s="449">
        <v>6171.1035207329751</v>
      </c>
      <c r="AF25" s="449">
        <v>9895.3893797965648</v>
      </c>
      <c r="AG25" s="449">
        <v>13293.220747224022</v>
      </c>
      <c r="AH25" s="449">
        <v>18402.81892903088</v>
      </c>
      <c r="AI25" s="449">
        <v>25005.863759120766</v>
      </c>
      <c r="AJ25" s="449">
        <v>32586.837997549232</v>
      </c>
      <c r="AK25" s="449">
        <v>40944.349355857572</v>
      </c>
      <c r="AL25" s="449">
        <v>52162.200641436197</v>
      </c>
      <c r="AM25" s="449">
        <v>66075.952319228905</v>
      </c>
      <c r="AN25" s="449">
        <v>87481.22183393834</v>
      </c>
      <c r="AO25" s="449">
        <v>104708.85615197393</v>
      </c>
      <c r="AP25" s="449">
        <v>134453.50490547752</v>
      </c>
      <c r="AQ25" s="449">
        <v>156988.52486230782</v>
      </c>
      <c r="AR25" s="449">
        <v>197161.38678314615</v>
      </c>
      <c r="AS25" s="449">
        <v>244546.49129026846</v>
      </c>
      <c r="AT25" s="449">
        <v>287967.85273749498</v>
      </c>
      <c r="AU25" s="449">
        <v>337832.64348911599</v>
      </c>
      <c r="AV25" s="449">
        <v>362925.28700796852</v>
      </c>
      <c r="AW25" s="449">
        <v>376344.25422105432</v>
      </c>
      <c r="AX25" s="450">
        <v>393467.11749629426</v>
      </c>
    </row>
    <row r="26" spans="1:51" ht="13">
      <c r="A26" s="446" t="s">
        <v>761</v>
      </c>
      <c r="B26" s="449">
        <v>200.33197055557076</v>
      </c>
      <c r="C26" s="449">
        <v>209.93627666831367</v>
      </c>
      <c r="D26" s="449">
        <v>248.92866201177969</v>
      </c>
      <c r="E26" s="449">
        <v>256.28517496773395</v>
      </c>
      <c r="F26" s="449">
        <v>272.93899429609201</v>
      </c>
      <c r="G26" s="449">
        <v>296.75199422537935</v>
      </c>
      <c r="H26" s="449">
        <v>300.24828095993064</v>
      </c>
      <c r="I26" s="449">
        <v>313.76199771890339</v>
      </c>
      <c r="J26" s="449">
        <v>339.64444372673336</v>
      </c>
      <c r="K26" s="449">
        <v>362.80836253252869</v>
      </c>
      <c r="L26" s="449">
        <v>375.43171506709643</v>
      </c>
      <c r="M26" s="449">
        <v>402.53555391336448</v>
      </c>
      <c r="N26" s="449">
        <v>496.116734081755</v>
      </c>
      <c r="O26" s="449">
        <v>517.52660461176242</v>
      </c>
      <c r="P26" s="449">
        <v>520.66644332680926</v>
      </c>
      <c r="Q26" s="449">
        <v>531.73400000000004</v>
      </c>
      <c r="R26" s="449">
        <v>563.84300000000007</v>
      </c>
      <c r="S26" s="449">
        <v>529.423</v>
      </c>
      <c r="T26" s="449">
        <v>576.69299999999998</v>
      </c>
      <c r="U26" s="449">
        <v>639.67999999999995</v>
      </c>
      <c r="V26" s="449">
        <v>716.97299999999996</v>
      </c>
      <c r="W26" s="449">
        <v>758.24900000000002</v>
      </c>
      <c r="X26" s="449">
        <v>811.08200000000011</v>
      </c>
      <c r="Y26" s="449">
        <v>987.12799999999993</v>
      </c>
      <c r="Z26" s="449">
        <v>1072.837</v>
      </c>
      <c r="AA26" s="449">
        <v>1244.0872649999999</v>
      </c>
      <c r="AB26" s="449">
        <v>1509.706471</v>
      </c>
      <c r="AC26" s="449">
        <v>2054.4119430000001</v>
      </c>
      <c r="AD26" s="449">
        <v>3109.8886940000002</v>
      </c>
      <c r="AE26" s="449">
        <v>4103.4917450000003</v>
      </c>
      <c r="AF26" s="449">
        <v>6568.0169391961645</v>
      </c>
      <c r="AG26" s="449">
        <v>8461.0798454633295</v>
      </c>
      <c r="AH26" s="449">
        <v>11904.623415822502</v>
      </c>
      <c r="AI26" s="449">
        <v>17077.669177970194</v>
      </c>
      <c r="AJ26" s="449">
        <v>20440.364286375552</v>
      </c>
      <c r="AK26" s="449">
        <v>25789.452022963254</v>
      </c>
      <c r="AL26" s="449">
        <v>33068.829153366591</v>
      </c>
      <c r="AM26" s="449">
        <v>39828.524039576558</v>
      </c>
      <c r="AN26" s="449">
        <v>50691.150555081651</v>
      </c>
      <c r="AO26" s="449">
        <v>62446</v>
      </c>
      <c r="AP26" s="449">
        <v>80607</v>
      </c>
      <c r="AQ26" s="449">
        <v>93330</v>
      </c>
      <c r="AR26" s="449">
        <v>124057</v>
      </c>
      <c r="AS26" s="449">
        <v>159634</v>
      </c>
      <c r="AT26" s="449">
        <v>195807</v>
      </c>
      <c r="AU26" s="449">
        <v>233467</v>
      </c>
      <c r="AV26" s="449">
        <v>245655</v>
      </c>
      <c r="AW26" s="449">
        <v>254480</v>
      </c>
      <c r="AX26" s="450">
        <v>267479</v>
      </c>
    </row>
    <row r="27" spans="1:51" ht="13">
      <c r="A27" s="446" t="s">
        <v>762</v>
      </c>
      <c r="B27" s="449">
        <v>201.2756721411227</v>
      </c>
      <c r="C27" s="449">
        <v>193.82781617861315</v>
      </c>
      <c r="D27" s="449">
        <v>199.63009821163558</v>
      </c>
      <c r="E27" s="449">
        <v>200.9391756886186</v>
      </c>
      <c r="F27" s="449">
        <v>203.16010061715099</v>
      </c>
      <c r="G27" s="449">
        <v>190.17749848238873</v>
      </c>
      <c r="H27" s="449">
        <v>221.78680622954187</v>
      </c>
      <c r="I27" s="449">
        <v>221.27867358584314</v>
      </c>
      <c r="J27" s="449">
        <v>250.29061129432341</v>
      </c>
      <c r="K27" s="449">
        <v>242.0429399130893</v>
      </c>
      <c r="L27" s="449">
        <v>330.57108364163446</v>
      </c>
      <c r="M27" s="449">
        <v>303.31136400344536</v>
      </c>
      <c r="N27" s="449">
        <v>311.44631346121798</v>
      </c>
      <c r="O27" s="449">
        <v>315.68932569005915</v>
      </c>
      <c r="P27" s="449">
        <v>310.79309848958587</v>
      </c>
      <c r="Q27" s="449">
        <v>306.02653894210687</v>
      </c>
      <c r="R27" s="449">
        <v>311.70014586581692</v>
      </c>
      <c r="S27" s="449">
        <v>392.56601898998917</v>
      </c>
      <c r="T27" s="449">
        <v>338.39908092028486</v>
      </c>
      <c r="U27" s="449">
        <v>313.64774658693307</v>
      </c>
      <c r="V27" s="449">
        <v>413.114276989563</v>
      </c>
      <c r="W27" s="449">
        <v>433.45142207314643</v>
      </c>
      <c r="X27" s="449">
        <v>483.74499349471853</v>
      </c>
      <c r="Y27" s="449">
        <v>583.21667650425479</v>
      </c>
      <c r="Z27" s="449">
        <v>555.34482918018853</v>
      </c>
      <c r="AA27" s="449">
        <v>719.24624332133499</v>
      </c>
      <c r="AB27" s="449">
        <v>813.87733859627906</v>
      </c>
      <c r="AC27" s="449">
        <v>837.39097643487185</v>
      </c>
      <c r="AD27" s="449">
        <v>1578.3724024202884</v>
      </c>
      <c r="AE27" s="449">
        <v>2067.6117757329748</v>
      </c>
      <c r="AF27" s="449">
        <v>3327.3724406004008</v>
      </c>
      <c r="AG27" s="449">
        <v>4832.140901760692</v>
      </c>
      <c r="AH27" s="449">
        <v>6498.1955132083795</v>
      </c>
      <c r="AI27" s="449">
        <v>7928.194581150573</v>
      </c>
      <c r="AJ27" s="449">
        <v>12146.473711173679</v>
      </c>
      <c r="AK27" s="449">
        <v>15154.897332894318</v>
      </c>
      <c r="AL27" s="449">
        <v>19093.371488069606</v>
      </c>
      <c r="AM27" s="449">
        <v>26247.428279652344</v>
      </c>
      <c r="AN27" s="449">
        <v>36790.071278856689</v>
      </c>
      <c r="AO27" s="449">
        <v>42262.856151973931</v>
      </c>
      <c r="AP27" s="449">
        <v>53846.504905477515</v>
      </c>
      <c r="AQ27" s="449">
        <v>63658.524862307837</v>
      </c>
      <c r="AR27" s="449">
        <v>73104.386783146154</v>
      </c>
      <c r="AS27" s="449">
        <v>84912.491290268459</v>
      </c>
      <c r="AT27" s="449">
        <v>92160.852737494963</v>
      </c>
      <c r="AU27" s="449">
        <v>104365.64348911599</v>
      </c>
      <c r="AV27" s="449">
        <v>117270.28700796855</v>
      </c>
      <c r="AW27" s="449">
        <v>121864.25422105433</v>
      </c>
      <c r="AX27" s="450">
        <v>125988.11749629426</v>
      </c>
    </row>
    <row r="28" spans="1:51" ht="13">
      <c r="A28" s="446" t="s">
        <v>763</v>
      </c>
      <c r="B28" s="449">
        <v>31.005688191486101</v>
      </c>
      <c r="C28" s="449">
        <v>26.081805759393767</v>
      </c>
      <c r="D28" s="449">
        <v>19.820646876384583</v>
      </c>
      <c r="E28" s="449">
        <v>31.090518138308944</v>
      </c>
      <c r="F28" s="449">
        <v>36</v>
      </c>
      <c r="G28" s="449">
        <v>38.200000000000003</v>
      </c>
      <c r="H28" s="449">
        <v>30.5</v>
      </c>
      <c r="I28" s="449">
        <v>39</v>
      </c>
      <c r="J28" s="449">
        <v>40.1</v>
      </c>
      <c r="K28" s="449">
        <v>32</v>
      </c>
      <c r="L28" s="449">
        <v>26.9</v>
      </c>
      <c r="M28" s="449">
        <v>27.9</v>
      </c>
      <c r="N28" s="449">
        <v>33.799999999999997</v>
      </c>
      <c r="O28" s="449">
        <v>34.9</v>
      </c>
      <c r="P28" s="449">
        <v>36.4</v>
      </c>
      <c r="Q28" s="449">
        <v>31.7</v>
      </c>
      <c r="R28" s="449">
        <v>34.5</v>
      </c>
      <c r="S28" s="449">
        <v>40.200000000000003</v>
      </c>
      <c r="T28" s="449">
        <v>53</v>
      </c>
      <c r="U28" s="449">
        <v>60.7</v>
      </c>
      <c r="V28" s="449">
        <v>67.5</v>
      </c>
      <c r="W28" s="449">
        <v>45.1</v>
      </c>
      <c r="X28" s="449">
        <v>50.1</v>
      </c>
      <c r="Y28" s="449">
        <v>71.599999999999994</v>
      </c>
      <c r="Z28" s="449">
        <v>86.5</v>
      </c>
      <c r="AA28" s="449">
        <v>146.69999999999999</v>
      </c>
      <c r="AB28" s="449">
        <v>115.2</v>
      </c>
      <c r="AC28" s="449">
        <v>130.30000000000001</v>
      </c>
      <c r="AD28" s="449">
        <v>161.30000000000001</v>
      </c>
      <c r="AE28" s="449">
        <v>177.9</v>
      </c>
      <c r="AF28" s="449">
        <v>187.63499999999999</v>
      </c>
      <c r="AG28" s="449">
        <v>203.72185328142729</v>
      </c>
      <c r="AH28" s="449">
        <v>206.70398469741841</v>
      </c>
      <c r="AI28" s="449">
        <v>364.60550000000001</v>
      </c>
      <c r="AJ28" s="449">
        <v>891.89499999999998</v>
      </c>
      <c r="AK28" s="449">
        <v>3551.1970000000001</v>
      </c>
      <c r="AL28" s="449">
        <v>6925.9130000000005</v>
      </c>
      <c r="AM28" s="449">
        <v>6324.5550000000003</v>
      </c>
      <c r="AN28" s="449">
        <v>7665.866</v>
      </c>
      <c r="AO28" s="449">
        <v>6850</v>
      </c>
      <c r="AP28" s="449">
        <v>17311</v>
      </c>
      <c r="AQ28" s="449">
        <v>8614</v>
      </c>
      <c r="AR28" s="449">
        <v>7826</v>
      </c>
      <c r="AS28" s="449">
        <v>62744</v>
      </c>
      <c r="AT28" s="449">
        <v>30449</v>
      </c>
      <c r="AU28" s="449">
        <v>37179</v>
      </c>
      <c r="AV28" s="449">
        <v>36216</v>
      </c>
      <c r="AW28" s="449">
        <v>36822</v>
      </c>
      <c r="AX28" s="450">
        <v>38954</v>
      </c>
    </row>
    <row r="29" spans="1:51" ht="13">
      <c r="A29" s="446" t="s">
        <v>764</v>
      </c>
      <c r="B29" s="449">
        <v>4.0415999999999999</v>
      </c>
      <c r="C29" s="449">
        <v>2.0434000000000001</v>
      </c>
      <c r="D29" s="449">
        <v>2.0367999999999999</v>
      </c>
      <c r="E29" s="449">
        <v>3.0438000000000001</v>
      </c>
      <c r="F29" s="449">
        <v>2.0522</v>
      </c>
      <c r="G29" s="449">
        <v>2.044</v>
      </c>
      <c r="H29" s="449">
        <v>2.0503999999999998</v>
      </c>
      <c r="I29" s="449">
        <v>1.048</v>
      </c>
      <c r="J29" s="449">
        <v>2.0466000000000002</v>
      </c>
      <c r="K29" s="449">
        <v>1.0496000000000001</v>
      </c>
      <c r="L29" s="449">
        <v>1.0686</v>
      </c>
      <c r="M29" s="449">
        <v>1.0616000000000001</v>
      </c>
      <c r="N29" s="449">
        <v>1.0604</v>
      </c>
      <c r="O29" s="449">
        <v>6.08E-2</v>
      </c>
      <c r="P29" s="449">
        <v>6.4200000000000007E-2</v>
      </c>
      <c r="Q29" s="449">
        <v>6.7199999999999996E-2</v>
      </c>
      <c r="R29" s="449">
        <v>3.0724</v>
      </c>
      <c r="S29" s="449">
        <v>7.9799999999999996E-2</v>
      </c>
      <c r="T29" s="449">
        <v>4.1003999999999996</v>
      </c>
      <c r="U29" s="449">
        <v>2.0920000000000001</v>
      </c>
      <c r="V29" s="449">
        <v>2.1017999999999999</v>
      </c>
      <c r="W29" s="449">
        <v>2.1204000000000001</v>
      </c>
      <c r="X29" s="449">
        <v>2.2999999999999998</v>
      </c>
      <c r="Y29" s="449">
        <v>2.12</v>
      </c>
      <c r="Z29" s="449">
        <v>3.3</v>
      </c>
      <c r="AA29" s="449">
        <v>1.7</v>
      </c>
      <c r="AB29" s="449">
        <v>1.3</v>
      </c>
      <c r="AC29" s="449">
        <v>21</v>
      </c>
      <c r="AD29" s="449">
        <v>8</v>
      </c>
      <c r="AE29" s="449">
        <v>3</v>
      </c>
      <c r="AF29" s="449">
        <v>220.15399644864229</v>
      </c>
      <c r="AG29" s="449">
        <v>402.48149616876162</v>
      </c>
      <c r="AH29" s="449">
        <v>727.93975940197242</v>
      </c>
      <c r="AI29" s="449">
        <v>1440.5059999999999</v>
      </c>
      <c r="AJ29" s="449">
        <v>1845.0260000000001</v>
      </c>
      <c r="AK29" s="449">
        <v>2855.3510000000001</v>
      </c>
      <c r="AL29" s="449">
        <v>2729.5340000000001</v>
      </c>
      <c r="AM29" s="449">
        <v>3010.393</v>
      </c>
      <c r="AN29" s="449">
        <v>3049.9970000000003</v>
      </c>
      <c r="AO29" s="449">
        <v>3773</v>
      </c>
      <c r="AP29" s="449">
        <v>4830</v>
      </c>
      <c r="AQ29" s="449">
        <v>5243</v>
      </c>
      <c r="AR29" s="449">
        <v>6419</v>
      </c>
      <c r="AS29" s="449">
        <v>9123</v>
      </c>
      <c r="AT29" s="449">
        <v>7283</v>
      </c>
      <c r="AU29" s="449">
        <v>9399</v>
      </c>
      <c r="AV29" s="449">
        <v>9487</v>
      </c>
      <c r="AW29" s="449">
        <v>9492</v>
      </c>
      <c r="AX29" s="450">
        <v>11200</v>
      </c>
    </row>
    <row r="30" spans="1:51" ht="13">
      <c r="A30" s="451" t="s">
        <v>755</v>
      </c>
      <c r="B30" s="449">
        <v>40.450588814927443</v>
      </c>
      <c r="C30" s="449">
        <v>42.670651197096227</v>
      </c>
      <c r="D30" s="449">
        <v>45.332005119696873</v>
      </c>
      <c r="E30" s="449">
        <v>48.335177970174271</v>
      </c>
      <c r="F30" s="449">
        <v>54.204053972561169</v>
      </c>
      <c r="G30" s="449">
        <v>59.327360839877556</v>
      </c>
      <c r="H30" s="449">
        <v>59.952925019696579</v>
      </c>
      <c r="I30" s="449">
        <v>62.179593121603155</v>
      </c>
      <c r="J30" s="449">
        <v>66.142029348955646</v>
      </c>
      <c r="K30" s="449">
        <v>70.704234274772631</v>
      </c>
      <c r="L30" s="449">
        <v>76.556975453591463</v>
      </c>
      <c r="M30" s="449">
        <v>78.300437135166007</v>
      </c>
      <c r="N30" s="449">
        <v>90.412604760093075</v>
      </c>
      <c r="O30" s="449">
        <v>107.02212943055139</v>
      </c>
      <c r="P30" s="449">
        <v>116.46299331995723</v>
      </c>
      <c r="Q30" s="449">
        <v>118.139673043127</v>
      </c>
      <c r="R30" s="449">
        <v>131.15887019836725</v>
      </c>
      <c r="S30" s="449">
        <v>138.49845247565062</v>
      </c>
      <c r="T30" s="449">
        <v>159.63954833835888</v>
      </c>
      <c r="U30" s="449">
        <v>176.64592330369095</v>
      </c>
      <c r="V30" s="449">
        <v>197.24105836402433</v>
      </c>
      <c r="W30" s="449">
        <v>200.67715336619807</v>
      </c>
      <c r="X30" s="449">
        <v>264.12302592214002</v>
      </c>
      <c r="Y30" s="449">
        <v>278.58679977503624</v>
      </c>
      <c r="Z30" s="449">
        <v>295.48428034183212</v>
      </c>
      <c r="AA30" s="449">
        <v>308.6432063364274</v>
      </c>
      <c r="AB30" s="449">
        <v>311.90459952085541</v>
      </c>
      <c r="AC30" s="449">
        <v>289.64284437104925</v>
      </c>
      <c r="AD30" s="449">
        <v>354.99068936294213</v>
      </c>
      <c r="AE30" s="449">
        <v>398.11661354466776</v>
      </c>
      <c r="AF30" s="449">
        <v>734.06715297148935</v>
      </c>
      <c r="AG30" s="449">
        <v>778.70071863301609</v>
      </c>
      <c r="AH30" s="449">
        <v>2047.7576900855818</v>
      </c>
      <c r="AI30" s="449">
        <v>4197.0295992015317</v>
      </c>
      <c r="AJ30" s="449">
        <v>3727.7979415455325</v>
      </c>
      <c r="AK30" s="449">
        <v>3844.7715471328479</v>
      </c>
      <c r="AL30" s="449">
        <v>4478.206400067118</v>
      </c>
      <c r="AM30" s="449">
        <v>4933.239927958155</v>
      </c>
      <c r="AN30" s="449">
        <v>6956.836948988589</v>
      </c>
      <c r="AO30" s="449">
        <v>10077</v>
      </c>
      <c r="AP30" s="449">
        <v>15575</v>
      </c>
      <c r="AQ30" s="449">
        <v>15519</v>
      </c>
      <c r="AR30" s="449">
        <v>27448</v>
      </c>
      <c r="AS30" s="449">
        <v>25134</v>
      </c>
      <c r="AT30" s="449">
        <v>29390</v>
      </c>
      <c r="AU30" s="449">
        <v>37983</v>
      </c>
      <c r="AV30" s="449">
        <v>40487</v>
      </c>
      <c r="AW30" s="449">
        <v>43459</v>
      </c>
      <c r="AX30" s="450">
        <v>48608</v>
      </c>
    </row>
    <row r="31" spans="1:51" ht="13">
      <c r="A31" s="457" t="s">
        <v>770</v>
      </c>
      <c r="B31" s="449">
        <v>11.326000000000001</v>
      </c>
      <c r="C31" s="449">
        <v>13.112</v>
      </c>
      <c r="D31" s="449">
        <v>14.95</v>
      </c>
      <c r="E31" s="449">
        <v>16.840899999999998</v>
      </c>
      <c r="F31" s="449">
        <v>18.452999999999999</v>
      </c>
      <c r="G31" s="449">
        <v>21.820999999999998</v>
      </c>
      <c r="H31" s="449">
        <v>22.862999999999996</v>
      </c>
      <c r="I31" s="449">
        <v>21.957999999999998</v>
      </c>
      <c r="J31" s="449">
        <v>21.681000000000001</v>
      </c>
      <c r="K31" s="449">
        <v>19.829000000000001</v>
      </c>
      <c r="L31" s="449">
        <v>22.223000000000003</v>
      </c>
      <c r="M31" s="449">
        <v>13.521000000000001</v>
      </c>
      <c r="N31" s="449">
        <v>17.170000000000002</v>
      </c>
      <c r="O31" s="449">
        <v>32.17</v>
      </c>
      <c r="P31" s="449">
        <v>34.532899999999998</v>
      </c>
      <c r="Q31" s="449">
        <v>27.3</v>
      </c>
      <c r="R31" s="449">
        <v>32.679000000000002</v>
      </c>
      <c r="S31" s="449">
        <v>35.838000000000001</v>
      </c>
      <c r="T31" s="449">
        <v>47.667000000000002</v>
      </c>
      <c r="U31" s="449">
        <v>62.943000000000005</v>
      </c>
      <c r="V31" s="449">
        <v>66.253999999999991</v>
      </c>
      <c r="W31" s="449">
        <v>70.311999999999998</v>
      </c>
      <c r="X31" s="449">
        <v>79.906999999999996</v>
      </c>
      <c r="Y31" s="449">
        <v>85.126999999999995</v>
      </c>
      <c r="Z31" s="449">
        <v>78.427999999999997</v>
      </c>
      <c r="AA31" s="449">
        <v>61.486999999999995</v>
      </c>
      <c r="AB31" s="449">
        <v>61.592000000000006</v>
      </c>
      <c r="AC31" s="449">
        <v>48.938000000000002</v>
      </c>
      <c r="AD31" s="449">
        <v>43.84</v>
      </c>
      <c r="AE31" s="449">
        <v>48.542000000000002</v>
      </c>
      <c r="AF31" s="449">
        <v>126.29599999999999</v>
      </c>
      <c r="AG31" s="449">
        <v>48.4</v>
      </c>
      <c r="AH31" s="449">
        <v>769.10400000000004</v>
      </c>
      <c r="AI31" s="449">
        <v>2025.038</v>
      </c>
      <c r="AJ31" s="449">
        <v>891.07300000000009</v>
      </c>
      <c r="AK31" s="449">
        <v>574.90899999999988</v>
      </c>
      <c r="AL31" s="449">
        <v>517.71199999999999</v>
      </c>
      <c r="AM31" s="449">
        <v>647.26900000000001</v>
      </c>
      <c r="AN31" s="449">
        <v>1081.95</v>
      </c>
      <c r="AO31" s="449">
        <v>665</v>
      </c>
      <c r="AP31" s="449">
        <v>1062</v>
      </c>
      <c r="AQ31" s="449">
        <v>478</v>
      </c>
      <c r="AR31" s="449">
        <v>452</v>
      </c>
      <c r="AS31" s="449">
        <v>608</v>
      </c>
      <c r="AT31" s="449">
        <v>957</v>
      </c>
      <c r="AU31" s="449">
        <v>870</v>
      </c>
      <c r="AV31" s="449">
        <v>1329</v>
      </c>
      <c r="AW31" s="449">
        <v>1626</v>
      </c>
      <c r="AX31" s="450">
        <v>1195</v>
      </c>
    </row>
    <row r="32" spans="1:51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8"/>
    </row>
    <row r="33" spans="1:50" ht="13">
      <c r="A33" s="446" t="s">
        <v>765</v>
      </c>
      <c r="B33" s="449">
        <v>253.6985</v>
      </c>
      <c r="C33" s="449">
        <v>317.64150000000001</v>
      </c>
      <c r="D33" s="449">
        <v>356.01650000000001</v>
      </c>
      <c r="E33" s="449">
        <v>317.09649999999999</v>
      </c>
      <c r="F33" s="449">
        <v>342.52854920943275</v>
      </c>
      <c r="G33" s="449">
        <v>391.37144891728786</v>
      </c>
      <c r="H33" s="449">
        <v>383.07060691062918</v>
      </c>
      <c r="I33" s="449">
        <v>402.88520164998192</v>
      </c>
      <c r="J33" s="449">
        <v>429.0918821179136</v>
      </c>
      <c r="K33" s="449">
        <v>477.8334225500065</v>
      </c>
      <c r="L33" s="449">
        <v>531.95444974007501</v>
      </c>
      <c r="M33" s="449">
        <v>565.83437382616921</v>
      </c>
      <c r="N33" s="449">
        <v>646.00169186150185</v>
      </c>
      <c r="O33" s="449">
        <v>743.41687155442492</v>
      </c>
      <c r="P33" s="449">
        <v>896.88236674878237</v>
      </c>
      <c r="Q33" s="449">
        <v>868.55117279789329</v>
      </c>
      <c r="R33" s="449">
        <v>1111.6472491972856</v>
      </c>
      <c r="S33" s="449">
        <v>1026.3894390658565</v>
      </c>
      <c r="T33" s="449">
        <v>1069.5966341432347</v>
      </c>
      <c r="U33" s="449">
        <v>1443.7141922617679</v>
      </c>
      <c r="V33" s="449">
        <v>1621.4164483129248</v>
      </c>
      <c r="W33" s="449">
        <v>1610.4937846796472</v>
      </c>
      <c r="X33" s="449">
        <v>1885.3690824742271</v>
      </c>
      <c r="Y33" s="449">
        <v>1888.0336804123713</v>
      </c>
      <c r="Z33" s="449">
        <v>2537.458237113402</v>
      </c>
      <c r="AA33" s="449">
        <v>2472.6886678969072</v>
      </c>
      <c r="AB33" s="449">
        <v>2871.4042406494841</v>
      </c>
      <c r="AC33" s="449">
        <v>2539.9825701649484</v>
      </c>
      <c r="AD33" s="449">
        <v>3858.5516429999993</v>
      </c>
      <c r="AE33" s="449">
        <v>5557.5174673195879</v>
      </c>
      <c r="AF33" s="449">
        <v>7951.4695331478961</v>
      </c>
      <c r="AG33" s="449">
        <v>11024.645786804595</v>
      </c>
      <c r="AH33" s="449">
        <v>20229.199708156353</v>
      </c>
      <c r="AI33" s="449">
        <v>31590.064999999999</v>
      </c>
      <c r="AJ33" s="449">
        <v>46790.405000000006</v>
      </c>
      <c r="AK33" s="449">
        <v>55376.667999999998</v>
      </c>
      <c r="AL33" s="449">
        <v>54738.341</v>
      </c>
      <c r="AM33" s="449">
        <v>58647.341000000008</v>
      </c>
      <c r="AN33" s="449">
        <v>71139.028000000006</v>
      </c>
      <c r="AO33" s="449">
        <v>74678</v>
      </c>
      <c r="AP33" s="449">
        <v>89130</v>
      </c>
      <c r="AQ33" s="449">
        <v>121948</v>
      </c>
      <c r="AR33" s="449">
        <v>157649</v>
      </c>
      <c r="AS33" s="449">
        <v>160705</v>
      </c>
      <c r="AT33" s="449">
        <v>210300</v>
      </c>
      <c r="AU33" s="449">
        <v>251580</v>
      </c>
      <c r="AV33" s="449">
        <v>290411</v>
      </c>
      <c r="AW33" s="449">
        <v>250729.54806476613</v>
      </c>
      <c r="AX33" s="450">
        <v>268509.43671008403</v>
      </c>
    </row>
    <row r="34" spans="1:5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50"/>
    </row>
    <row r="35" spans="1:50" ht="13">
      <c r="A35" s="446" t="s">
        <v>766</v>
      </c>
      <c r="B35" s="449">
        <v>250.0085</v>
      </c>
      <c r="C35" s="449">
        <v>317.64150000000001</v>
      </c>
      <c r="D35" s="449">
        <v>355.24650000000003</v>
      </c>
      <c r="E35" s="449">
        <v>312.7765</v>
      </c>
      <c r="F35" s="449">
        <v>340.44954920943275</v>
      </c>
      <c r="G35" s="449">
        <v>389.45944891728789</v>
      </c>
      <c r="H35" s="449">
        <v>381.2116069106292</v>
      </c>
      <c r="I35" s="449">
        <v>398.88520164998192</v>
      </c>
      <c r="J35" s="449">
        <v>425.32188211791362</v>
      </c>
      <c r="K35" s="449">
        <v>473.13342255000651</v>
      </c>
      <c r="L35" s="449">
        <v>524.82444974007501</v>
      </c>
      <c r="M35" s="449">
        <v>552.42437382616924</v>
      </c>
      <c r="N35" s="449">
        <v>642.00169186150185</v>
      </c>
      <c r="O35" s="449">
        <v>737.91687155442492</v>
      </c>
      <c r="P35" s="449">
        <v>881.18236674878233</v>
      </c>
      <c r="Q35" s="449">
        <v>856.75117279789333</v>
      </c>
      <c r="R35" s="449">
        <v>1107.0472491972857</v>
      </c>
      <c r="S35" s="449">
        <v>1015.2894390658565</v>
      </c>
      <c r="T35" s="449">
        <v>1062.4966341432348</v>
      </c>
      <c r="U35" s="449">
        <v>1428.614192261768</v>
      </c>
      <c r="V35" s="449">
        <v>1590.0164483129247</v>
      </c>
      <c r="W35" s="449">
        <v>1588.1937846796473</v>
      </c>
      <c r="X35" s="449">
        <v>1867.969082474227</v>
      </c>
      <c r="Y35" s="449">
        <v>1871.9336804123711</v>
      </c>
      <c r="Z35" s="449">
        <v>2494.458237113402</v>
      </c>
      <c r="AA35" s="449">
        <v>2383.388667896907</v>
      </c>
      <c r="AB35" s="449">
        <v>2829.9042406494841</v>
      </c>
      <c r="AC35" s="449">
        <v>2512.6825701649482</v>
      </c>
      <c r="AD35" s="449">
        <v>3784.3516429999995</v>
      </c>
      <c r="AE35" s="449">
        <v>5448.5174673195879</v>
      </c>
      <c r="AF35" s="449">
        <v>7735.6280000000006</v>
      </c>
      <c r="AG35" s="449">
        <v>10723.803926338056</v>
      </c>
      <c r="AH35" s="449">
        <v>19655.617159692905</v>
      </c>
      <c r="AI35" s="449">
        <v>30467.7035</v>
      </c>
      <c r="AJ35" s="449">
        <v>44686.994000000006</v>
      </c>
      <c r="AK35" s="449">
        <v>53081.816999999995</v>
      </c>
      <c r="AL35" s="449">
        <v>52735.485000000001</v>
      </c>
      <c r="AM35" s="449">
        <v>55658.92</v>
      </c>
      <c r="AN35" s="449">
        <v>65881.820000000007</v>
      </c>
      <c r="AO35" s="449">
        <v>68304</v>
      </c>
      <c r="AP35" s="449">
        <v>80828</v>
      </c>
      <c r="AQ35" s="449">
        <v>111246</v>
      </c>
      <c r="AR35" s="449">
        <v>138494</v>
      </c>
      <c r="AS35" s="449">
        <v>146885</v>
      </c>
      <c r="AT35" s="449">
        <v>191076</v>
      </c>
      <c r="AU35" s="449">
        <v>223498</v>
      </c>
      <c r="AV35" s="449">
        <v>268220</v>
      </c>
      <c r="AW35" s="449">
        <v>233606.54806476613</v>
      </c>
      <c r="AX35" s="450">
        <v>245666.43671008403</v>
      </c>
    </row>
    <row r="36" spans="1:50" ht="13">
      <c r="A36" s="446" t="s">
        <v>757</v>
      </c>
      <c r="B36" s="449">
        <v>3.69</v>
      </c>
      <c r="C36" s="449">
        <v>0</v>
      </c>
      <c r="D36" s="449">
        <v>0.77</v>
      </c>
      <c r="E36" s="449">
        <v>4.32</v>
      </c>
      <c r="F36" s="449">
        <v>2.0790000000000002</v>
      </c>
      <c r="G36" s="449">
        <v>1.9119999999999999</v>
      </c>
      <c r="H36" s="449">
        <v>1.859</v>
      </c>
      <c r="I36" s="449">
        <v>4</v>
      </c>
      <c r="J36" s="449">
        <v>3.77</v>
      </c>
      <c r="K36" s="449">
        <v>4.7</v>
      </c>
      <c r="L36" s="449">
        <v>7.13</v>
      </c>
      <c r="M36" s="449">
        <v>13.41</v>
      </c>
      <c r="N36" s="449">
        <v>4</v>
      </c>
      <c r="O36" s="449">
        <v>5.5</v>
      </c>
      <c r="P36" s="449">
        <v>15.7</v>
      </c>
      <c r="Q36" s="449">
        <v>11.8</v>
      </c>
      <c r="R36" s="449">
        <v>4.5999999999999996</v>
      </c>
      <c r="S36" s="449">
        <v>11.1</v>
      </c>
      <c r="T36" s="449">
        <v>7.1</v>
      </c>
      <c r="U36" s="449">
        <v>15.1</v>
      </c>
      <c r="V36" s="449">
        <v>31.4</v>
      </c>
      <c r="W36" s="449">
        <v>22.3</v>
      </c>
      <c r="X36" s="449">
        <v>17.399999999999999</v>
      </c>
      <c r="Y36" s="449">
        <v>16.100000000000001</v>
      </c>
      <c r="Z36" s="449">
        <v>43</v>
      </c>
      <c r="AA36" s="449">
        <v>89.3</v>
      </c>
      <c r="AB36" s="449">
        <v>41.5</v>
      </c>
      <c r="AC36" s="449">
        <v>27.3</v>
      </c>
      <c r="AD36" s="449">
        <v>74.2</v>
      </c>
      <c r="AE36" s="449">
        <v>109</v>
      </c>
      <c r="AF36" s="449">
        <v>215.84153314789586</v>
      </c>
      <c r="AG36" s="449">
        <v>300.8418604665394</v>
      </c>
      <c r="AH36" s="449">
        <v>573.58254846344869</v>
      </c>
      <c r="AI36" s="449">
        <v>1122.3615</v>
      </c>
      <c r="AJ36" s="449">
        <v>2103.4109999999996</v>
      </c>
      <c r="AK36" s="449">
        <v>2294.8509999999997</v>
      </c>
      <c r="AL36" s="449">
        <v>2002.856</v>
      </c>
      <c r="AM36" s="449">
        <v>2988.4210000000003</v>
      </c>
      <c r="AN36" s="449">
        <v>5257.2080000000005</v>
      </c>
      <c r="AO36" s="449">
        <v>6374</v>
      </c>
      <c r="AP36" s="449">
        <v>8302</v>
      </c>
      <c r="AQ36" s="449">
        <v>10702</v>
      </c>
      <c r="AR36" s="449">
        <v>19155</v>
      </c>
      <c r="AS36" s="449">
        <v>13820</v>
      </c>
      <c r="AT36" s="449">
        <v>19224</v>
      </c>
      <c r="AU36" s="449">
        <v>28082</v>
      </c>
      <c r="AV36" s="449">
        <v>22191</v>
      </c>
      <c r="AW36" s="449">
        <v>17123</v>
      </c>
      <c r="AX36" s="450">
        <v>22843</v>
      </c>
    </row>
    <row r="37" spans="1:50" ht="13">
      <c r="A37" s="457" t="s">
        <v>770</v>
      </c>
      <c r="B37" s="449">
        <v>0</v>
      </c>
      <c r="C37" s="449">
        <v>0</v>
      </c>
      <c r="D37" s="449">
        <v>0</v>
      </c>
      <c r="E37" s="449">
        <v>0</v>
      </c>
      <c r="F37" s="449">
        <v>0.17899999999999999</v>
      </c>
      <c r="G37" s="449">
        <v>0.21199999999999999</v>
      </c>
      <c r="H37" s="449">
        <v>0.25900000000000001</v>
      </c>
      <c r="I37" s="449">
        <v>0</v>
      </c>
      <c r="J37" s="449">
        <v>7.0000000000000007E-2</v>
      </c>
      <c r="K37" s="449">
        <v>0</v>
      </c>
      <c r="L37" s="449">
        <v>0.03</v>
      </c>
      <c r="M37" s="449">
        <v>0.01</v>
      </c>
      <c r="N37" s="449">
        <v>0</v>
      </c>
      <c r="O37" s="449">
        <v>1</v>
      </c>
      <c r="P37" s="449">
        <v>0</v>
      </c>
      <c r="Q37" s="449">
        <v>2</v>
      </c>
      <c r="R37" s="449">
        <v>0</v>
      </c>
      <c r="S37" s="449">
        <v>2</v>
      </c>
      <c r="T37" s="449">
        <v>1</v>
      </c>
      <c r="U37" s="449">
        <v>0</v>
      </c>
      <c r="V37" s="449">
        <v>0</v>
      </c>
      <c r="W37" s="449">
        <v>0</v>
      </c>
      <c r="X37" s="449">
        <v>0</v>
      </c>
      <c r="Y37" s="449">
        <v>0</v>
      </c>
      <c r="Z37" s="449">
        <v>0</v>
      </c>
      <c r="AA37" s="449">
        <v>1</v>
      </c>
      <c r="AB37" s="449">
        <v>4</v>
      </c>
      <c r="AC37" s="449">
        <v>1</v>
      </c>
      <c r="AD37" s="449">
        <v>1</v>
      </c>
      <c r="AE37" s="449">
        <v>2</v>
      </c>
      <c r="AF37" s="449">
        <v>6.1730000000000018</v>
      </c>
      <c r="AG37" s="449">
        <v>15.009000000000015</v>
      </c>
      <c r="AH37" s="449">
        <v>0</v>
      </c>
      <c r="AI37" s="449">
        <v>16.68100000000004</v>
      </c>
      <c r="AJ37" s="449">
        <v>10.571999999999889</v>
      </c>
      <c r="AK37" s="449">
        <v>57.0150000000001</v>
      </c>
      <c r="AL37" s="449">
        <v>40.63799999999992</v>
      </c>
      <c r="AM37" s="449">
        <v>1</v>
      </c>
      <c r="AN37" s="449">
        <v>1</v>
      </c>
      <c r="AO37" s="447">
        <v>11</v>
      </c>
      <c r="AP37" s="447">
        <v>46</v>
      </c>
      <c r="AQ37" s="447">
        <v>325</v>
      </c>
      <c r="AR37" s="447">
        <v>326</v>
      </c>
      <c r="AS37" s="447">
        <v>33</v>
      </c>
      <c r="AT37" s="447">
        <v>1</v>
      </c>
      <c r="AU37" s="447">
        <v>2</v>
      </c>
      <c r="AV37" s="447">
        <v>8</v>
      </c>
      <c r="AW37" s="447">
        <v>2</v>
      </c>
      <c r="AX37" s="448">
        <v>104</v>
      </c>
    </row>
    <row r="38" spans="1:5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8"/>
    </row>
    <row r="39" spans="1:50" ht="13">
      <c r="A39" s="446" t="s">
        <v>767</v>
      </c>
      <c r="B39" s="449">
        <v>730.80401970310697</v>
      </c>
      <c r="C39" s="449">
        <v>792.20144980341684</v>
      </c>
      <c r="D39" s="449">
        <v>871.76471221949669</v>
      </c>
      <c r="E39" s="449">
        <v>856.7903467648357</v>
      </c>
      <c r="F39" s="449">
        <v>910.88389809523687</v>
      </c>
      <c r="G39" s="449">
        <v>977.87230246493345</v>
      </c>
      <c r="H39" s="449">
        <v>997.60901911979829</v>
      </c>
      <c r="I39" s="449">
        <v>1040.1534660763316</v>
      </c>
      <c r="J39" s="449">
        <v>1127.3155664879262</v>
      </c>
      <c r="K39" s="449">
        <v>1186.438559270397</v>
      </c>
      <c r="L39" s="449">
        <v>1342.4828239023973</v>
      </c>
      <c r="M39" s="449">
        <v>1378.9433288781452</v>
      </c>
      <c r="N39" s="449">
        <v>1578.837744164568</v>
      </c>
      <c r="O39" s="449">
        <v>1718.6157312867979</v>
      </c>
      <c r="P39" s="449">
        <v>1881.2691018851347</v>
      </c>
      <c r="Q39" s="449">
        <v>1856.2185847831272</v>
      </c>
      <c r="R39" s="449">
        <v>2155.9216652614696</v>
      </c>
      <c r="S39" s="449">
        <v>2127.1567105314962</v>
      </c>
      <c r="T39" s="449">
        <v>2201.4286634018786</v>
      </c>
      <c r="U39" s="449">
        <v>2636.4798621523919</v>
      </c>
      <c r="V39" s="449">
        <v>3018.3465836665118</v>
      </c>
      <c r="W39" s="449">
        <v>3050.0917601189917</v>
      </c>
      <c r="X39" s="449">
        <v>3496.7191018910853</v>
      </c>
      <c r="Y39" s="449">
        <v>3810.6851566916621</v>
      </c>
      <c r="Z39" s="449">
        <v>4550.9243466354228</v>
      </c>
      <c r="AA39" s="449">
        <v>4893.0653825546688</v>
      </c>
      <c r="AB39" s="449">
        <v>5623.392649766618</v>
      </c>
      <c r="AC39" s="449">
        <v>5872.7283339708702</v>
      </c>
      <c r="AD39" s="449">
        <v>9071.1034287832299</v>
      </c>
      <c r="AE39" s="449">
        <v>12307.637601597231</v>
      </c>
      <c r="AF39" s="449">
        <v>18988.715062364594</v>
      </c>
      <c r="AG39" s="449">
        <v>25702.770602111821</v>
      </c>
      <c r="AH39" s="449">
        <v>41614.420071372209</v>
      </c>
      <c r="AI39" s="449">
        <v>62598.069858322298</v>
      </c>
      <c r="AJ39" s="449">
        <v>85841.961939094763</v>
      </c>
      <c r="AK39" s="449">
        <v>106572.33690299041</v>
      </c>
      <c r="AL39" s="449">
        <v>121034.19504150332</v>
      </c>
      <c r="AM39" s="449">
        <v>138991.48124718707</v>
      </c>
      <c r="AN39" s="449">
        <v>176292.94978292694</v>
      </c>
      <c r="AO39" s="449">
        <v>200086.85615197395</v>
      </c>
      <c r="AP39" s="449">
        <v>261299.50490547752</v>
      </c>
      <c r="AQ39" s="449">
        <v>308312.52486230782</v>
      </c>
      <c r="AR39" s="449">
        <v>396503.38678314618</v>
      </c>
      <c r="AS39" s="449">
        <v>502252.49129026849</v>
      </c>
      <c r="AT39" s="449">
        <v>565389.85273749498</v>
      </c>
      <c r="AU39" s="449">
        <v>673973.64348911599</v>
      </c>
      <c r="AV39" s="449">
        <v>739526.28700796852</v>
      </c>
      <c r="AW39" s="449">
        <v>716846.80228582048</v>
      </c>
      <c r="AX39" s="450">
        <v>760738.55420637829</v>
      </c>
    </row>
    <row r="40" spans="1:5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8"/>
    </row>
    <row r="41" spans="1:50" ht="13.5" thickBot="1">
      <c r="A41" s="452" t="s">
        <v>768</v>
      </c>
      <c r="B41" s="453">
        <v>-24.178392546459122</v>
      </c>
      <c r="C41" s="453">
        <v>39.515154264005332</v>
      </c>
      <c r="D41" s="453">
        <v>95.147994166957233</v>
      </c>
      <c r="E41" s="453">
        <v>90.887702802312674</v>
      </c>
      <c r="F41" s="453">
        <v>69.53717135056695</v>
      </c>
      <c r="G41" s="453">
        <v>66.31494359067392</v>
      </c>
      <c r="H41" s="453">
        <v>125.60633952477781</v>
      </c>
      <c r="I41" s="453">
        <v>129.94145200255434</v>
      </c>
      <c r="J41" s="453">
        <v>159.95714941854635</v>
      </c>
      <c r="K41" s="453">
        <v>186.9009626377233</v>
      </c>
      <c r="L41" s="453">
        <v>111.85701524681372</v>
      </c>
      <c r="M41" s="453">
        <v>175.65980859369529</v>
      </c>
      <c r="N41" s="453">
        <v>68.864324635337198</v>
      </c>
      <c r="O41" s="453">
        <v>36.089031558514989</v>
      </c>
      <c r="P41" s="453">
        <v>-17.86906369369035</v>
      </c>
      <c r="Q41" s="453">
        <v>155.29440449664185</v>
      </c>
      <c r="R41" s="453">
        <v>-90.516553982080495</v>
      </c>
      <c r="S41" s="453">
        <v>210.86045462737275</v>
      </c>
      <c r="T41" s="453">
        <v>314.3324968803613</v>
      </c>
      <c r="U41" s="453">
        <v>290.47038186047257</v>
      </c>
      <c r="V41" s="453">
        <v>130.90373130443322</v>
      </c>
      <c r="W41" s="453">
        <v>319.76140743758197</v>
      </c>
      <c r="X41" s="453">
        <v>289.06015308827227</v>
      </c>
      <c r="Y41" s="453">
        <v>625.63546896655407</v>
      </c>
      <c r="Z41" s="453">
        <v>74.942191908196946</v>
      </c>
      <c r="AA41" s="453">
        <v>311.51309656835656</v>
      </c>
      <c r="AB41" s="453">
        <v>452.93582313551087</v>
      </c>
      <c r="AC41" s="453">
        <v>1287.5286527434309</v>
      </c>
      <c r="AD41" s="453">
        <v>3619.8600373457957</v>
      </c>
      <c r="AE41" s="453">
        <v>2464.8654373202407</v>
      </c>
      <c r="AF41" s="453">
        <v>2414.0431169967233</v>
      </c>
      <c r="AG41" s="453">
        <v>248.68862303812784</v>
      </c>
      <c r="AH41" s="453">
        <v>2371.0605745888097</v>
      </c>
      <c r="AI41" s="453">
        <v>-4492.2429999999877</v>
      </c>
      <c r="AJ41" s="453">
        <v>-14108.043000000005</v>
      </c>
      <c r="AK41" s="453">
        <v>-20809.588999999993</v>
      </c>
      <c r="AL41" s="453">
        <v>-19257.072999999989</v>
      </c>
      <c r="AM41" s="453">
        <v>-19379.831999999995</v>
      </c>
      <c r="AN41" s="453">
        <v>-25604.755000000005</v>
      </c>
      <c r="AO41" s="453">
        <v>-6215</v>
      </c>
      <c r="AP41" s="453">
        <v>2554</v>
      </c>
      <c r="AQ41" s="453">
        <v>15096</v>
      </c>
      <c r="AR41" s="453">
        <v>-12955</v>
      </c>
      <c r="AS41" s="453">
        <v>-67384</v>
      </c>
      <c r="AT41" s="453">
        <v>-26063</v>
      </c>
      <c r="AU41" s="453">
        <v>-11973</v>
      </c>
      <c r="AV41" s="453">
        <v>-54063</v>
      </c>
      <c r="AW41" s="453">
        <v>-21391.548064766219</v>
      </c>
      <c r="AX41" s="454">
        <v>6531.56328991591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1AD1-A22F-4DA3-B829-862A3593DBCF}">
  <sheetPr>
    <pageSetUpPr fitToPage="1"/>
  </sheetPr>
  <dimension ref="A1:AV41"/>
  <sheetViews>
    <sheetView showGridLines="0" workbookViewId="0"/>
  </sheetViews>
  <sheetFormatPr defaultRowHeight="12.5"/>
  <cols>
    <col min="1" max="1" width="58.26953125" style="396" customWidth="1"/>
    <col min="2" max="2" width="4.453125" style="396" customWidth="1"/>
    <col min="3" max="4" width="5" style="396" customWidth="1"/>
    <col min="5" max="6" width="5.26953125" style="396" customWidth="1"/>
    <col min="7" max="10" width="5.81640625" style="396" customWidth="1"/>
    <col min="11" max="11" width="5.26953125" style="396" customWidth="1"/>
    <col min="12" max="12" width="5.81640625" style="396" customWidth="1"/>
    <col min="13" max="17" width="6.453125" style="396" customWidth="1"/>
    <col min="18" max="20" width="10.7265625" style="396" customWidth="1"/>
    <col min="21" max="256" width="8.7265625" style="396"/>
    <col min="257" max="257" width="58.26953125" style="396" customWidth="1"/>
    <col min="258" max="258" width="4.453125" style="396" customWidth="1"/>
    <col min="259" max="260" width="5" style="396" customWidth="1"/>
    <col min="261" max="262" width="5.26953125" style="396" customWidth="1"/>
    <col min="263" max="266" width="5.81640625" style="396" customWidth="1"/>
    <col min="267" max="267" width="5.26953125" style="396" customWidth="1"/>
    <col min="268" max="268" width="5.81640625" style="396" customWidth="1"/>
    <col min="269" max="273" width="6.453125" style="396" customWidth="1"/>
    <col min="274" max="276" width="10.7265625" style="396" customWidth="1"/>
    <col min="277" max="512" width="8.7265625" style="396"/>
    <col min="513" max="513" width="58.26953125" style="396" customWidth="1"/>
    <col min="514" max="514" width="4.453125" style="396" customWidth="1"/>
    <col min="515" max="516" width="5" style="396" customWidth="1"/>
    <col min="517" max="518" width="5.26953125" style="396" customWidth="1"/>
    <col min="519" max="522" width="5.81640625" style="396" customWidth="1"/>
    <col min="523" max="523" width="5.26953125" style="396" customWidth="1"/>
    <col min="524" max="524" width="5.81640625" style="396" customWidth="1"/>
    <col min="525" max="529" width="6.453125" style="396" customWidth="1"/>
    <col min="530" max="532" width="10.7265625" style="396" customWidth="1"/>
    <col min="533" max="768" width="8.7265625" style="396"/>
    <col min="769" max="769" width="58.26953125" style="396" customWidth="1"/>
    <col min="770" max="770" width="4.453125" style="396" customWidth="1"/>
    <col min="771" max="772" width="5" style="396" customWidth="1"/>
    <col min="773" max="774" width="5.26953125" style="396" customWidth="1"/>
    <col min="775" max="778" width="5.81640625" style="396" customWidth="1"/>
    <col min="779" max="779" width="5.26953125" style="396" customWidth="1"/>
    <col min="780" max="780" width="5.81640625" style="396" customWidth="1"/>
    <col min="781" max="785" width="6.453125" style="396" customWidth="1"/>
    <col min="786" max="788" width="10.7265625" style="396" customWidth="1"/>
    <col min="789" max="1024" width="8.7265625" style="396"/>
    <col min="1025" max="1025" width="58.26953125" style="396" customWidth="1"/>
    <col min="1026" max="1026" width="4.453125" style="396" customWidth="1"/>
    <col min="1027" max="1028" width="5" style="396" customWidth="1"/>
    <col min="1029" max="1030" width="5.26953125" style="396" customWidth="1"/>
    <col min="1031" max="1034" width="5.81640625" style="396" customWidth="1"/>
    <col min="1035" max="1035" width="5.26953125" style="396" customWidth="1"/>
    <col min="1036" max="1036" width="5.81640625" style="396" customWidth="1"/>
    <col min="1037" max="1041" width="6.453125" style="396" customWidth="1"/>
    <col min="1042" max="1044" width="10.7265625" style="396" customWidth="1"/>
    <col min="1045" max="1280" width="8.7265625" style="396"/>
    <col min="1281" max="1281" width="58.26953125" style="396" customWidth="1"/>
    <col min="1282" max="1282" width="4.453125" style="396" customWidth="1"/>
    <col min="1283" max="1284" width="5" style="396" customWidth="1"/>
    <col min="1285" max="1286" width="5.26953125" style="396" customWidth="1"/>
    <col min="1287" max="1290" width="5.81640625" style="396" customWidth="1"/>
    <col min="1291" max="1291" width="5.26953125" style="396" customWidth="1"/>
    <col min="1292" max="1292" width="5.81640625" style="396" customWidth="1"/>
    <col min="1293" max="1297" width="6.453125" style="396" customWidth="1"/>
    <col min="1298" max="1300" width="10.7265625" style="396" customWidth="1"/>
    <col min="1301" max="1536" width="8.7265625" style="396"/>
    <col min="1537" max="1537" width="58.26953125" style="396" customWidth="1"/>
    <col min="1538" max="1538" width="4.453125" style="396" customWidth="1"/>
    <col min="1539" max="1540" width="5" style="396" customWidth="1"/>
    <col min="1541" max="1542" width="5.26953125" style="396" customWidth="1"/>
    <col min="1543" max="1546" width="5.81640625" style="396" customWidth="1"/>
    <col min="1547" max="1547" width="5.26953125" style="396" customWidth="1"/>
    <col min="1548" max="1548" width="5.81640625" style="396" customWidth="1"/>
    <col min="1549" max="1553" width="6.453125" style="396" customWidth="1"/>
    <col min="1554" max="1556" width="10.7265625" style="396" customWidth="1"/>
    <col min="1557" max="1792" width="8.7265625" style="396"/>
    <col min="1793" max="1793" width="58.26953125" style="396" customWidth="1"/>
    <col min="1794" max="1794" width="4.453125" style="396" customWidth="1"/>
    <col min="1795" max="1796" width="5" style="396" customWidth="1"/>
    <col min="1797" max="1798" width="5.26953125" style="396" customWidth="1"/>
    <col min="1799" max="1802" width="5.81640625" style="396" customWidth="1"/>
    <col min="1803" max="1803" width="5.26953125" style="396" customWidth="1"/>
    <col min="1804" max="1804" width="5.81640625" style="396" customWidth="1"/>
    <col min="1805" max="1809" width="6.453125" style="396" customWidth="1"/>
    <col min="1810" max="1812" width="10.7265625" style="396" customWidth="1"/>
    <col min="1813" max="2048" width="8.7265625" style="396"/>
    <col min="2049" max="2049" width="58.26953125" style="396" customWidth="1"/>
    <col min="2050" max="2050" width="4.453125" style="396" customWidth="1"/>
    <col min="2051" max="2052" width="5" style="396" customWidth="1"/>
    <col min="2053" max="2054" width="5.26953125" style="396" customWidth="1"/>
    <col min="2055" max="2058" width="5.81640625" style="396" customWidth="1"/>
    <col min="2059" max="2059" width="5.26953125" style="396" customWidth="1"/>
    <col min="2060" max="2060" width="5.81640625" style="396" customWidth="1"/>
    <col min="2061" max="2065" width="6.453125" style="396" customWidth="1"/>
    <col min="2066" max="2068" width="10.7265625" style="396" customWidth="1"/>
    <col min="2069" max="2304" width="8.7265625" style="396"/>
    <col min="2305" max="2305" width="58.26953125" style="396" customWidth="1"/>
    <col min="2306" max="2306" width="4.453125" style="396" customWidth="1"/>
    <col min="2307" max="2308" width="5" style="396" customWidth="1"/>
    <col min="2309" max="2310" width="5.26953125" style="396" customWidth="1"/>
    <col min="2311" max="2314" width="5.81640625" style="396" customWidth="1"/>
    <col min="2315" max="2315" width="5.26953125" style="396" customWidth="1"/>
    <col min="2316" max="2316" width="5.81640625" style="396" customWidth="1"/>
    <col min="2317" max="2321" width="6.453125" style="396" customWidth="1"/>
    <col min="2322" max="2324" width="10.7265625" style="396" customWidth="1"/>
    <col min="2325" max="2560" width="8.7265625" style="396"/>
    <col min="2561" max="2561" width="58.26953125" style="396" customWidth="1"/>
    <col min="2562" max="2562" width="4.453125" style="396" customWidth="1"/>
    <col min="2563" max="2564" width="5" style="396" customWidth="1"/>
    <col min="2565" max="2566" width="5.26953125" style="396" customWidth="1"/>
    <col min="2567" max="2570" width="5.81640625" style="396" customWidth="1"/>
    <col min="2571" max="2571" width="5.26953125" style="396" customWidth="1"/>
    <col min="2572" max="2572" width="5.81640625" style="396" customWidth="1"/>
    <col min="2573" max="2577" width="6.453125" style="396" customWidth="1"/>
    <col min="2578" max="2580" width="10.7265625" style="396" customWidth="1"/>
    <col min="2581" max="2816" width="8.7265625" style="396"/>
    <col min="2817" max="2817" width="58.26953125" style="396" customWidth="1"/>
    <col min="2818" max="2818" width="4.453125" style="396" customWidth="1"/>
    <col min="2819" max="2820" width="5" style="396" customWidth="1"/>
    <col min="2821" max="2822" width="5.26953125" style="396" customWidth="1"/>
    <col min="2823" max="2826" width="5.81640625" style="396" customWidth="1"/>
    <col min="2827" max="2827" width="5.26953125" style="396" customWidth="1"/>
    <col min="2828" max="2828" width="5.81640625" style="396" customWidth="1"/>
    <col min="2829" max="2833" width="6.453125" style="396" customWidth="1"/>
    <col min="2834" max="2836" width="10.7265625" style="396" customWidth="1"/>
    <col min="2837" max="3072" width="8.7265625" style="396"/>
    <col min="3073" max="3073" width="58.26953125" style="396" customWidth="1"/>
    <col min="3074" max="3074" width="4.453125" style="396" customWidth="1"/>
    <col min="3075" max="3076" width="5" style="396" customWidth="1"/>
    <col min="3077" max="3078" width="5.26953125" style="396" customWidth="1"/>
    <col min="3079" max="3082" width="5.81640625" style="396" customWidth="1"/>
    <col min="3083" max="3083" width="5.26953125" style="396" customWidth="1"/>
    <col min="3084" max="3084" width="5.81640625" style="396" customWidth="1"/>
    <col min="3085" max="3089" width="6.453125" style="396" customWidth="1"/>
    <col min="3090" max="3092" width="10.7265625" style="396" customWidth="1"/>
    <col min="3093" max="3328" width="8.7265625" style="396"/>
    <col min="3329" max="3329" width="58.26953125" style="396" customWidth="1"/>
    <col min="3330" max="3330" width="4.453125" style="396" customWidth="1"/>
    <col min="3331" max="3332" width="5" style="396" customWidth="1"/>
    <col min="3333" max="3334" width="5.26953125" style="396" customWidth="1"/>
    <col min="3335" max="3338" width="5.81640625" style="396" customWidth="1"/>
    <col min="3339" max="3339" width="5.26953125" style="396" customWidth="1"/>
    <col min="3340" max="3340" width="5.81640625" style="396" customWidth="1"/>
    <col min="3341" max="3345" width="6.453125" style="396" customWidth="1"/>
    <col min="3346" max="3348" width="10.7265625" style="396" customWidth="1"/>
    <col min="3349" max="3584" width="8.7265625" style="396"/>
    <col min="3585" max="3585" width="58.26953125" style="396" customWidth="1"/>
    <col min="3586" max="3586" width="4.453125" style="396" customWidth="1"/>
    <col min="3587" max="3588" width="5" style="396" customWidth="1"/>
    <col min="3589" max="3590" width="5.26953125" style="396" customWidth="1"/>
    <col min="3591" max="3594" width="5.81640625" style="396" customWidth="1"/>
    <col min="3595" max="3595" width="5.26953125" style="396" customWidth="1"/>
    <col min="3596" max="3596" width="5.81640625" style="396" customWidth="1"/>
    <col min="3597" max="3601" width="6.453125" style="396" customWidth="1"/>
    <col min="3602" max="3604" width="10.7265625" style="396" customWidth="1"/>
    <col min="3605" max="3840" width="8.7265625" style="396"/>
    <col min="3841" max="3841" width="58.26953125" style="396" customWidth="1"/>
    <col min="3842" max="3842" width="4.453125" style="396" customWidth="1"/>
    <col min="3843" max="3844" width="5" style="396" customWidth="1"/>
    <col min="3845" max="3846" width="5.26953125" style="396" customWidth="1"/>
    <col min="3847" max="3850" width="5.81640625" style="396" customWidth="1"/>
    <col min="3851" max="3851" width="5.26953125" style="396" customWidth="1"/>
    <col min="3852" max="3852" width="5.81640625" style="396" customWidth="1"/>
    <col min="3853" max="3857" width="6.453125" style="396" customWidth="1"/>
    <col min="3858" max="3860" width="10.7265625" style="396" customWidth="1"/>
    <col min="3861" max="4096" width="8.7265625" style="396"/>
    <col min="4097" max="4097" width="58.26953125" style="396" customWidth="1"/>
    <col min="4098" max="4098" width="4.453125" style="396" customWidth="1"/>
    <col min="4099" max="4100" width="5" style="396" customWidth="1"/>
    <col min="4101" max="4102" width="5.26953125" style="396" customWidth="1"/>
    <col min="4103" max="4106" width="5.81640625" style="396" customWidth="1"/>
    <col min="4107" max="4107" width="5.26953125" style="396" customWidth="1"/>
    <col min="4108" max="4108" width="5.81640625" style="396" customWidth="1"/>
    <col min="4109" max="4113" width="6.453125" style="396" customWidth="1"/>
    <col min="4114" max="4116" width="10.7265625" style="396" customWidth="1"/>
    <col min="4117" max="4352" width="8.7265625" style="396"/>
    <col min="4353" max="4353" width="58.26953125" style="396" customWidth="1"/>
    <col min="4354" max="4354" width="4.453125" style="396" customWidth="1"/>
    <col min="4355" max="4356" width="5" style="396" customWidth="1"/>
    <col min="4357" max="4358" width="5.26953125" style="396" customWidth="1"/>
    <col min="4359" max="4362" width="5.81640625" style="396" customWidth="1"/>
    <col min="4363" max="4363" width="5.26953125" style="396" customWidth="1"/>
    <col min="4364" max="4364" width="5.81640625" style="396" customWidth="1"/>
    <col min="4365" max="4369" width="6.453125" style="396" customWidth="1"/>
    <col min="4370" max="4372" width="10.7265625" style="396" customWidth="1"/>
    <col min="4373" max="4608" width="8.7265625" style="396"/>
    <col min="4609" max="4609" width="58.26953125" style="396" customWidth="1"/>
    <col min="4610" max="4610" width="4.453125" style="396" customWidth="1"/>
    <col min="4611" max="4612" width="5" style="396" customWidth="1"/>
    <col min="4613" max="4614" width="5.26953125" style="396" customWidth="1"/>
    <col min="4615" max="4618" width="5.81640625" style="396" customWidth="1"/>
    <col min="4619" max="4619" width="5.26953125" style="396" customWidth="1"/>
    <col min="4620" max="4620" width="5.81640625" style="396" customWidth="1"/>
    <col min="4621" max="4625" width="6.453125" style="396" customWidth="1"/>
    <col min="4626" max="4628" width="10.7265625" style="396" customWidth="1"/>
    <col min="4629" max="4864" width="8.7265625" style="396"/>
    <col min="4865" max="4865" width="58.26953125" style="396" customWidth="1"/>
    <col min="4866" max="4866" width="4.453125" style="396" customWidth="1"/>
    <col min="4867" max="4868" width="5" style="396" customWidth="1"/>
    <col min="4869" max="4870" width="5.26953125" style="396" customWidth="1"/>
    <col min="4871" max="4874" width="5.81640625" style="396" customWidth="1"/>
    <col min="4875" max="4875" width="5.26953125" style="396" customWidth="1"/>
    <col min="4876" max="4876" width="5.81640625" style="396" customWidth="1"/>
    <col min="4877" max="4881" width="6.453125" style="396" customWidth="1"/>
    <col min="4882" max="4884" width="10.7265625" style="396" customWidth="1"/>
    <col min="4885" max="5120" width="8.7265625" style="396"/>
    <col min="5121" max="5121" width="58.26953125" style="396" customWidth="1"/>
    <col min="5122" max="5122" width="4.453125" style="396" customWidth="1"/>
    <col min="5123" max="5124" width="5" style="396" customWidth="1"/>
    <col min="5125" max="5126" width="5.26953125" style="396" customWidth="1"/>
    <col min="5127" max="5130" width="5.81640625" style="396" customWidth="1"/>
    <col min="5131" max="5131" width="5.26953125" style="396" customWidth="1"/>
    <col min="5132" max="5132" width="5.81640625" style="396" customWidth="1"/>
    <col min="5133" max="5137" width="6.453125" style="396" customWidth="1"/>
    <col min="5138" max="5140" width="10.7265625" style="396" customWidth="1"/>
    <col min="5141" max="5376" width="8.7265625" style="396"/>
    <col min="5377" max="5377" width="58.26953125" style="396" customWidth="1"/>
    <col min="5378" max="5378" width="4.453125" style="396" customWidth="1"/>
    <col min="5379" max="5380" width="5" style="396" customWidth="1"/>
    <col min="5381" max="5382" width="5.26953125" style="396" customWidth="1"/>
    <col min="5383" max="5386" width="5.81640625" style="396" customWidth="1"/>
    <col min="5387" max="5387" width="5.26953125" style="396" customWidth="1"/>
    <col min="5388" max="5388" width="5.81640625" style="396" customWidth="1"/>
    <col min="5389" max="5393" width="6.453125" style="396" customWidth="1"/>
    <col min="5394" max="5396" width="10.7265625" style="396" customWidth="1"/>
    <col min="5397" max="5632" width="8.7265625" style="396"/>
    <col min="5633" max="5633" width="58.26953125" style="396" customWidth="1"/>
    <col min="5634" max="5634" width="4.453125" style="396" customWidth="1"/>
    <col min="5635" max="5636" width="5" style="396" customWidth="1"/>
    <col min="5637" max="5638" width="5.26953125" style="396" customWidth="1"/>
    <col min="5639" max="5642" width="5.81640625" style="396" customWidth="1"/>
    <col min="5643" max="5643" width="5.26953125" style="396" customWidth="1"/>
    <col min="5644" max="5644" width="5.81640625" style="396" customWidth="1"/>
    <col min="5645" max="5649" width="6.453125" style="396" customWidth="1"/>
    <col min="5650" max="5652" width="10.7265625" style="396" customWidth="1"/>
    <col min="5653" max="5888" width="8.7265625" style="396"/>
    <col min="5889" max="5889" width="58.26953125" style="396" customWidth="1"/>
    <col min="5890" max="5890" width="4.453125" style="396" customWidth="1"/>
    <col min="5891" max="5892" width="5" style="396" customWidth="1"/>
    <col min="5893" max="5894" width="5.26953125" style="396" customWidth="1"/>
    <col min="5895" max="5898" width="5.81640625" style="396" customWidth="1"/>
    <col min="5899" max="5899" width="5.26953125" style="396" customWidth="1"/>
    <col min="5900" max="5900" width="5.81640625" style="396" customWidth="1"/>
    <col min="5901" max="5905" width="6.453125" style="396" customWidth="1"/>
    <col min="5906" max="5908" width="10.7265625" style="396" customWidth="1"/>
    <col min="5909" max="6144" width="8.7265625" style="396"/>
    <col min="6145" max="6145" width="58.26953125" style="396" customWidth="1"/>
    <col min="6146" max="6146" width="4.453125" style="396" customWidth="1"/>
    <col min="6147" max="6148" width="5" style="396" customWidth="1"/>
    <col min="6149" max="6150" width="5.26953125" style="396" customWidth="1"/>
    <col min="6151" max="6154" width="5.81640625" style="396" customWidth="1"/>
    <col min="6155" max="6155" width="5.26953125" style="396" customWidth="1"/>
    <col min="6156" max="6156" width="5.81640625" style="396" customWidth="1"/>
    <col min="6157" max="6161" width="6.453125" style="396" customWidth="1"/>
    <col min="6162" max="6164" width="10.7265625" style="396" customWidth="1"/>
    <col min="6165" max="6400" width="8.7265625" style="396"/>
    <col min="6401" max="6401" width="58.26953125" style="396" customWidth="1"/>
    <col min="6402" max="6402" width="4.453125" style="396" customWidth="1"/>
    <col min="6403" max="6404" width="5" style="396" customWidth="1"/>
    <col min="6405" max="6406" width="5.26953125" style="396" customWidth="1"/>
    <col min="6407" max="6410" width="5.81640625" style="396" customWidth="1"/>
    <col min="6411" max="6411" width="5.26953125" style="396" customWidth="1"/>
    <col min="6412" max="6412" width="5.81640625" style="396" customWidth="1"/>
    <col min="6413" max="6417" width="6.453125" style="396" customWidth="1"/>
    <col min="6418" max="6420" width="10.7265625" style="396" customWidth="1"/>
    <col min="6421" max="6656" width="8.7265625" style="396"/>
    <col min="6657" max="6657" width="58.26953125" style="396" customWidth="1"/>
    <col min="6658" max="6658" width="4.453125" style="396" customWidth="1"/>
    <col min="6659" max="6660" width="5" style="396" customWidth="1"/>
    <col min="6661" max="6662" width="5.26953125" style="396" customWidth="1"/>
    <col min="6663" max="6666" width="5.81640625" style="396" customWidth="1"/>
    <col min="6667" max="6667" width="5.26953125" style="396" customWidth="1"/>
    <col min="6668" max="6668" width="5.81640625" style="396" customWidth="1"/>
    <col min="6669" max="6673" width="6.453125" style="396" customWidth="1"/>
    <col min="6674" max="6676" width="10.7265625" style="396" customWidth="1"/>
    <col min="6677" max="6912" width="8.7265625" style="396"/>
    <col min="6913" max="6913" width="58.26953125" style="396" customWidth="1"/>
    <col min="6914" max="6914" width="4.453125" style="396" customWidth="1"/>
    <col min="6915" max="6916" width="5" style="396" customWidth="1"/>
    <col min="6917" max="6918" width="5.26953125" style="396" customWidth="1"/>
    <col min="6919" max="6922" width="5.81640625" style="396" customWidth="1"/>
    <col min="6923" max="6923" width="5.26953125" style="396" customWidth="1"/>
    <col min="6924" max="6924" width="5.81640625" style="396" customWidth="1"/>
    <col min="6925" max="6929" width="6.453125" style="396" customWidth="1"/>
    <col min="6930" max="6932" width="10.7265625" style="396" customWidth="1"/>
    <col min="6933" max="7168" width="8.7265625" style="396"/>
    <col min="7169" max="7169" width="58.26953125" style="396" customWidth="1"/>
    <col min="7170" max="7170" width="4.453125" style="396" customWidth="1"/>
    <col min="7171" max="7172" width="5" style="396" customWidth="1"/>
    <col min="7173" max="7174" width="5.26953125" style="396" customWidth="1"/>
    <col min="7175" max="7178" width="5.81640625" style="396" customWidth="1"/>
    <col min="7179" max="7179" width="5.26953125" style="396" customWidth="1"/>
    <col min="7180" max="7180" width="5.81640625" style="396" customWidth="1"/>
    <col min="7181" max="7185" width="6.453125" style="396" customWidth="1"/>
    <col min="7186" max="7188" width="10.7265625" style="396" customWidth="1"/>
    <col min="7189" max="7424" width="8.7265625" style="396"/>
    <col min="7425" max="7425" width="58.26953125" style="396" customWidth="1"/>
    <col min="7426" max="7426" width="4.453125" style="396" customWidth="1"/>
    <col min="7427" max="7428" width="5" style="396" customWidth="1"/>
    <col min="7429" max="7430" width="5.26953125" style="396" customWidth="1"/>
    <col min="7431" max="7434" width="5.81640625" style="396" customWidth="1"/>
    <col min="7435" max="7435" width="5.26953125" style="396" customWidth="1"/>
    <col min="7436" max="7436" width="5.81640625" style="396" customWidth="1"/>
    <col min="7437" max="7441" width="6.453125" style="396" customWidth="1"/>
    <col min="7442" max="7444" width="10.7265625" style="396" customWidth="1"/>
    <col min="7445" max="7680" width="8.7265625" style="396"/>
    <col min="7681" max="7681" width="58.26953125" style="396" customWidth="1"/>
    <col min="7682" max="7682" width="4.453125" style="396" customWidth="1"/>
    <col min="7683" max="7684" width="5" style="396" customWidth="1"/>
    <col min="7685" max="7686" width="5.26953125" style="396" customWidth="1"/>
    <col min="7687" max="7690" width="5.81640625" style="396" customWidth="1"/>
    <col min="7691" max="7691" width="5.26953125" style="396" customWidth="1"/>
    <col min="7692" max="7692" width="5.81640625" style="396" customWidth="1"/>
    <col min="7693" max="7697" width="6.453125" style="396" customWidth="1"/>
    <col min="7698" max="7700" width="10.7265625" style="396" customWidth="1"/>
    <col min="7701" max="7936" width="8.7265625" style="396"/>
    <col min="7937" max="7937" width="58.26953125" style="396" customWidth="1"/>
    <col min="7938" max="7938" width="4.453125" style="396" customWidth="1"/>
    <col min="7939" max="7940" width="5" style="396" customWidth="1"/>
    <col min="7941" max="7942" width="5.26953125" style="396" customWidth="1"/>
    <col min="7943" max="7946" width="5.81640625" style="396" customWidth="1"/>
    <col min="7947" max="7947" width="5.26953125" style="396" customWidth="1"/>
    <col min="7948" max="7948" width="5.81640625" style="396" customWidth="1"/>
    <col min="7949" max="7953" width="6.453125" style="396" customWidth="1"/>
    <col min="7954" max="7956" width="10.7265625" style="396" customWidth="1"/>
    <col min="7957" max="8192" width="8.7265625" style="396"/>
    <col min="8193" max="8193" width="58.26953125" style="396" customWidth="1"/>
    <col min="8194" max="8194" width="4.453125" style="396" customWidth="1"/>
    <col min="8195" max="8196" width="5" style="396" customWidth="1"/>
    <col min="8197" max="8198" width="5.26953125" style="396" customWidth="1"/>
    <col min="8199" max="8202" width="5.81640625" style="396" customWidth="1"/>
    <col min="8203" max="8203" width="5.26953125" style="396" customWidth="1"/>
    <col min="8204" max="8204" width="5.81640625" style="396" customWidth="1"/>
    <col min="8205" max="8209" width="6.453125" style="396" customWidth="1"/>
    <col min="8210" max="8212" width="10.7265625" style="396" customWidth="1"/>
    <col min="8213" max="8448" width="8.7265625" style="396"/>
    <col min="8449" max="8449" width="58.26953125" style="396" customWidth="1"/>
    <col min="8450" max="8450" width="4.453125" style="396" customWidth="1"/>
    <col min="8451" max="8452" width="5" style="396" customWidth="1"/>
    <col min="8453" max="8454" width="5.26953125" style="396" customWidth="1"/>
    <col min="8455" max="8458" width="5.81640625" style="396" customWidth="1"/>
    <col min="8459" max="8459" width="5.26953125" style="396" customWidth="1"/>
    <col min="8460" max="8460" width="5.81640625" style="396" customWidth="1"/>
    <col min="8461" max="8465" width="6.453125" style="396" customWidth="1"/>
    <col min="8466" max="8468" width="10.7265625" style="396" customWidth="1"/>
    <col min="8469" max="8704" width="8.7265625" style="396"/>
    <col min="8705" max="8705" width="58.26953125" style="396" customWidth="1"/>
    <col min="8706" max="8706" width="4.453125" style="396" customWidth="1"/>
    <col min="8707" max="8708" width="5" style="396" customWidth="1"/>
    <col min="8709" max="8710" width="5.26953125" style="396" customWidth="1"/>
    <col min="8711" max="8714" width="5.81640625" style="396" customWidth="1"/>
    <col min="8715" max="8715" width="5.26953125" style="396" customWidth="1"/>
    <col min="8716" max="8716" width="5.81640625" style="396" customWidth="1"/>
    <col min="8717" max="8721" width="6.453125" style="396" customWidth="1"/>
    <col min="8722" max="8724" width="10.7265625" style="396" customWidth="1"/>
    <col min="8725" max="8960" width="8.7265625" style="396"/>
    <col min="8961" max="8961" width="58.26953125" style="396" customWidth="1"/>
    <col min="8962" max="8962" width="4.453125" style="396" customWidth="1"/>
    <col min="8963" max="8964" width="5" style="396" customWidth="1"/>
    <col min="8965" max="8966" width="5.26953125" style="396" customWidth="1"/>
    <col min="8967" max="8970" width="5.81640625" style="396" customWidth="1"/>
    <col min="8971" max="8971" width="5.26953125" style="396" customWidth="1"/>
    <col min="8972" max="8972" width="5.81640625" style="396" customWidth="1"/>
    <col min="8973" max="8977" width="6.453125" style="396" customWidth="1"/>
    <col min="8978" max="8980" width="10.7265625" style="396" customWidth="1"/>
    <col min="8981" max="9216" width="8.7265625" style="396"/>
    <col min="9217" max="9217" width="58.26953125" style="396" customWidth="1"/>
    <col min="9218" max="9218" width="4.453125" style="396" customWidth="1"/>
    <col min="9219" max="9220" width="5" style="396" customWidth="1"/>
    <col min="9221" max="9222" width="5.26953125" style="396" customWidth="1"/>
    <col min="9223" max="9226" width="5.81640625" style="396" customWidth="1"/>
    <col min="9227" max="9227" width="5.26953125" style="396" customWidth="1"/>
    <col min="9228" max="9228" width="5.81640625" style="396" customWidth="1"/>
    <col min="9229" max="9233" width="6.453125" style="396" customWidth="1"/>
    <col min="9234" max="9236" width="10.7265625" style="396" customWidth="1"/>
    <col min="9237" max="9472" width="8.7265625" style="396"/>
    <col min="9473" max="9473" width="58.26953125" style="396" customWidth="1"/>
    <col min="9474" max="9474" width="4.453125" style="396" customWidth="1"/>
    <col min="9475" max="9476" width="5" style="396" customWidth="1"/>
    <col min="9477" max="9478" width="5.26953125" style="396" customWidth="1"/>
    <col min="9479" max="9482" width="5.81640625" style="396" customWidth="1"/>
    <col min="9483" max="9483" width="5.26953125" style="396" customWidth="1"/>
    <col min="9484" max="9484" width="5.81640625" style="396" customWidth="1"/>
    <col min="9485" max="9489" width="6.453125" style="396" customWidth="1"/>
    <col min="9490" max="9492" width="10.7265625" style="396" customWidth="1"/>
    <col min="9493" max="9728" width="8.7265625" style="396"/>
    <col min="9729" max="9729" width="58.26953125" style="396" customWidth="1"/>
    <col min="9730" max="9730" width="4.453125" style="396" customWidth="1"/>
    <col min="9731" max="9732" width="5" style="396" customWidth="1"/>
    <col min="9733" max="9734" width="5.26953125" style="396" customWidth="1"/>
    <col min="9735" max="9738" width="5.81640625" style="396" customWidth="1"/>
    <col min="9739" max="9739" width="5.26953125" style="396" customWidth="1"/>
    <col min="9740" max="9740" width="5.81640625" style="396" customWidth="1"/>
    <col min="9741" max="9745" width="6.453125" style="396" customWidth="1"/>
    <col min="9746" max="9748" width="10.7265625" style="396" customWidth="1"/>
    <col min="9749" max="9984" width="8.7265625" style="396"/>
    <col min="9985" max="9985" width="58.26953125" style="396" customWidth="1"/>
    <col min="9986" max="9986" width="4.453125" style="396" customWidth="1"/>
    <col min="9987" max="9988" width="5" style="396" customWidth="1"/>
    <col min="9989" max="9990" width="5.26953125" style="396" customWidth="1"/>
    <col min="9991" max="9994" width="5.81640625" style="396" customWidth="1"/>
    <col min="9995" max="9995" width="5.26953125" style="396" customWidth="1"/>
    <col min="9996" max="9996" width="5.81640625" style="396" customWidth="1"/>
    <col min="9997" max="10001" width="6.453125" style="396" customWidth="1"/>
    <col min="10002" max="10004" width="10.7265625" style="396" customWidth="1"/>
    <col min="10005" max="10240" width="8.7265625" style="396"/>
    <col min="10241" max="10241" width="58.26953125" style="396" customWidth="1"/>
    <col min="10242" max="10242" width="4.453125" style="396" customWidth="1"/>
    <col min="10243" max="10244" width="5" style="396" customWidth="1"/>
    <col min="10245" max="10246" width="5.26953125" style="396" customWidth="1"/>
    <col min="10247" max="10250" width="5.81640625" style="396" customWidth="1"/>
    <col min="10251" max="10251" width="5.26953125" style="396" customWidth="1"/>
    <col min="10252" max="10252" width="5.81640625" style="396" customWidth="1"/>
    <col min="10253" max="10257" width="6.453125" style="396" customWidth="1"/>
    <col min="10258" max="10260" width="10.7265625" style="396" customWidth="1"/>
    <col min="10261" max="10496" width="8.7265625" style="396"/>
    <col min="10497" max="10497" width="58.26953125" style="396" customWidth="1"/>
    <col min="10498" max="10498" width="4.453125" style="396" customWidth="1"/>
    <col min="10499" max="10500" width="5" style="396" customWidth="1"/>
    <col min="10501" max="10502" width="5.26953125" style="396" customWidth="1"/>
    <col min="10503" max="10506" width="5.81640625" style="396" customWidth="1"/>
    <col min="10507" max="10507" width="5.26953125" style="396" customWidth="1"/>
    <col min="10508" max="10508" width="5.81640625" style="396" customWidth="1"/>
    <col min="10509" max="10513" width="6.453125" style="396" customWidth="1"/>
    <col min="10514" max="10516" width="10.7265625" style="396" customWidth="1"/>
    <col min="10517" max="10752" width="8.7265625" style="396"/>
    <col min="10753" max="10753" width="58.26953125" style="396" customWidth="1"/>
    <col min="10754" max="10754" width="4.453125" style="396" customWidth="1"/>
    <col min="10755" max="10756" width="5" style="396" customWidth="1"/>
    <col min="10757" max="10758" width="5.26953125" style="396" customWidth="1"/>
    <col min="10759" max="10762" width="5.81640625" style="396" customWidth="1"/>
    <col min="10763" max="10763" width="5.26953125" style="396" customWidth="1"/>
    <col min="10764" max="10764" width="5.81640625" style="396" customWidth="1"/>
    <col min="10765" max="10769" width="6.453125" style="396" customWidth="1"/>
    <col min="10770" max="10772" width="10.7265625" style="396" customWidth="1"/>
    <col min="10773" max="11008" width="8.7265625" style="396"/>
    <col min="11009" max="11009" width="58.26953125" style="396" customWidth="1"/>
    <col min="11010" max="11010" width="4.453125" style="396" customWidth="1"/>
    <col min="11011" max="11012" width="5" style="396" customWidth="1"/>
    <col min="11013" max="11014" width="5.26953125" style="396" customWidth="1"/>
    <col min="11015" max="11018" width="5.81640625" style="396" customWidth="1"/>
    <col min="11019" max="11019" width="5.26953125" style="396" customWidth="1"/>
    <col min="11020" max="11020" width="5.81640625" style="396" customWidth="1"/>
    <col min="11021" max="11025" width="6.453125" style="396" customWidth="1"/>
    <col min="11026" max="11028" width="10.7265625" style="396" customWidth="1"/>
    <col min="11029" max="11264" width="8.7265625" style="396"/>
    <col min="11265" max="11265" width="58.26953125" style="396" customWidth="1"/>
    <col min="11266" max="11266" width="4.453125" style="396" customWidth="1"/>
    <col min="11267" max="11268" width="5" style="396" customWidth="1"/>
    <col min="11269" max="11270" width="5.26953125" style="396" customWidth="1"/>
    <col min="11271" max="11274" width="5.81640625" style="396" customWidth="1"/>
    <col min="11275" max="11275" width="5.26953125" style="396" customWidth="1"/>
    <col min="11276" max="11276" width="5.81640625" style="396" customWidth="1"/>
    <col min="11277" max="11281" width="6.453125" style="396" customWidth="1"/>
    <col min="11282" max="11284" width="10.7265625" style="396" customWidth="1"/>
    <col min="11285" max="11520" width="8.7265625" style="396"/>
    <col min="11521" max="11521" width="58.26953125" style="396" customWidth="1"/>
    <col min="11522" max="11522" width="4.453125" style="396" customWidth="1"/>
    <col min="11523" max="11524" width="5" style="396" customWidth="1"/>
    <col min="11525" max="11526" width="5.26953125" style="396" customWidth="1"/>
    <col min="11527" max="11530" width="5.81640625" style="396" customWidth="1"/>
    <col min="11531" max="11531" width="5.26953125" style="396" customWidth="1"/>
    <col min="11532" max="11532" width="5.81640625" style="396" customWidth="1"/>
    <col min="11533" max="11537" width="6.453125" style="396" customWidth="1"/>
    <col min="11538" max="11540" width="10.7265625" style="396" customWidth="1"/>
    <col min="11541" max="11776" width="8.7265625" style="396"/>
    <col min="11777" max="11777" width="58.26953125" style="396" customWidth="1"/>
    <col min="11778" max="11778" width="4.453125" style="396" customWidth="1"/>
    <col min="11779" max="11780" width="5" style="396" customWidth="1"/>
    <col min="11781" max="11782" width="5.26953125" style="396" customWidth="1"/>
    <col min="11783" max="11786" width="5.81640625" style="396" customWidth="1"/>
    <col min="11787" max="11787" width="5.26953125" style="396" customWidth="1"/>
    <col min="11788" max="11788" width="5.81640625" style="396" customWidth="1"/>
    <col min="11789" max="11793" width="6.453125" style="396" customWidth="1"/>
    <col min="11794" max="11796" width="10.7265625" style="396" customWidth="1"/>
    <col min="11797" max="12032" width="8.7265625" style="396"/>
    <col min="12033" max="12033" width="58.26953125" style="396" customWidth="1"/>
    <col min="12034" max="12034" width="4.453125" style="396" customWidth="1"/>
    <col min="12035" max="12036" width="5" style="396" customWidth="1"/>
    <col min="12037" max="12038" width="5.26953125" style="396" customWidth="1"/>
    <col min="12039" max="12042" width="5.81640625" style="396" customWidth="1"/>
    <col min="12043" max="12043" width="5.26953125" style="396" customWidth="1"/>
    <col min="12044" max="12044" width="5.81640625" style="396" customWidth="1"/>
    <col min="12045" max="12049" width="6.453125" style="396" customWidth="1"/>
    <col min="12050" max="12052" width="10.7265625" style="396" customWidth="1"/>
    <col min="12053" max="12288" width="8.7265625" style="396"/>
    <col min="12289" max="12289" width="58.26953125" style="396" customWidth="1"/>
    <col min="12290" max="12290" width="4.453125" style="396" customWidth="1"/>
    <col min="12291" max="12292" width="5" style="396" customWidth="1"/>
    <col min="12293" max="12294" width="5.26953125" style="396" customWidth="1"/>
    <col min="12295" max="12298" width="5.81640625" style="396" customWidth="1"/>
    <col min="12299" max="12299" width="5.26953125" style="396" customWidth="1"/>
    <col min="12300" max="12300" width="5.81640625" style="396" customWidth="1"/>
    <col min="12301" max="12305" width="6.453125" style="396" customWidth="1"/>
    <col min="12306" max="12308" width="10.7265625" style="396" customWidth="1"/>
    <col min="12309" max="12544" width="8.7265625" style="396"/>
    <col min="12545" max="12545" width="58.26953125" style="396" customWidth="1"/>
    <col min="12546" max="12546" width="4.453125" style="396" customWidth="1"/>
    <col min="12547" max="12548" width="5" style="396" customWidth="1"/>
    <col min="12549" max="12550" width="5.26953125" style="396" customWidth="1"/>
    <col min="12551" max="12554" width="5.81640625" style="396" customWidth="1"/>
    <col min="12555" max="12555" width="5.26953125" style="396" customWidth="1"/>
    <col min="12556" max="12556" width="5.81640625" style="396" customWidth="1"/>
    <col min="12557" max="12561" width="6.453125" style="396" customWidth="1"/>
    <col min="12562" max="12564" width="10.7265625" style="396" customWidth="1"/>
    <col min="12565" max="12800" width="8.7265625" style="396"/>
    <col min="12801" max="12801" width="58.26953125" style="396" customWidth="1"/>
    <col min="12802" max="12802" width="4.453125" style="396" customWidth="1"/>
    <col min="12803" max="12804" width="5" style="396" customWidth="1"/>
    <col min="12805" max="12806" width="5.26953125" style="396" customWidth="1"/>
    <col min="12807" max="12810" width="5.81640625" style="396" customWidth="1"/>
    <col min="12811" max="12811" width="5.26953125" style="396" customWidth="1"/>
    <col min="12812" max="12812" width="5.81640625" style="396" customWidth="1"/>
    <col min="12813" max="12817" width="6.453125" style="396" customWidth="1"/>
    <col min="12818" max="12820" width="10.7265625" style="396" customWidth="1"/>
    <col min="12821" max="13056" width="8.7265625" style="396"/>
    <col min="13057" max="13057" width="58.26953125" style="396" customWidth="1"/>
    <col min="13058" max="13058" width="4.453125" style="396" customWidth="1"/>
    <col min="13059" max="13060" width="5" style="396" customWidth="1"/>
    <col min="13061" max="13062" width="5.26953125" style="396" customWidth="1"/>
    <col min="13063" max="13066" width="5.81640625" style="396" customWidth="1"/>
    <col min="13067" max="13067" width="5.26953125" style="396" customWidth="1"/>
    <col min="13068" max="13068" width="5.81640625" style="396" customWidth="1"/>
    <col min="13069" max="13073" width="6.453125" style="396" customWidth="1"/>
    <col min="13074" max="13076" width="10.7265625" style="396" customWidth="1"/>
    <col min="13077" max="13312" width="8.7265625" style="396"/>
    <col min="13313" max="13313" width="58.26953125" style="396" customWidth="1"/>
    <col min="13314" max="13314" width="4.453125" style="396" customWidth="1"/>
    <col min="13315" max="13316" width="5" style="396" customWidth="1"/>
    <col min="13317" max="13318" width="5.26953125" style="396" customWidth="1"/>
    <col min="13319" max="13322" width="5.81640625" style="396" customWidth="1"/>
    <col min="13323" max="13323" width="5.26953125" style="396" customWidth="1"/>
    <col min="13324" max="13324" width="5.81640625" style="396" customWidth="1"/>
    <col min="13325" max="13329" width="6.453125" style="396" customWidth="1"/>
    <col min="13330" max="13332" width="10.7265625" style="396" customWidth="1"/>
    <col min="13333" max="13568" width="8.7265625" style="396"/>
    <col min="13569" max="13569" width="58.26953125" style="396" customWidth="1"/>
    <col min="13570" max="13570" width="4.453125" style="396" customWidth="1"/>
    <col min="13571" max="13572" width="5" style="396" customWidth="1"/>
    <col min="13573" max="13574" width="5.26953125" style="396" customWidth="1"/>
    <col min="13575" max="13578" width="5.81640625" style="396" customWidth="1"/>
    <col min="13579" max="13579" width="5.26953125" style="396" customWidth="1"/>
    <col min="13580" max="13580" width="5.81640625" style="396" customWidth="1"/>
    <col min="13581" max="13585" width="6.453125" style="396" customWidth="1"/>
    <col min="13586" max="13588" width="10.7265625" style="396" customWidth="1"/>
    <col min="13589" max="13824" width="8.7265625" style="396"/>
    <col min="13825" max="13825" width="58.26953125" style="396" customWidth="1"/>
    <col min="13826" max="13826" width="4.453125" style="396" customWidth="1"/>
    <col min="13827" max="13828" width="5" style="396" customWidth="1"/>
    <col min="13829" max="13830" width="5.26953125" style="396" customWidth="1"/>
    <col min="13831" max="13834" width="5.81640625" style="396" customWidth="1"/>
    <col min="13835" max="13835" width="5.26953125" style="396" customWidth="1"/>
    <col min="13836" max="13836" width="5.81640625" style="396" customWidth="1"/>
    <col min="13837" max="13841" width="6.453125" style="396" customWidth="1"/>
    <col min="13842" max="13844" width="10.7265625" style="396" customWidth="1"/>
    <col min="13845" max="14080" width="8.7265625" style="396"/>
    <col min="14081" max="14081" width="58.26953125" style="396" customWidth="1"/>
    <col min="14082" max="14082" width="4.453125" style="396" customWidth="1"/>
    <col min="14083" max="14084" width="5" style="396" customWidth="1"/>
    <col min="14085" max="14086" width="5.26953125" style="396" customWidth="1"/>
    <col min="14087" max="14090" width="5.81640625" style="396" customWidth="1"/>
    <col min="14091" max="14091" width="5.26953125" style="396" customWidth="1"/>
    <col min="14092" max="14092" width="5.81640625" style="396" customWidth="1"/>
    <col min="14093" max="14097" width="6.453125" style="396" customWidth="1"/>
    <col min="14098" max="14100" width="10.7265625" style="396" customWidth="1"/>
    <col min="14101" max="14336" width="8.7265625" style="396"/>
    <col min="14337" max="14337" width="58.26953125" style="396" customWidth="1"/>
    <col min="14338" max="14338" width="4.453125" style="396" customWidth="1"/>
    <col min="14339" max="14340" width="5" style="396" customWidth="1"/>
    <col min="14341" max="14342" width="5.26953125" style="396" customWidth="1"/>
    <col min="14343" max="14346" width="5.81640625" style="396" customWidth="1"/>
    <col min="14347" max="14347" width="5.26953125" style="396" customWidth="1"/>
    <col min="14348" max="14348" width="5.81640625" style="396" customWidth="1"/>
    <col min="14349" max="14353" width="6.453125" style="396" customWidth="1"/>
    <col min="14354" max="14356" width="10.7265625" style="396" customWidth="1"/>
    <col min="14357" max="14592" width="8.7265625" style="396"/>
    <col min="14593" max="14593" width="58.26953125" style="396" customWidth="1"/>
    <col min="14594" max="14594" width="4.453125" style="396" customWidth="1"/>
    <col min="14595" max="14596" width="5" style="396" customWidth="1"/>
    <col min="14597" max="14598" width="5.26953125" style="396" customWidth="1"/>
    <col min="14599" max="14602" width="5.81640625" style="396" customWidth="1"/>
    <col min="14603" max="14603" width="5.26953125" style="396" customWidth="1"/>
    <col min="14604" max="14604" width="5.81640625" style="396" customWidth="1"/>
    <col min="14605" max="14609" width="6.453125" style="396" customWidth="1"/>
    <col min="14610" max="14612" width="10.7265625" style="396" customWidth="1"/>
    <col min="14613" max="14848" width="8.7265625" style="396"/>
    <col min="14849" max="14849" width="58.26953125" style="396" customWidth="1"/>
    <col min="14850" max="14850" width="4.453125" style="396" customWidth="1"/>
    <col min="14851" max="14852" width="5" style="396" customWidth="1"/>
    <col min="14853" max="14854" width="5.26953125" style="396" customWidth="1"/>
    <col min="14855" max="14858" width="5.81640625" style="396" customWidth="1"/>
    <col min="14859" max="14859" width="5.26953125" style="396" customWidth="1"/>
    <col min="14860" max="14860" width="5.81640625" style="396" customWidth="1"/>
    <col min="14861" max="14865" width="6.453125" style="396" customWidth="1"/>
    <col min="14866" max="14868" width="10.7265625" style="396" customWidth="1"/>
    <col min="14869" max="15104" width="8.7265625" style="396"/>
    <col min="15105" max="15105" width="58.26953125" style="396" customWidth="1"/>
    <col min="15106" max="15106" width="4.453125" style="396" customWidth="1"/>
    <col min="15107" max="15108" width="5" style="396" customWidth="1"/>
    <col min="15109" max="15110" width="5.26953125" style="396" customWidth="1"/>
    <col min="15111" max="15114" width="5.81640625" style="396" customWidth="1"/>
    <col min="15115" max="15115" width="5.26953125" style="396" customWidth="1"/>
    <col min="15116" max="15116" width="5.81640625" style="396" customWidth="1"/>
    <col min="15117" max="15121" width="6.453125" style="396" customWidth="1"/>
    <col min="15122" max="15124" width="10.7265625" style="396" customWidth="1"/>
    <col min="15125" max="15360" width="8.7265625" style="396"/>
    <col min="15361" max="15361" width="58.26953125" style="396" customWidth="1"/>
    <col min="15362" max="15362" width="4.453125" style="396" customWidth="1"/>
    <col min="15363" max="15364" width="5" style="396" customWidth="1"/>
    <col min="15365" max="15366" width="5.26953125" style="396" customWidth="1"/>
    <col min="15367" max="15370" width="5.81640625" style="396" customWidth="1"/>
    <col min="15371" max="15371" width="5.26953125" style="396" customWidth="1"/>
    <col min="15372" max="15372" width="5.81640625" style="396" customWidth="1"/>
    <col min="15373" max="15377" width="6.453125" style="396" customWidth="1"/>
    <col min="15378" max="15380" width="10.7265625" style="396" customWidth="1"/>
    <col min="15381" max="15616" width="8.7265625" style="396"/>
    <col min="15617" max="15617" width="58.26953125" style="396" customWidth="1"/>
    <col min="15618" max="15618" width="4.453125" style="396" customWidth="1"/>
    <col min="15619" max="15620" width="5" style="396" customWidth="1"/>
    <col min="15621" max="15622" width="5.26953125" style="396" customWidth="1"/>
    <col min="15623" max="15626" width="5.81640625" style="396" customWidth="1"/>
    <col min="15627" max="15627" width="5.26953125" style="396" customWidth="1"/>
    <col min="15628" max="15628" width="5.81640625" style="396" customWidth="1"/>
    <col min="15629" max="15633" width="6.453125" style="396" customWidth="1"/>
    <col min="15634" max="15636" width="10.7265625" style="396" customWidth="1"/>
    <col min="15637" max="15872" width="8.7265625" style="396"/>
    <col min="15873" max="15873" width="58.26953125" style="396" customWidth="1"/>
    <col min="15874" max="15874" width="4.453125" style="396" customWidth="1"/>
    <col min="15875" max="15876" width="5" style="396" customWidth="1"/>
    <col min="15877" max="15878" width="5.26953125" style="396" customWidth="1"/>
    <col min="15879" max="15882" width="5.81640625" style="396" customWidth="1"/>
    <col min="15883" max="15883" width="5.26953125" style="396" customWidth="1"/>
    <col min="15884" max="15884" width="5.81640625" style="396" customWidth="1"/>
    <col min="15885" max="15889" width="6.453125" style="396" customWidth="1"/>
    <col min="15890" max="15892" width="10.7265625" style="396" customWidth="1"/>
    <col min="15893" max="16128" width="8.7265625" style="396"/>
    <col min="16129" max="16129" width="58.26953125" style="396" customWidth="1"/>
    <col min="16130" max="16130" width="4.453125" style="396" customWidth="1"/>
    <col min="16131" max="16132" width="5" style="396" customWidth="1"/>
    <col min="16133" max="16134" width="5.26953125" style="396" customWidth="1"/>
    <col min="16135" max="16138" width="5.81640625" style="396" customWidth="1"/>
    <col min="16139" max="16139" width="5.26953125" style="396" customWidth="1"/>
    <col min="16140" max="16140" width="5.81640625" style="396" customWidth="1"/>
    <col min="16141" max="16145" width="6.453125" style="396" customWidth="1"/>
    <col min="16146" max="16148" width="10.7265625" style="396" customWidth="1"/>
    <col min="16149" max="16384" width="8.7265625" style="396"/>
  </cols>
  <sheetData>
    <row r="1" spans="1:48" ht="13">
      <c r="A1" s="440" t="s">
        <v>789</v>
      </c>
    </row>
    <row r="2" spans="1:48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48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</row>
    <row r="4" spans="1:48" ht="18" customHeight="1">
      <c r="A4" s="443"/>
      <c r="B4" s="444">
        <v>1977</v>
      </c>
      <c r="C4" s="444">
        <v>1978</v>
      </c>
      <c r="D4" s="444">
        <v>1979</v>
      </c>
      <c r="E4" s="444">
        <v>1980</v>
      </c>
      <c r="F4" s="444">
        <v>1981</v>
      </c>
      <c r="G4" s="444">
        <v>1982</v>
      </c>
      <c r="H4" s="444">
        <v>1983</v>
      </c>
      <c r="I4" s="444">
        <v>1984</v>
      </c>
      <c r="J4" s="444">
        <v>1985</v>
      </c>
      <c r="K4" s="444">
        <v>1986</v>
      </c>
      <c r="L4" s="444">
        <v>1987</v>
      </c>
      <c r="M4" s="444">
        <v>1988</v>
      </c>
      <c r="N4" s="444">
        <v>1989</v>
      </c>
      <c r="O4" s="444">
        <v>1990</v>
      </c>
      <c r="P4" s="444">
        <v>1991</v>
      </c>
      <c r="Q4" s="444">
        <v>1992</v>
      </c>
      <c r="R4" s="444">
        <v>1993</v>
      </c>
      <c r="S4" s="444">
        <v>1994</v>
      </c>
      <c r="T4" s="445">
        <v>1995</v>
      </c>
    </row>
    <row r="5" spans="1:48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8"/>
    </row>
    <row r="6" spans="1:48" ht="13">
      <c r="A6" s="446" t="s">
        <v>749</v>
      </c>
      <c r="B6" s="449">
        <v>3382.074372870653</v>
      </c>
      <c r="C6" s="449">
        <v>3955.22771693704</v>
      </c>
      <c r="D6" s="449">
        <v>6003.5459923796334</v>
      </c>
      <c r="E6" s="449">
        <v>6518.0032132344013</v>
      </c>
      <c r="F6" s="449">
        <v>9767.9059749355547</v>
      </c>
      <c r="G6" s="449">
        <v>13403.2813502591</v>
      </c>
      <c r="H6" s="449">
        <v>18010.642235960357</v>
      </c>
      <c r="I6" s="449">
        <v>23264.400097991693</v>
      </c>
      <c r="J6" s="449">
        <v>32712.300775348587</v>
      </c>
      <c r="K6" s="449">
        <v>40982.08360473736</v>
      </c>
      <c r="L6" s="449">
        <v>50559.847008189681</v>
      </c>
      <c r="M6" s="449">
        <v>62513.821688738783</v>
      </c>
      <c r="N6" s="449">
        <v>75691.938789424617</v>
      </c>
      <c r="O6" s="449">
        <v>82453.185019316792</v>
      </c>
      <c r="P6" s="449">
        <v>101887.62318680812</v>
      </c>
      <c r="Q6" s="449">
        <v>132523.90576663919</v>
      </c>
      <c r="R6" s="449">
        <v>136678.14249976104</v>
      </c>
      <c r="S6" s="449">
        <v>124480.14729847953</v>
      </c>
      <c r="T6" s="450">
        <v>142322.70981836127</v>
      </c>
    </row>
    <row r="7" spans="1:48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8"/>
    </row>
    <row r="8" spans="1:48" ht="13">
      <c r="A8" s="451" t="s">
        <v>750</v>
      </c>
      <c r="B8" s="449">
        <v>682.30899999999997</v>
      </c>
      <c r="C8" s="449">
        <v>903.4316098778063</v>
      </c>
      <c r="D8" s="449">
        <v>1325.6335463647169</v>
      </c>
      <c r="E8" s="449">
        <v>1868.0650000000001</v>
      </c>
      <c r="F8" s="449">
        <v>2809.2830000000004</v>
      </c>
      <c r="G8" s="449">
        <v>4248.95</v>
      </c>
      <c r="H8" s="449">
        <v>6204.92</v>
      </c>
      <c r="I8" s="449">
        <v>8330.8510000000006</v>
      </c>
      <c r="J8" s="449">
        <v>11480.168</v>
      </c>
      <c r="K8" s="449">
        <v>11005</v>
      </c>
      <c r="L8" s="449">
        <v>10631</v>
      </c>
      <c r="M8" s="449">
        <v>15042</v>
      </c>
      <c r="N8" s="449">
        <v>19475</v>
      </c>
      <c r="O8" s="449">
        <v>22349</v>
      </c>
      <c r="P8" s="449">
        <v>28058</v>
      </c>
      <c r="Q8" s="449">
        <v>36783</v>
      </c>
      <c r="R8" s="449">
        <v>36083</v>
      </c>
      <c r="S8" s="449">
        <v>32433</v>
      </c>
      <c r="T8" s="450">
        <v>35790</v>
      </c>
    </row>
    <row r="9" spans="1:48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552</v>
      </c>
      <c r="L9" s="447">
        <v>121</v>
      </c>
      <c r="M9" s="447">
        <v>112</v>
      </c>
      <c r="N9" s="447">
        <v>134</v>
      </c>
      <c r="O9" s="447">
        <v>174</v>
      </c>
      <c r="P9" s="447">
        <v>0</v>
      </c>
      <c r="Q9" s="447">
        <v>23</v>
      </c>
      <c r="R9" s="447">
        <v>0</v>
      </c>
      <c r="S9" s="447">
        <v>0</v>
      </c>
      <c r="T9" s="448">
        <v>0</v>
      </c>
    </row>
    <row r="10" spans="1:48" ht="13">
      <c r="A10" s="451" t="s">
        <v>752</v>
      </c>
      <c r="B10" s="449">
        <v>1490.8790000000001</v>
      </c>
      <c r="C10" s="449">
        <v>1790.1804502217935</v>
      </c>
      <c r="D10" s="449">
        <v>2041.631091648863</v>
      </c>
      <c r="E10" s="449">
        <v>2815.5189999999998</v>
      </c>
      <c r="F10" s="449">
        <v>4390.2275000000009</v>
      </c>
      <c r="G10" s="449">
        <v>6050.9470000000001</v>
      </c>
      <c r="H10" s="449">
        <v>7765.0665000000008</v>
      </c>
      <c r="I10" s="449">
        <v>8953.6224999999995</v>
      </c>
      <c r="J10" s="449">
        <v>10946.3385</v>
      </c>
      <c r="K10" s="449">
        <v>18554</v>
      </c>
      <c r="L10" s="449">
        <v>26830</v>
      </c>
      <c r="M10" s="449">
        <v>31930</v>
      </c>
      <c r="N10" s="449">
        <v>39969</v>
      </c>
      <c r="O10" s="449">
        <v>43709</v>
      </c>
      <c r="P10" s="449">
        <v>53098</v>
      </c>
      <c r="Q10" s="449">
        <v>69149</v>
      </c>
      <c r="R10" s="449">
        <v>72804</v>
      </c>
      <c r="S10" s="449">
        <v>72649</v>
      </c>
      <c r="T10" s="450">
        <v>81114</v>
      </c>
    </row>
    <row r="11" spans="1:48" ht="13">
      <c r="A11" s="446" t="s">
        <v>753</v>
      </c>
      <c r="B11" s="449">
        <v>-8.0749999999999993</v>
      </c>
      <c r="C11" s="449">
        <v>-12.457476546720123</v>
      </c>
      <c r="D11" s="449">
        <v>-20.593505529567107</v>
      </c>
      <c r="E11" s="449">
        <v>12.734</v>
      </c>
      <c r="F11" s="449">
        <v>-14.824999999999999</v>
      </c>
      <c r="G11" s="449">
        <v>89.936000000000007</v>
      </c>
      <c r="H11" s="449">
        <v>-88.225999999999999</v>
      </c>
      <c r="I11" s="449">
        <v>135.459</v>
      </c>
      <c r="J11" s="449">
        <v>265.83999999999997</v>
      </c>
      <c r="K11" s="449">
        <v>175</v>
      </c>
      <c r="L11" s="449">
        <v>86</v>
      </c>
      <c r="M11" s="449">
        <v>126</v>
      </c>
      <c r="N11" s="449">
        <v>2799</v>
      </c>
      <c r="O11" s="449">
        <v>2899</v>
      </c>
      <c r="P11" s="449">
        <v>-121</v>
      </c>
      <c r="Q11" s="449">
        <v>140</v>
      </c>
      <c r="R11" s="449">
        <v>-527</v>
      </c>
      <c r="S11" s="449">
        <v>-172</v>
      </c>
      <c r="T11" s="450">
        <v>420</v>
      </c>
    </row>
    <row r="12" spans="1:48" ht="13">
      <c r="A12" s="446" t="s">
        <v>754</v>
      </c>
      <c r="B12" s="449">
        <v>55.345404509553248</v>
      </c>
      <c r="C12" s="449">
        <v>108.07874390310235</v>
      </c>
      <c r="D12" s="449">
        <v>204.68663709118809</v>
      </c>
      <c r="E12" s="449">
        <v>427.62811403286901</v>
      </c>
      <c r="F12" s="449">
        <v>896.28303339002059</v>
      </c>
      <c r="G12" s="449">
        <v>1577.2608031262521</v>
      </c>
      <c r="H12" s="449">
        <v>2543.2638358932386</v>
      </c>
      <c r="I12" s="449">
        <v>3755.241170033541</v>
      </c>
      <c r="J12" s="449">
        <v>5101.0948263599976</v>
      </c>
      <c r="K12" s="449">
        <v>6257.0836047373614</v>
      </c>
      <c r="L12" s="449">
        <v>6898.8470081896839</v>
      </c>
      <c r="M12" s="449">
        <v>7515.8216887387844</v>
      </c>
      <c r="N12" s="449">
        <v>7937.9387894246229</v>
      </c>
      <c r="O12" s="449">
        <v>8150.1850193167847</v>
      </c>
      <c r="P12" s="449">
        <v>8097.623186808125</v>
      </c>
      <c r="Q12" s="449">
        <v>7870.9057666391864</v>
      </c>
      <c r="R12" s="449">
        <v>8097.1424997610502</v>
      </c>
      <c r="S12" s="449">
        <v>8181.1472984795237</v>
      </c>
      <c r="T12" s="450">
        <v>8254.7098183612889</v>
      </c>
    </row>
    <row r="13" spans="1:48" ht="13">
      <c r="A13" s="451" t="s">
        <v>755</v>
      </c>
      <c r="B13" s="449">
        <v>1161.6159683610997</v>
      </c>
      <c r="C13" s="449">
        <v>1165.9943894810579</v>
      </c>
      <c r="D13" s="449">
        <v>2452.1882228044324</v>
      </c>
      <c r="E13" s="449">
        <v>1394.0570992015321</v>
      </c>
      <c r="F13" s="449">
        <v>1686.9374415455327</v>
      </c>
      <c r="G13" s="449">
        <v>1436.1875471328481</v>
      </c>
      <c r="H13" s="449">
        <v>1585.6179000671177</v>
      </c>
      <c r="I13" s="449">
        <v>2089.226427958155</v>
      </c>
      <c r="J13" s="449">
        <v>4918.8594489885891</v>
      </c>
      <c r="K13" s="449">
        <v>4439</v>
      </c>
      <c r="L13" s="449">
        <v>5993</v>
      </c>
      <c r="M13" s="449">
        <v>7788</v>
      </c>
      <c r="N13" s="449">
        <v>5377</v>
      </c>
      <c r="O13" s="449">
        <v>5172</v>
      </c>
      <c r="P13" s="449">
        <v>12755</v>
      </c>
      <c r="Q13" s="449">
        <v>18558</v>
      </c>
      <c r="R13" s="447">
        <v>20221</v>
      </c>
      <c r="S13" s="449">
        <v>11389</v>
      </c>
      <c r="T13" s="450">
        <v>16744</v>
      </c>
    </row>
    <row r="14" spans="1:48" ht="13">
      <c r="A14" s="457" t="s">
        <v>770</v>
      </c>
      <c r="B14" s="458">
        <v>981.64499999999998</v>
      </c>
      <c r="C14" s="458">
        <v>913.37</v>
      </c>
      <c r="D14" s="458">
        <v>2068.0509999999995</v>
      </c>
      <c r="E14" s="458">
        <v>692.49</v>
      </c>
      <c r="F14" s="458">
        <v>799.96</v>
      </c>
      <c r="G14" s="458">
        <v>283.53600000000006</v>
      </c>
      <c r="H14" s="458">
        <v>59.530999999999956</v>
      </c>
      <c r="I14" s="458">
        <v>41.223999999999947</v>
      </c>
      <c r="J14" s="458">
        <v>2617.9139999999998</v>
      </c>
      <c r="K14" s="458">
        <v>2109</v>
      </c>
      <c r="L14" s="458">
        <v>2212</v>
      </c>
      <c r="M14" s="458">
        <v>6251</v>
      </c>
      <c r="N14" s="458">
        <v>2165</v>
      </c>
      <c r="O14" s="458">
        <v>3362</v>
      </c>
      <c r="P14" s="458">
        <v>8976</v>
      </c>
      <c r="Q14" s="458">
        <v>13124</v>
      </c>
      <c r="R14" s="458">
        <v>14922</v>
      </c>
      <c r="S14" s="458">
        <v>7645</v>
      </c>
      <c r="T14" s="459">
        <v>11708</v>
      </c>
    </row>
    <row r="15" spans="1:48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8"/>
    </row>
    <row r="16" spans="1:48" ht="13">
      <c r="A16" s="446" t="s">
        <v>756</v>
      </c>
      <c r="B16" s="460">
        <v>211.06700000000001</v>
      </c>
      <c r="C16" s="460">
        <v>278.47475415474446</v>
      </c>
      <c r="D16" s="449">
        <v>1033.2697726416002</v>
      </c>
      <c r="E16" s="449">
        <v>4540.634</v>
      </c>
      <c r="F16" s="449">
        <v>5601.1550000000007</v>
      </c>
      <c r="G16" s="449">
        <v>6956.4179999999997</v>
      </c>
      <c r="H16" s="449">
        <v>9419.1299999999992</v>
      </c>
      <c r="I16" s="449">
        <v>6623.2240000000002</v>
      </c>
      <c r="J16" s="449">
        <v>9436.1370000000006</v>
      </c>
      <c r="K16" s="447">
        <v>15252</v>
      </c>
      <c r="L16" s="447">
        <v>22894</v>
      </c>
      <c r="M16" s="447">
        <v>21877</v>
      </c>
      <c r="N16" s="447">
        <v>26419</v>
      </c>
      <c r="O16" s="447">
        <v>34220</v>
      </c>
      <c r="P16" s="447">
        <v>42096</v>
      </c>
      <c r="Q16" s="447">
        <v>48112</v>
      </c>
      <c r="R16" s="447">
        <v>52301</v>
      </c>
      <c r="S16" s="447">
        <v>49778</v>
      </c>
      <c r="T16" s="448">
        <v>55165</v>
      </c>
    </row>
    <row r="17" spans="1:20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8"/>
    </row>
    <row r="18" spans="1:20" ht="13">
      <c r="A18" s="446" t="s">
        <v>757</v>
      </c>
      <c r="B18" s="449">
        <v>211.06700000000001</v>
      </c>
      <c r="C18" s="449">
        <v>278.47475415474446</v>
      </c>
      <c r="D18" s="449">
        <v>1033.2697726416002</v>
      </c>
      <c r="E18" s="449">
        <v>4540.634</v>
      </c>
      <c r="F18" s="449">
        <v>5601.1550000000007</v>
      </c>
      <c r="G18" s="449">
        <v>6956.4179999999997</v>
      </c>
      <c r="H18" s="449">
        <v>9419.1299999999992</v>
      </c>
      <c r="I18" s="449">
        <v>6623.2240000000002</v>
      </c>
      <c r="J18" s="449">
        <v>9436.1370000000006</v>
      </c>
      <c r="K18" s="449">
        <v>15252</v>
      </c>
      <c r="L18" s="449">
        <v>22894</v>
      </c>
      <c r="M18" s="449">
        <v>21877</v>
      </c>
      <c r="N18" s="449">
        <v>26419</v>
      </c>
      <c r="O18" s="449">
        <v>34220</v>
      </c>
      <c r="P18" s="449">
        <v>42096</v>
      </c>
      <c r="Q18" s="449">
        <v>48112</v>
      </c>
      <c r="R18" s="449">
        <v>52301</v>
      </c>
      <c r="S18" s="449">
        <v>49778</v>
      </c>
      <c r="T18" s="450">
        <v>55165</v>
      </c>
    </row>
    <row r="19" spans="1:20" ht="13">
      <c r="A19" s="457" t="s">
        <v>770</v>
      </c>
      <c r="B19" s="449">
        <v>119.127</v>
      </c>
      <c r="C19" s="449">
        <v>258.113</v>
      </c>
      <c r="D19" s="449">
        <v>1001.72</v>
      </c>
      <c r="E19" s="449">
        <v>4360.1170000000002</v>
      </c>
      <c r="F19" s="449">
        <v>5572.6810000000005</v>
      </c>
      <c r="G19" s="449">
        <v>6905.384</v>
      </c>
      <c r="H19" s="449">
        <v>9289.9529999999995</v>
      </c>
      <c r="I19" s="449">
        <v>6451.3090000000002</v>
      </c>
      <c r="J19" s="449">
        <v>9215.4210000000003</v>
      </c>
      <c r="K19" s="447">
        <v>9004</v>
      </c>
      <c r="L19" s="447">
        <v>12900</v>
      </c>
      <c r="M19" s="447">
        <v>12913</v>
      </c>
      <c r="N19" s="447">
        <v>13670</v>
      </c>
      <c r="O19" s="447">
        <v>16214</v>
      </c>
      <c r="P19" s="447">
        <v>18977</v>
      </c>
      <c r="Q19" s="447">
        <v>22957</v>
      </c>
      <c r="R19" s="447">
        <v>24715</v>
      </c>
      <c r="S19" s="447">
        <v>29724</v>
      </c>
      <c r="T19" s="448">
        <v>30636</v>
      </c>
    </row>
    <row r="20" spans="1:2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8"/>
    </row>
    <row r="21" spans="1:20" ht="13">
      <c r="A21" s="446" t="s">
        <v>758</v>
      </c>
      <c r="B21" s="449">
        <v>3593.141372870653</v>
      </c>
      <c r="C21" s="449">
        <v>4233.7024710917849</v>
      </c>
      <c r="D21" s="449">
        <v>7036.8157650212333</v>
      </c>
      <c r="E21" s="449">
        <v>11058.6372132344</v>
      </c>
      <c r="F21" s="449">
        <v>15369.060974935555</v>
      </c>
      <c r="G21" s="449">
        <v>20359.699350259099</v>
      </c>
      <c r="H21" s="449">
        <v>27429.772235960358</v>
      </c>
      <c r="I21" s="449">
        <v>29887.624097991691</v>
      </c>
      <c r="J21" s="449">
        <v>42148.43777534859</v>
      </c>
      <c r="K21" s="449">
        <v>56234.08360473736</v>
      </c>
      <c r="L21" s="449">
        <v>73453.847008189681</v>
      </c>
      <c r="M21" s="449">
        <v>84390.821688738783</v>
      </c>
      <c r="N21" s="449">
        <v>102110.93878942462</v>
      </c>
      <c r="O21" s="449">
        <v>116673.18501931679</v>
      </c>
      <c r="P21" s="449">
        <v>143983.62318680814</v>
      </c>
      <c r="Q21" s="449">
        <v>180635.90576663919</v>
      </c>
      <c r="R21" s="449">
        <v>188979.14249976104</v>
      </c>
      <c r="S21" s="449">
        <v>174258.14729847951</v>
      </c>
      <c r="T21" s="450">
        <v>197487.70981836127</v>
      </c>
    </row>
    <row r="22" spans="1:2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8"/>
    </row>
    <row r="23" spans="1:20" ht="13">
      <c r="A23" s="446" t="s">
        <v>759</v>
      </c>
      <c r="B23" s="449">
        <v>2901.228722726034</v>
      </c>
      <c r="C23" s="449">
        <v>3671.644061249061</v>
      </c>
      <c r="D23" s="449">
        <v>5897.9394822760687</v>
      </c>
      <c r="E23" s="449">
        <v>9294.7852132344015</v>
      </c>
      <c r="F23" s="449">
        <v>12461.091974935551</v>
      </c>
      <c r="G23" s="449">
        <v>17145.921350259101</v>
      </c>
      <c r="H23" s="449">
        <v>23536.320235960357</v>
      </c>
      <c r="I23" s="449">
        <v>25511.767097991698</v>
      </c>
      <c r="J23" s="449">
        <v>33839.621775348583</v>
      </c>
      <c r="K23" s="449">
        <v>40753.08360473736</v>
      </c>
      <c r="L23" s="449">
        <v>70535.847008189681</v>
      </c>
      <c r="M23" s="449">
        <v>61927.821688738783</v>
      </c>
      <c r="N23" s="449">
        <v>73511.938789424632</v>
      </c>
      <c r="O23" s="449">
        <v>134480.18501931679</v>
      </c>
      <c r="P23" s="449">
        <v>109284.62318680812</v>
      </c>
      <c r="Q23" s="449">
        <v>134160.90576663919</v>
      </c>
      <c r="R23" s="449">
        <v>145120.14249976104</v>
      </c>
      <c r="S23" s="449">
        <v>133960.14729847951</v>
      </c>
      <c r="T23" s="450">
        <v>142229.70981836127</v>
      </c>
    </row>
    <row r="24" spans="1:20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8"/>
    </row>
    <row r="25" spans="1:20" ht="13">
      <c r="A25" s="446" t="s">
        <v>760</v>
      </c>
      <c r="B25" s="449">
        <v>2260.4515733059025</v>
      </c>
      <c r="C25" s="449">
        <v>3000.7434931658563</v>
      </c>
      <c r="D25" s="449">
        <v>4929.9810480910965</v>
      </c>
      <c r="E25" s="449">
        <v>7575.5031140328692</v>
      </c>
      <c r="F25" s="449">
        <v>9813.6350333900191</v>
      </c>
      <c r="G25" s="449">
        <v>12492.781803126252</v>
      </c>
      <c r="H25" s="449">
        <v>15992.708835893238</v>
      </c>
      <c r="I25" s="449">
        <v>20136.970170033543</v>
      </c>
      <c r="J25" s="449">
        <v>26727.006826359997</v>
      </c>
      <c r="K25" s="449">
        <v>31181.08360473736</v>
      </c>
      <c r="L25" s="449">
        <v>45704.847008189681</v>
      </c>
      <c r="M25" s="449">
        <v>47382.821688738783</v>
      </c>
      <c r="N25" s="449">
        <v>53384.938789424625</v>
      </c>
      <c r="O25" s="449">
        <v>68038.185019316792</v>
      </c>
      <c r="P25" s="449">
        <v>80116.623186808123</v>
      </c>
      <c r="Q25" s="449">
        <v>92368.905766639189</v>
      </c>
      <c r="R25" s="449">
        <v>107154.14249976104</v>
      </c>
      <c r="S25" s="449">
        <v>95893.147298479525</v>
      </c>
      <c r="T25" s="450">
        <v>98354.709818361283</v>
      </c>
    </row>
    <row r="26" spans="1:20" ht="13">
      <c r="A26" s="446" t="s">
        <v>761</v>
      </c>
      <c r="B26" s="449">
        <v>1580.869939196165</v>
      </c>
      <c r="C26" s="449">
        <v>2130.5083454633295</v>
      </c>
      <c r="D26" s="449">
        <v>3546.9714158225006</v>
      </c>
      <c r="E26" s="449">
        <v>5600.325177970195</v>
      </c>
      <c r="F26" s="449">
        <v>5579.1432863755517</v>
      </c>
      <c r="G26" s="449">
        <v>6895.079022963253</v>
      </c>
      <c r="H26" s="449">
        <v>8844.090153366591</v>
      </c>
      <c r="I26" s="449">
        <v>10609.64003957656</v>
      </c>
      <c r="J26" s="449">
        <v>13897.388555081647</v>
      </c>
      <c r="K26" s="449">
        <v>16708</v>
      </c>
      <c r="L26" s="449">
        <v>26428</v>
      </c>
      <c r="M26" s="449">
        <v>25697</v>
      </c>
      <c r="N26" s="449">
        <v>33354</v>
      </c>
      <c r="O26" s="449">
        <v>44704</v>
      </c>
      <c r="P26" s="449">
        <v>57765</v>
      </c>
      <c r="Q26" s="449">
        <v>70149</v>
      </c>
      <c r="R26" s="449">
        <v>80802</v>
      </c>
      <c r="S26" s="449">
        <v>73586</v>
      </c>
      <c r="T26" s="450">
        <v>74748</v>
      </c>
    </row>
    <row r="27" spans="1:20" ht="13">
      <c r="A27" s="446" t="s">
        <v>762</v>
      </c>
      <c r="B27" s="449">
        <v>679.58163410973748</v>
      </c>
      <c r="C27" s="449">
        <v>870.23514770252677</v>
      </c>
      <c r="D27" s="449">
        <v>1383.0096322685959</v>
      </c>
      <c r="E27" s="449">
        <v>1975.1779360626742</v>
      </c>
      <c r="F27" s="449">
        <v>4234.4917470144674</v>
      </c>
      <c r="G27" s="449">
        <v>5597.7027801629993</v>
      </c>
      <c r="H27" s="449">
        <v>7148.6186825266468</v>
      </c>
      <c r="I27" s="449">
        <v>9527.3301304569832</v>
      </c>
      <c r="J27" s="449">
        <v>12829.61827127835</v>
      </c>
      <c r="K27" s="449">
        <v>14473.08360473736</v>
      </c>
      <c r="L27" s="449">
        <v>19276.847008189681</v>
      </c>
      <c r="M27" s="449">
        <v>21685.821688738783</v>
      </c>
      <c r="N27" s="449">
        <v>20030.938789424625</v>
      </c>
      <c r="O27" s="449">
        <v>23334.185019316792</v>
      </c>
      <c r="P27" s="449">
        <v>22351.623186808123</v>
      </c>
      <c r="Q27" s="449">
        <v>22219.905766639189</v>
      </c>
      <c r="R27" s="449">
        <v>26352.142499761045</v>
      </c>
      <c r="S27" s="449">
        <v>22307.147298479525</v>
      </c>
      <c r="T27" s="450">
        <v>23606.709818361291</v>
      </c>
    </row>
    <row r="28" spans="1:20" ht="13">
      <c r="A28" s="446" t="s">
        <v>763</v>
      </c>
      <c r="B28" s="449">
        <v>2.2400000000000002</v>
      </c>
      <c r="C28" s="449">
        <v>4.616853281427308</v>
      </c>
      <c r="D28" s="449">
        <v>10.301984697418423</v>
      </c>
      <c r="E28" s="449">
        <v>59.07</v>
      </c>
      <c r="F28" s="449">
        <v>303.59500000000003</v>
      </c>
      <c r="G28" s="449">
        <v>1858.3010000000002</v>
      </c>
      <c r="H28" s="449">
        <v>3698.627</v>
      </c>
      <c r="I28" s="449">
        <v>1502.855</v>
      </c>
      <c r="J28" s="449">
        <v>2087.9189999999999</v>
      </c>
      <c r="K28" s="449">
        <v>1081</v>
      </c>
      <c r="L28" s="449">
        <v>11827</v>
      </c>
      <c r="M28" s="449">
        <v>3299</v>
      </c>
      <c r="N28" s="449">
        <v>1534</v>
      </c>
      <c r="O28" s="449">
        <v>51066</v>
      </c>
      <c r="P28" s="449">
        <v>15564</v>
      </c>
      <c r="Q28" s="449">
        <v>20049</v>
      </c>
      <c r="R28" s="449">
        <v>17812</v>
      </c>
      <c r="S28" s="449">
        <v>16971</v>
      </c>
      <c r="T28" s="450">
        <v>19607</v>
      </c>
    </row>
    <row r="29" spans="1:20" ht="13">
      <c r="A29" s="446" t="s">
        <v>764</v>
      </c>
      <c r="B29" s="449">
        <v>208.75399644864228</v>
      </c>
      <c r="C29" s="449">
        <v>352.0904961687616</v>
      </c>
      <c r="D29" s="449">
        <v>561.53875940197247</v>
      </c>
      <c r="E29" s="449">
        <v>1062.9059999999999</v>
      </c>
      <c r="F29" s="449">
        <v>1353.5060000000001</v>
      </c>
      <c r="G29" s="449">
        <v>1959.751</v>
      </c>
      <c r="H29" s="449">
        <v>2574.5340000000001</v>
      </c>
      <c r="I29" s="449">
        <v>2586.393</v>
      </c>
      <c r="J29" s="449">
        <v>2773.9970000000003</v>
      </c>
      <c r="K29" s="449">
        <v>3347</v>
      </c>
      <c r="L29" s="449">
        <v>3938</v>
      </c>
      <c r="M29" s="449">
        <v>4361</v>
      </c>
      <c r="N29" s="449">
        <v>5658</v>
      </c>
      <c r="O29" s="449">
        <v>7339</v>
      </c>
      <c r="P29" s="449">
        <v>5123</v>
      </c>
      <c r="Q29" s="449">
        <v>7240</v>
      </c>
      <c r="R29" s="449">
        <v>6008</v>
      </c>
      <c r="S29" s="449">
        <v>4908</v>
      </c>
      <c r="T29" s="450">
        <v>5985</v>
      </c>
    </row>
    <row r="30" spans="1:20" ht="13">
      <c r="A30" s="451" t="s">
        <v>755</v>
      </c>
      <c r="B30" s="449">
        <v>429.7831529714893</v>
      </c>
      <c r="C30" s="449">
        <v>314.19321863301587</v>
      </c>
      <c r="D30" s="449">
        <v>396.11769008558178</v>
      </c>
      <c r="E30" s="449">
        <v>597.30609920153199</v>
      </c>
      <c r="F30" s="449">
        <v>990.35594154553246</v>
      </c>
      <c r="G30" s="449">
        <v>835.08754713284793</v>
      </c>
      <c r="H30" s="449">
        <v>1270.4504000671179</v>
      </c>
      <c r="I30" s="449">
        <v>1285.5489279581548</v>
      </c>
      <c r="J30" s="449">
        <v>2250.6989489885887</v>
      </c>
      <c r="K30" s="449">
        <v>5144</v>
      </c>
      <c r="L30" s="449">
        <v>9066</v>
      </c>
      <c r="M30" s="449">
        <v>6885</v>
      </c>
      <c r="N30" s="449">
        <v>12935</v>
      </c>
      <c r="O30" s="449">
        <v>8037</v>
      </c>
      <c r="P30" s="449">
        <v>8481</v>
      </c>
      <c r="Q30" s="449">
        <v>14503</v>
      </c>
      <c r="R30" s="449">
        <v>14146</v>
      </c>
      <c r="S30" s="449">
        <v>16188</v>
      </c>
      <c r="T30" s="450">
        <v>18283</v>
      </c>
    </row>
    <row r="31" spans="1:20" ht="13">
      <c r="A31" s="457" t="s">
        <v>770</v>
      </c>
      <c r="B31" s="449">
        <v>263.86700000000002</v>
      </c>
      <c r="C31" s="449">
        <v>153.631</v>
      </c>
      <c r="D31" s="449">
        <v>156.13099999999997</v>
      </c>
      <c r="E31" s="449">
        <v>110.64800000000001</v>
      </c>
      <c r="F31" s="449">
        <v>152.922</v>
      </c>
      <c r="G31" s="449">
        <v>167.10399999999998</v>
      </c>
      <c r="H31" s="449">
        <v>189.95599999999999</v>
      </c>
      <c r="I31" s="449">
        <v>209.42200000000003</v>
      </c>
      <c r="J31" s="449">
        <v>511.74899999999991</v>
      </c>
      <c r="K31" s="449">
        <v>2375</v>
      </c>
      <c r="L31" s="449">
        <v>3458</v>
      </c>
      <c r="M31" s="449">
        <v>3018</v>
      </c>
      <c r="N31" s="449">
        <v>151</v>
      </c>
      <c r="O31" s="449">
        <v>295</v>
      </c>
      <c r="P31" s="449">
        <v>420</v>
      </c>
      <c r="Q31" s="449">
        <v>578</v>
      </c>
      <c r="R31" s="449">
        <v>672</v>
      </c>
      <c r="S31" s="449">
        <v>1452</v>
      </c>
      <c r="T31" s="450">
        <v>1364</v>
      </c>
    </row>
    <row r="32" spans="1:20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8"/>
    </row>
    <row r="33" spans="1:20" ht="13">
      <c r="A33" s="446" t="s">
        <v>765</v>
      </c>
      <c r="B33" s="449">
        <v>684.99553314789591</v>
      </c>
      <c r="C33" s="449">
        <v>1753.4432868045947</v>
      </c>
      <c r="D33" s="449">
        <v>2544.9257081563537</v>
      </c>
      <c r="E33" s="449">
        <v>5432.97</v>
      </c>
      <c r="F33" s="449">
        <v>11048.66</v>
      </c>
      <c r="G33" s="449">
        <v>14717.123000000001</v>
      </c>
      <c r="H33" s="449">
        <v>16529.123</v>
      </c>
      <c r="I33" s="449">
        <v>20371.901000000002</v>
      </c>
      <c r="J33" s="449">
        <v>26912.366000000002</v>
      </c>
      <c r="K33" s="449">
        <v>23781</v>
      </c>
      <c r="L33" s="449">
        <v>19734</v>
      </c>
      <c r="M33" s="449">
        <v>24960</v>
      </c>
      <c r="N33" s="449">
        <v>30958</v>
      </c>
      <c r="O33" s="449">
        <v>32167</v>
      </c>
      <c r="P33" s="449">
        <v>37614</v>
      </c>
      <c r="Q33" s="449">
        <v>36743</v>
      </c>
      <c r="R33" s="449">
        <v>51456</v>
      </c>
      <c r="S33" s="449">
        <v>40732.006829567479</v>
      </c>
      <c r="T33" s="450">
        <v>57274.056068404061</v>
      </c>
    </row>
    <row r="34" spans="1:2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50"/>
    </row>
    <row r="35" spans="1:20" ht="13">
      <c r="A35" s="446" t="s">
        <v>766</v>
      </c>
      <c r="B35" s="449">
        <v>319.11099999999999</v>
      </c>
      <c r="C35" s="449">
        <v>905.7049263380552</v>
      </c>
      <c r="D35" s="449">
        <v>1668.3011596929052</v>
      </c>
      <c r="E35" s="449">
        <v>4249.357</v>
      </c>
      <c r="F35" s="449">
        <v>9230.6119999999992</v>
      </c>
      <c r="G35" s="449">
        <v>12673.4</v>
      </c>
      <c r="H35" s="449">
        <v>14250.585000000001</v>
      </c>
      <c r="I35" s="449">
        <v>18263.014000000003</v>
      </c>
      <c r="J35" s="449">
        <v>22021.993000000002</v>
      </c>
      <c r="K35" s="449">
        <v>18468</v>
      </c>
      <c r="L35" s="449">
        <v>14012</v>
      </c>
      <c r="M35" s="449">
        <v>18770</v>
      </c>
      <c r="N35" s="449">
        <v>21934</v>
      </c>
      <c r="O35" s="449">
        <v>23452</v>
      </c>
      <c r="P35" s="449">
        <v>26918</v>
      </c>
      <c r="Q35" s="449">
        <v>28605</v>
      </c>
      <c r="R35" s="449">
        <v>38842</v>
      </c>
      <c r="S35" s="449">
        <v>32099.006829567479</v>
      </c>
      <c r="T35" s="450">
        <v>46497.056068404061</v>
      </c>
    </row>
    <row r="36" spans="1:20" ht="13">
      <c r="A36" s="446" t="s">
        <v>757</v>
      </c>
      <c r="B36" s="449">
        <v>365.88453314789587</v>
      </c>
      <c r="C36" s="449">
        <v>847.73836046653946</v>
      </c>
      <c r="D36" s="449">
        <v>876.62454846344872</v>
      </c>
      <c r="E36" s="449">
        <v>1183.6130000000001</v>
      </c>
      <c r="F36" s="449">
        <v>1818.0479999999998</v>
      </c>
      <c r="G36" s="449">
        <v>2043.723</v>
      </c>
      <c r="H36" s="449">
        <v>2278.538</v>
      </c>
      <c r="I36" s="449">
        <v>2108.8869999999997</v>
      </c>
      <c r="J36" s="449">
        <v>4890.3729999999996</v>
      </c>
      <c r="K36" s="449">
        <v>5313</v>
      </c>
      <c r="L36" s="449">
        <v>5722</v>
      </c>
      <c r="M36" s="449">
        <v>6190</v>
      </c>
      <c r="N36" s="449">
        <v>9024</v>
      </c>
      <c r="O36" s="449">
        <v>8715</v>
      </c>
      <c r="P36" s="449">
        <v>10696</v>
      </c>
      <c r="Q36" s="449">
        <v>8138</v>
      </c>
      <c r="R36" s="449">
        <v>12614</v>
      </c>
      <c r="S36" s="449">
        <v>8633</v>
      </c>
      <c r="T36" s="450">
        <v>10777</v>
      </c>
    </row>
    <row r="37" spans="1:20" ht="13">
      <c r="A37" s="457" t="s">
        <v>770</v>
      </c>
      <c r="B37" s="449">
        <v>200.21600000000001</v>
      </c>
      <c r="C37" s="449">
        <v>612.24800000000005</v>
      </c>
      <c r="D37" s="449">
        <v>591.79999999999995</v>
      </c>
      <c r="E37" s="449">
        <v>648.97500000000002</v>
      </c>
      <c r="F37" s="449">
        <v>1268.8509999999999</v>
      </c>
      <c r="G37" s="449">
        <v>1421.453</v>
      </c>
      <c r="H37" s="449">
        <v>1634.8009999999999</v>
      </c>
      <c r="I37" s="449">
        <v>1187.3789999999999</v>
      </c>
      <c r="J37" s="449">
        <v>1708.856</v>
      </c>
      <c r="K37" s="447">
        <v>1439</v>
      </c>
      <c r="L37" s="447">
        <v>1218</v>
      </c>
      <c r="M37" s="447">
        <v>2477</v>
      </c>
      <c r="N37" s="447">
        <v>1604</v>
      </c>
      <c r="O37" s="447">
        <v>3596</v>
      </c>
      <c r="P37" s="447">
        <v>3888</v>
      </c>
      <c r="Q37" s="447">
        <v>2626</v>
      </c>
      <c r="R37" s="447">
        <v>4162</v>
      </c>
      <c r="S37" s="447">
        <v>2368</v>
      </c>
      <c r="T37" s="448">
        <v>1907</v>
      </c>
    </row>
    <row r="38" spans="1:2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8"/>
    </row>
    <row r="39" spans="1:20" ht="13">
      <c r="A39" s="446" t="s">
        <v>767</v>
      </c>
      <c r="B39" s="449">
        <v>3586.2242558739299</v>
      </c>
      <c r="C39" s="449">
        <v>5425.0873480536557</v>
      </c>
      <c r="D39" s="449">
        <v>8442.8651904324215</v>
      </c>
      <c r="E39" s="449">
        <v>14727.755213234403</v>
      </c>
      <c r="F39" s="449">
        <v>23509.751974935549</v>
      </c>
      <c r="G39" s="449">
        <v>31863.044350259101</v>
      </c>
      <c r="H39" s="449">
        <v>40065.443235960352</v>
      </c>
      <c r="I39" s="449">
        <v>45883.6680979917</v>
      </c>
      <c r="J39" s="449">
        <v>60751.987775348585</v>
      </c>
      <c r="K39" s="449">
        <v>64534.08360473736</v>
      </c>
      <c r="L39" s="449">
        <v>90269.847008189681</v>
      </c>
      <c r="M39" s="449">
        <v>86887.821688738783</v>
      </c>
      <c r="N39" s="449">
        <v>104469.93878942463</v>
      </c>
      <c r="O39" s="449">
        <v>166647.18501931679</v>
      </c>
      <c r="P39" s="449">
        <v>146898.62318680814</v>
      </c>
      <c r="Q39" s="449">
        <v>170903.90576663919</v>
      </c>
      <c r="R39" s="449">
        <v>196576.14249976104</v>
      </c>
      <c r="S39" s="449">
        <v>174692.154128047</v>
      </c>
      <c r="T39" s="450">
        <v>199503.76588676532</v>
      </c>
    </row>
    <row r="40" spans="1:2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8"/>
    </row>
    <row r="41" spans="1:20" ht="13.5" thickBot="1">
      <c r="A41" s="452" t="s">
        <v>768</v>
      </c>
      <c r="B41" s="453">
        <v>6.9171169967230526</v>
      </c>
      <c r="C41" s="453">
        <v>-1191.3848769618708</v>
      </c>
      <c r="D41" s="453">
        <v>-1406.0494254111882</v>
      </c>
      <c r="E41" s="453">
        <v>-3669.1180000000022</v>
      </c>
      <c r="F41" s="453">
        <v>-8140.6909999999934</v>
      </c>
      <c r="G41" s="453">
        <v>-11503.345000000001</v>
      </c>
      <c r="H41" s="453">
        <v>-12635.670999999995</v>
      </c>
      <c r="I41" s="453">
        <v>-15996.044000000009</v>
      </c>
      <c r="J41" s="453">
        <v>-18603.55</v>
      </c>
      <c r="K41" s="453">
        <v>-8300</v>
      </c>
      <c r="L41" s="453">
        <v>-16816</v>
      </c>
      <c r="M41" s="453">
        <v>-2497</v>
      </c>
      <c r="N41" s="453">
        <v>-2359.0000000000146</v>
      </c>
      <c r="O41" s="453">
        <v>-49974</v>
      </c>
      <c r="P41" s="453">
        <v>-2915</v>
      </c>
      <c r="Q41" s="453">
        <v>9732</v>
      </c>
      <c r="R41" s="453">
        <v>-7597</v>
      </c>
      <c r="S41" s="453">
        <v>-434.00682956748642</v>
      </c>
      <c r="T41" s="454">
        <v>-2016.0560684040538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86" orientation="landscape" horizontalDpi="4294967292" vertic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1DDD-CA8D-439A-84B1-B468D4CA3134}">
  <sheetPr>
    <pageSetUpPr fitToPage="1"/>
  </sheetPr>
  <dimension ref="A1:AX41"/>
  <sheetViews>
    <sheetView showGridLines="0" workbookViewId="0">
      <selection activeCell="A15" sqref="A15"/>
    </sheetView>
  </sheetViews>
  <sheetFormatPr defaultRowHeight="12.5"/>
  <cols>
    <col min="1" max="1" width="55.26953125" style="396" customWidth="1"/>
    <col min="2" max="15" width="5.26953125" style="396" customWidth="1"/>
    <col min="16" max="16" width="4.453125" style="396" customWidth="1"/>
    <col min="17" max="39" width="5.26953125" style="396" customWidth="1"/>
    <col min="40" max="42" width="6.1796875" style="396" customWidth="1"/>
    <col min="43" max="47" width="6.81640625" style="396" customWidth="1"/>
    <col min="48" max="50" width="10.7265625" style="396" customWidth="1"/>
    <col min="51" max="256" width="8.7265625" style="396"/>
    <col min="257" max="257" width="55.26953125" style="396" customWidth="1"/>
    <col min="258" max="271" width="5.26953125" style="396" customWidth="1"/>
    <col min="272" max="272" width="4.453125" style="396" customWidth="1"/>
    <col min="273" max="295" width="5.26953125" style="396" customWidth="1"/>
    <col min="296" max="298" width="6.1796875" style="396" customWidth="1"/>
    <col min="299" max="303" width="6.81640625" style="396" customWidth="1"/>
    <col min="304" max="306" width="10.7265625" style="396" customWidth="1"/>
    <col min="307" max="512" width="8.7265625" style="396"/>
    <col min="513" max="513" width="55.26953125" style="396" customWidth="1"/>
    <col min="514" max="527" width="5.26953125" style="396" customWidth="1"/>
    <col min="528" max="528" width="4.453125" style="396" customWidth="1"/>
    <col min="529" max="551" width="5.26953125" style="396" customWidth="1"/>
    <col min="552" max="554" width="6.1796875" style="396" customWidth="1"/>
    <col min="555" max="559" width="6.81640625" style="396" customWidth="1"/>
    <col min="560" max="562" width="10.7265625" style="396" customWidth="1"/>
    <col min="563" max="768" width="8.7265625" style="396"/>
    <col min="769" max="769" width="55.26953125" style="396" customWidth="1"/>
    <col min="770" max="783" width="5.26953125" style="396" customWidth="1"/>
    <col min="784" max="784" width="4.453125" style="396" customWidth="1"/>
    <col min="785" max="807" width="5.26953125" style="396" customWidth="1"/>
    <col min="808" max="810" width="6.1796875" style="396" customWidth="1"/>
    <col min="811" max="815" width="6.81640625" style="396" customWidth="1"/>
    <col min="816" max="818" width="10.7265625" style="396" customWidth="1"/>
    <col min="819" max="1024" width="8.7265625" style="396"/>
    <col min="1025" max="1025" width="55.26953125" style="396" customWidth="1"/>
    <col min="1026" max="1039" width="5.26953125" style="396" customWidth="1"/>
    <col min="1040" max="1040" width="4.453125" style="396" customWidth="1"/>
    <col min="1041" max="1063" width="5.26953125" style="396" customWidth="1"/>
    <col min="1064" max="1066" width="6.1796875" style="396" customWidth="1"/>
    <col min="1067" max="1071" width="6.81640625" style="396" customWidth="1"/>
    <col min="1072" max="1074" width="10.7265625" style="396" customWidth="1"/>
    <col min="1075" max="1280" width="8.7265625" style="396"/>
    <col min="1281" max="1281" width="55.26953125" style="396" customWidth="1"/>
    <col min="1282" max="1295" width="5.26953125" style="396" customWidth="1"/>
    <col min="1296" max="1296" width="4.453125" style="396" customWidth="1"/>
    <col min="1297" max="1319" width="5.26953125" style="396" customWidth="1"/>
    <col min="1320" max="1322" width="6.1796875" style="396" customWidth="1"/>
    <col min="1323" max="1327" width="6.81640625" style="396" customWidth="1"/>
    <col min="1328" max="1330" width="10.7265625" style="396" customWidth="1"/>
    <col min="1331" max="1536" width="8.7265625" style="396"/>
    <col min="1537" max="1537" width="55.26953125" style="396" customWidth="1"/>
    <col min="1538" max="1551" width="5.26953125" style="396" customWidth="1"/>
    <col min="1552" max="1552" width="4.453125" style="396" customWidth="1"/>
    <col min="1553" max="1575" width="5.26953125" style="396" customWidth="1"/>
    <col min="1576" max="1578" width="6.1796875" style="396" customWidth="1"/>
    <col min="1579" max="1583" width="6.81640625" style="396" customWidth="1"/>
    <col min="1584" max="1586" width="10.7265625" style="396" customWidth="1"/>
    <col min="1587" max="1792" width="8.7265625" style="396"/>
    <col min="1793" max="1793" width="55.26953125" style="396" customWidth="1"/>
    <col min="1794" max="1807" width="5.26953125" style="396" customWidth="1"/>
    <col min="1808" max="1808" width="4.453125" style="396" customWidth="1"/>
    <col min="1809" max="1831" width="5.26953125" style="396" customWidth="1"/>
    <col min="1832" max="1834" width="6.1796875" style="396" customWidth="1"/>
    <col min="1835" max="1839" width="6.81640625" style="396" customWidth="1"/>
    <col min="1840" max="1842" width="10.7265625" style="396" customWidth="1"/>
    <col min="1843" max="2048" width="8.7265625" style="396"/>
    <col min="2049" max="2049" width="55.26953125" style="396" customWidth="1"/>
    <col min="2050" max="2063" width="5.26953125" style="396" customWidth="1"/>
    <col min="2064" max="2064" width="4.453125" style="396" customWidth="1"/>
    <col min="2065" max="2087" width="5.26953125" style="396" customWidth="1"/>
    <col min="2088" max="2090" width="6.1796875" style="396" customWidth="1"/>
    <col min="2091" max="2095" width="6.81640625" style="396" customWidth="1"/>
    <col min="2096" max="2098" width="10.7265625" style="396" customWidth="1"/>
    <col min="2099" max="2304" width="8.7265625" style="396"/>
    <col min="2305" max="2305" width="55.26953125" style="396" customWidth="1"/>
    <col min="2306" max="2319" width="5.26953125" style="396" customWidth="1"/>
    <col min="2320" max="2320" width="4.453125" style="396" customWidth="1"/>
    <col min="2321" max="2343" width="5.26953125" style="396" customWidth="1"/>
    <col min="2344" max="2346" width="6.1796875" style="396" customWidth="1"/>
    <col min="2347" max="2351" width="6.81640625" style="396" customWidth="1"/>
    <col min="2352" max="2354" width="10.7265625" style="396" customWidth="1"/>
    <col min="2355" max="2560" width="8.7265625" style="396"/>
    <col min="2561" max="2561" width="55.26953125" style="396" customWidth="1"/>
    <col min="2562" max="2575" width="5.26953125" style="396" customWidth="1"/>
    <col min="2576" max="2576" width="4.453125" style="396" customWidth="1"/>
    <col min="2577" max="2599" width="5.26953125" style="396" customWidth="1"/>
    <col min="2600" max="2602" width="6.1796875" style="396" customWidth="1"/>
    <col min="2603" max="2607" width="6.81640625" style="396" customWidth="1"/>
    <col min="2608" max="2610" width="10.7265625" style="396" customWidth="1"/>
    <col min="2611" max="2816" width="8.7265625" style="396"/>
    <col min="2817" max="2817" width="55.26953125" style="396" customWidth="1"/>
    <col min="2818" max="2831" width="5.26953125" style="396" customWidth="1"/>
    <col min="2832" max="2832" width="4.453125" style="396" customWidth="1"/>
    <col min="2833" max="2855" width="5.26953125" style="396" customWidth="1"/>
    <col min="2856" max="2858" width="6.1796875" style="396" customWidth="1"/>
    <col min="2859" max="2863" width="6.81640625" style="396" customWidth="1"/>
    <col min="2864" max="2866" width="10.7265625" style="396" customWidth="1"/>
    <col min="2867" max="3072" width="8.7265625" style="396"/>
    <col min="3073" max="3073" width="55.26953125" style="396" customWidth="1"/>
    <col min="3074" max="3087" width="5.26953125" style="396" customWidth="1"/>
    <col min="3088" max="3088" width="4.453125" style="396" customWidth="1"/>
    <col min="3089" max="3111" width="5.26953125" style="396" customWidth="1"/>
    <col min="3112" max="3114" width="6.1796875" style="396" customWidth="1"/>
    <col min="3115" max="3119" width="6.81640625" style="396" customWidth="1"/>
    <col min="3120" max="3122" width="10.7265625" style="396" customWidth="1"/>
    <col min="3123" max="3328" width="8.7265625" style="396"/>
    <col min="3329" max="3329" width="55.26953125" style="396" customWidth="1"/>
    <col min="3330" max="3343" width="5.26953125" style="396" customWidth="1"/>
    <col min="3344" max="3344" width="4.453125" style="396" customWidth="1"/>
    <col min="3345" max="3367" width="5.26953125" style="396" customWidth="1"/>
    <col min="3368" max="3370" width="6.1796875" style="396" customWidth="1"/>
    <col min="3371" max="3375" width="6.81640625" style="396" customWidth="1"/>
    <col min="3376" max="3378" width="10.7265625" style="396" customWidth="1"/>
    <col min="3379" max="3584" width="8.7265625" style="396"/>
    <col min="3585" max="3585" width="55.26953125" style="396" customWidth="1"/>
    <col min="3586" max="3599" width="5.26953125" style="396" customWidth="1"/>
    <col min="3600" max="3600" width="4.453125" style="396" customWidth="1"/>
    <col min="3601" max="3623" width="5.26953125" style="396" customWidth="1"/>
    <col min="3624" max="3626" width="6.1796875" style="396" customWidth="1"/>
    <col min="3627" max="3631" width="6.81640625" style="396" customWidth="1"/>
    <col min="3632" max="3634" width="10.7265625" style="396" customWidth="1"/>
    <col min="3635" max="3840" width="8.7265625" style="396"/>
    <col min="3841" max="3841" width="55.26953125" style="396" customWidth="1"/>
    <col min="3842" max="3855" width="5.26953125" style="396" customWidth="1"/>
    <col min="3856" max="3856" width="4.453125" style="396" customWidth="1"/>
    <col min="3857" max="3879" width="5.26953125" style="396" customWidth="1"/>
    <col min="3880" max="3882" width="6.1796875" style="396" customWidth="1"/>
    <col min="3883" max="3887" width="6.81640625" style="396" customWidth="1"/>
    <col min="3888" max="3890" width="10.7265625" style="396" customWidth="1"/>
    <col min="3891" max="4096" width="8.7265625" style="396"/>
    <col min="4097" max="4097" width="55.26953125" style="396" customWidth="1"/>
    <col min="4098" max="4111" width="5.26953125" style="396" customWidth="1"/>
    <col min="4112" max="4112" width="4.453125" style="396" customWidth="1"/>
    <col min="4113" max="4135" width="5.26953125" style="396" customWidth="1"/>
    <col min="4136" max="4138" width="6.1796875" style="396" customWidth="1"/>
    <col min="4139" max="4143" width="6.81640625" style="396" customWidth="1"/>
    <col min="4144" max="4146" width="10.7265625" style="396" customWidth="1"/>
    <col min="4147" max="4352" width="8.7265625" style="396"/>
    <col min="4353" max="4353" width="55.26953125" style="396" customWidth="1"/>
    <col min="4354" max="4367" width="5.26953125" style="396" customWidth="1"/>
    <col min="4368" max="4368" width="4.453125" style="396" customWidth="1"/>
    <col min="4369" max="4391" width="5.26953125" style="396" customWidth="1"/>
    <col min="4392" max="4394" width="6.1796875" style="396" customWidth="1"/>
    <col min="4395" max="4399" width="6.81640625" style="396" customWidth="1"/>
    <col min="4400" max="4402" width="10.7265625" style="396" customWidth="1"/>
    <col min="4403" max="4608" width="8.7265625" style="396"/>
    <col min="4609" max="4609" width="55.26953125" style="396" customWidth="1"/>
    <col min="4610" max="4623" width="5.26953125" style="396" customWidth="1"/>
    <col min="4624" max="4624" width="4.453125" style="396" customWidth="1"/>
    <col min="4625" max="4647" width="5.26953125" style="396" customWidth="1"/>
    <col min="4648" max="4650" width="6.1796875" style="396" customWidth="1"/>
    <col min="4651" max="4655" width="6.81640625" style="396" customWidth="1"/>
    <col min="4656" max="4658" width="10.7265625" style="396" customWidth="1"/>
    <col min="4659" max="4864" width="8.7265625" style="396"/>
    <col min="4865" max="4865" width="55.26953125" style="396" customWidth="1"/>
    <col min="4866" max="4879" width="5.26953125" style="396" customWidth="1"/>
    <col min="4880" max="4880" width="4.453125" style="396" customWidth="1"/>
    <col min="4881" max="4903" width="5.26953125" style="396" customWidth="1"/>
    <col min="4904" max="4906" width="6.1796875" style="396" customWidth="1"/>
    <col min="4907" max="4911" width="6.81640625" style="396" customWidth="1"/>
    <col min="4912" max="4914" width="10.7265625" style="396" customWidth="1"/>
    <col min="4915" max="5120" width="8.7265625" style="396"/>
    <col min="5121" max="5121" width="55.26953125" style="396" customWidth="1"/>
    <col min="5122" max="5135" width="5.26953125" style="396" customWidth="1"/>
    <col min="5136" max="5136" width="4.453125" style="396" customWidth="1"/>
    <col min="5137" max="5159" width="5.26953125" style="396" customWidth="1"/>
    <col min="5160" max="5162" width="6.1796875" style="396" customWidth="1"/>
    <col min="5163" max="5167" width="6.81640625" style="396" customWidth="1"/>
    <col min="5168" max="5170" width="10.7265625" style="396" customWidth="1"/>
    <col min="5171" max="5376" width="8.7265625" style="396"/>
    <col min="5377" max="5377" width="55.26953125" style="396" customWidth="1"/>
    <col min="5378" max="5391" width="5.26953125" style="396" customWidth="1"/>
    <col min="5392" max="5392" width="4.453125" style="396" customWidth="1"/>
    <col min="5393" max="5415" width="5.26953125" style="396" customWidth="1"/>
    <col min="5416" max="5418" width="6.1796875" style="396" customWidth="1"/>
    <col min="5419" max="5423" width="6.81640625" style="396" customWidth="1"/>
    <col min="5424" max="5426" width="10.7265625" style="396" customWidth="1"/>
    <col min="5427" max="5632" width="8.7265625" style="396"/>
    <col min="5633" max="5633" width="55.26953125" style="396" customWidth="1"/>
    <col min="5634" max="5647" width="5.26953125" style="396" customWidth="1"/>
    <col min="5648" max="5648" width="4.453125" style="396" customWidth="1"/>
    <col min="5649" max="5671" width="5.26953125" style="396" customWidth="1"/>
    <col min="5672" max="5674" width="6.1796875" style="396" customWidth="1"/>
    <col min="5675" max="5679" width="6.81640625" style="396" customWidth="1"/>
    <col min="5680" max="5682" width="10.7265625" style="396" customWidth="1"/>
    <col min="5683" max="5888" width="8.7265625" style="396"/>
    <col min="5889" max="5889" width="55.26953125" style="396" customWidth="1"/>
    <col min="5890" max="5903" width="5.26953125" style="396" customWidth="1"/>
    <col min="5904" max="5904" width="4.453125" style="396" customWidth="1"/>
    <col min="5905" max="5927" width="5.26953125" style="396" customWidth="1"/>
    <col min="5928" max="5930" width="6.1796875" style="396" customWidth="1"/>
    <col min="5931" max="5935" width="6.81640625" style="396" customWidth="1"/>
    <col min="5936" max="5938" width="10.7265625" style="396" customWidth="1"/>
    <col min="5939" max="6144" width="8.7265625" style="396"/>
    <col min="6145" max="6145" width="55.26953125" style="396" customWidth="1"/>
    <col min="6146" max="6159" width="5.26953125" style="396" customWidth="1"/>
    <col min="6160" max="6160" width="4.453125" style="396" customWidth="1"/>
    <col min="6161" max="6183" width="5.26953125" style="396" customWidth="1"/>
    <col min="6184" max="6186" width="6.1796875" style="396" customWidth="1"/>
    <col min="6187" max="6191" width="6.81640625" style="396" customWidth="1"/>
    <col min="6192" max="6194" width="10.7265625" style="396" customWidth="1"/>
    <col min="6195" max="6400" width="8.7265625" style="396"/>
    <col min="6401" max="6401" width="55.26953125" style="396" customWidth="1"/>
    <col min="6402" max="6415" width="5.26953125" style="396" customWidth="1"/>
    <col min="6416" max="6416" width="4.453125" style="396" customWidth="1"/>
    <col min="6417" max="6439" width="5.26953125" style="396" customWidth="1"/>
    <col min="6440" max="6442" width="6.1796875" style="396" customWidth="1"/>
    <col min="6443" max="6447" width="6.81640625" style="396" customWidth="1"/>
    <col min="6448" max="6450" width="10.7265625" style="396" customWidth="1"/>
    <col min="6451" max="6656" width="8.7265625" style="396"/>
    <col min="6657" max="6657" width="55.26953125" style="396" customWidth="1"/>
    <col min="6658" max="6671" width="5.26953125" style="396" customWidth="1"/>
    <col min="6672" max="6672" width="4.453125" style="396" customWidth="1"/>
    <col min="6673" max="6695" width="5.26953125" style="396" customWidth="1"/>
    <col min="6696" max="6698" width="6.1796875" style="396" customWidth="1"/>
    <col min="6699" max="6703" width="6.81640625" style="396" customWidth="1"/>
    <col min="6704" max="6706" width="10.7265625" style="396" customWidth="1"/>
    <col min="6707" max="6912" width="8.7265625" style="396"/>
    <col min="6913" max="6913" width="55.26953125" style="396" customWidth="1"/>
    <col min="6914" max="6927" width="5.26953125" style="396" customWidth="1"/>
    <col min="6928" max="6928" width="4.453125" style="396" customWidth="1"/>
    <col min="6929" max="6951" width="5.26953125" style="396" customWidth="1"/>
    <col min="6952" max="6954" width="6.1796875" style="396" customWidth="1"/>
    <col min="6955" max="6959" width="6.81640625" style="396" customWidth="1"/>
    <col min="6960" max="6962" width="10.7265625" style="396" customWidth="1"/>
    <col min="6963" max="7168" width="8.7265625" style="396"/>
    <col min="7169" max="7169" width="55.26953125" style="396" customWidth="1"/>
    <col min="7170" max="7183" width="5.26953125" style="396" customWidth="1"/>
    <col min="7184" max="7184" width="4.453125" style="396" customWidth="1"/>
    <col min="7185" max="7207" width="5.26953125" style="396" customWidth="1"/>
    <col min="7208" max="7210" width="6.1796875" style="396" customWidth="1"/>
    <col min="7211" max="7215" width="6.81640625" style="396" customWidth="1"/>
    <col min="7216" max="7218" width="10.7265625" style="396" customWidth="1"/>
    <col min="7219" max="7424" width="8.7265625" style="396"/>
    <col min="7425" max="7425" width="55.26953125" style="396" customWidth="1"/>
    <col min="7426" max="7439" width="5.26953125" style="396" customWidth="1"/>
    <col min="7440" max="7440" width="4.453125" style="396" customWidth="1"/>
    <col min="7441" max="7463" width="5.26953125" style="396" customWidth="1"/>
    <col min="7464" max="7466" width="6.1796875" style="396" customWidth="1"/>
    <col min="7467" max="7471" width="6.81640625" style="396" customWidth="1"/>
    <col min="7472" max="7474" width="10.7265625" style="396" customWidth="1"/>
    <col min="7475" max="7680" width="8.7265625" style="396"/>
    <col min="7681" max="7681" width="55.26953125" style="396" customWidth="1"/>
    <col min="7682" max="7695" width="5.26953125" style="396" customWidth="1"/>
    <col min="7696" max="7696" width="4.453125" style="396" customWidth="1"/>
    <col min="7697" max="7719" width="5.26953125" style="396" customWidth="1"/>
    <col min="7720" max="7722" width="6.1796875" style="396" customWidth="1"/>
    <col min="7723" max="7727" width="6.81640625" style="396" customWidth="1"/>
    <col min="7728" max="7730" width="10.7265625" style="396" customWidth="1"/>
    <col min="7731" max="7936" width="8.7265625" style="396"/>
    <col min="7937" max="7937" width="55.26953125" style="396" customWidth="1"/>
    <col min="7938" max="7951" width="5.26953125" style="396" customWidth="1"/>
    <col min="7952" max="7952" width="4.453125" style="396" customWidth="1"/>
    <col min="7953" max="7975" width="5.26953125" style="396" customWidth="1"/>
    <col min="7976" max="7978" width="6.1796875" style="396" customWidth="1"/>
    <col min="7979" max="7983" width="6.81640625" style="396" customWidth="1"/>
    <col min="7984" max="7986" width="10.7265625" style="396" customWidth="1"/>
    <col min="7987" max="8192" width="8.7265625" style="396"/>
    <col min="8193" max="8193" width="55.26953125" style="396" customWidth="1"/>
    <col min="8194" max="8207" width="5.26953125" style="396" customWidth="1"/>
    <col min="8208" max="8208" width="4.453125" style="396" customWidth="1"/>
    <col min="8209" max="8231" width="5.26953125" style="396" customWidth="1"/>
    <col min="8232" max="8234" width="6.1796875" style="396" customWidth="1"/>
    <col min="8235" max="8239" width="6.81640625" style="396" customWidth="1"/>
    <col min="8240" max="8242" width="10.7265625" style="396" customWidth="1"/>
    <col min="8243" max="8448" width="8.7265625" style="396"/>
    <col min="8449" max="8449" width="55.26953125" style="396" customWidth="1"/>
    <col min="8450" max="8463" width="5.26953125" style="396" customWidth="1"/>
    <col min="8464" max="8464" width="4.453125" style="396" customWidth="1"/>
    <col min="8465" max="8487" width="5.26953125" style="396" customWidth="1"/>
    <col min="8488" max="8490" width="6.1796875" style="396" customWidth="1"/>
    <col min="8491" max="8495" width="6.81640625" style="396" customWidth="1"/>
    <col min="8496" max="8498" width="10.7265625" style="396" customWidth="1"/>
    <col min="8499" max="8704" width="8.7265625" style="396"/>
    <col min="8705" max="8705" width="55.26953125" style="396" customWidth="1"/>
    <col min="8706" max="8719" width="5.26953125" style="396" customWidth="1"/>
    <col min="8720" max="8720" width="4.453125" style="396" customWidth="1"/>
    <col min="8721" max="8743" width="5.26953125" style="396" customWidth="1"/>
    <col min="8744" max="8746" width="6.1796875" style="396" customWidth="1"/>
    <col min="8747" max="8751" width="6.81640625" style="396" customWidth="1"/>
    <col min="8752" max="8754" width="10.7265625" style="396" customWidth="1"/>
    <col min="8755" max="8960" width="8.7265625" style="396"/>
    <col min="8961" max="8961" width="55.26953125" style="396" customWidth="1"/>
    <col min="8962" max="8975" width="5.26953125" style="396" customWidth="1"/>
    <col min="8976" max="8976" width="4.453125" style="396" customWidth="1"/>
    <col min="8977" max="8999" width="5.26953125" style="396" customWidth="1"/>
    <col min="9000" max="9002" width="6.1796875" style="396" customWidth="1"/>
    <col min="9003" max="9007" width="6.81640625" style="396" customWidth="1"/>
    <col min="9008" max="9010" width="10.7265625" style="396" customWidth="1"/>
    <col min="9011" max="9216" width="8.7265625" style="396"/>
    <col min="9217" max="9217" width="55.26953125" style="396" customWidth="1"/>
    <col min="9218" max="9231" width="5.26953125" style="396" customWidth="1"/>
    <col min="9232" max="9232" width="4.453125" style="396" customWidth="1"/>
    <col min="9233" max="9255" width="5.26953125" style="396" customWidth="1"/>
    <col min="9256" max="9258" width="6.1796875" style="396" customWidth="1"/>
    <col min="9259" max="9263" width="6.81640625" style="396" customWidth="1"/>
    <col min="9264" max="9266" width="10.7265625" style="396" customWidth="1"/>
    <col min="9267" max="9472" width="8.7265625" style="396"/>
    <col min="9473" max="9473" width="55.26953125" style="396" customWidth="1"/>
    <col min="9474" max="9487" width="5.26953125" style="396" customWidth="1"/>
    <col min="9488" max="9488" width="4.453125" style="396" customWidth="1"/>
    <col min="9489" max="9511" width="5.26953125" style="396" customWidth="1"/>
    <col min="9512" max="9514" width="6.1796875" style="396" customWidth="1"/>
    <col min="9515" max="9519" width="6.81640625" style="396" customWidth="1"/>
    <col min="9520" max="9522" width="10.7265625" style="396" customWidth="1"/>
    <col min="9523" max="9728" width="8.7265625" style="396"/>
    <col min="9729" max="9729" width="55.26953125" style="396" customWidth="1"/>
    <col min="9730" max="9743" width="5.26953125" style="396" customWidth="1"/>
    <col min="9744" max="9744" width="4.453125" style="396" customWidth="1"/>
    <col min="9745" max="9767" width="5.26953125" style="396" customWidth="1"/>
    <col min="9768" max="9770" width="6.1796875" style="396" customWidth="1"/>
    <col min="9771" max="9775" width="6.81640625" style="396" customWidth="1"/>
    <col min="9776" max="9778" width="10.7265625" style="396" customWidth="1"/>
    <col min="9779" max="9984" width="8.7265625" style="396"/>
    <col min="9985" max="9985" width="55.26953125" style="396" customWidth="1"/>
    <col min="9986" max="9999" width="5.26953125" style="396" customWidth="1"/>
    <col min="10000" max="10000" width="4.453125" style="396" customWidth="1"/>
    <col min="10001" max="10023" width="5.26953125" style="396" customWidth="1"/>
    <col min="10024" max="10026" width="6.1796875" style="396" customWidth="1"/>
    <col min="10027" max="10031" width="6.81640625" style="396" customWidth="1"/>
    <col min="10032" max="10034" width="10.7265625" style="396" customWidth="1"/>
    <col min="10035" max="10240" width="8.7265625" style="396"/>
    <col min="10241" max="10241" width="55.26953125" style="396" customWidth="1"/>
    <col min="10242" max="10255" width="5.26953125" style="396" customWidth="1"/>
    <col min="10256" max="10256" width="4.453125" style="396" customWidth="1"/>
    <col min="10257" max="10279" width="5.26953125" style="396" customWidth="1"/>
    <col min="10280" max="10282" width="6.1796875" style="396" customWidth="1"/>
    <col min="10283" max="10287" width="6.81640625" style="396" customWidth="1"/>
    <col min="10288" max="10290" width="10.7265625" style="396" customWidth="1"/>
    <col min="10291" max="10496" width="8.7265625" style="396"/>
    <col min="10497" max="10497" width="55.26953125" style="396" customWidth="1"/>
    <col min="10498" max="10511" width="5.26953125" style="396" customWidth="1"/>
    <col min="10512" max="10512" width="4.453125" style="396" customWidth="1"/>
    <col min="10513" max="10535" width="5.26953125" style="396" customWidth="1"/>
    <col min="10536" max="10538" width="6.1796875" style="396" customWidth="1"/>
    <col min="10539" max="10543" width="6.81640625" style="396" customWidth="1"/>
    <col min="10544" max="10546" width="10.7265625" style="396" customWidth="1"/>
    <col min="10547" max="10752" width="8.7265625" style="396"/>
    <col min="10753" max="10753" width="55.26953125" style="396" customWidth="1"/>
    <col min="10754" max="10767" width="5.26953125" style="396" customWidth="1"/>
    <col min="10768" max="10768" width="4.453125" style="396" customWidth="1"/>
    <col min="10769" max="10791" width="5.26953125" style="396" customWidth="1"/>
    <col min="10792" max="10794" width="6.1796875" style="396" customWidth="1"/>
    <col min="10795" max="10799" width="6.81640625" style="396" customWidth="1"/>
    <col min="10800" max="10802" width="10.7265625" style="396" customWidth="1"/>
    <col min="10803" max="11008" width="8.7265625" style="396"/>
    <col min="11009" max="11009" width="55.26953125" style="396" customWidth="1"/>
    <col min="11010" max="11023" width="5.26953125" style="396" customWidth="1"/>
    <col min="11024" max="11024" width="4.453125" style="396" customWidth="1"/>
    <col min="11025" max="11047" width="5.26953125" style="396" customWidth="1"/>
    <col min="11048" max="11050" width="6.1796875" style="396" customWidth="1"/>
    <col min="11051" max="11055" width="6.81640625" style="396" customWidth="1"/>
    <col min="11056" max="11058" width="10.7265625" style="396" customWidth="1"/>
    <col min="11059" max="11264" width="8.7265625" style="396"/>
    <col min="11265" max="11265" width="55.26953125" style="396" customWidth="1"/>
    <col min="11266" max="11279" width="5.26953125" style="396" customWidth="1"/>
    <col min="11280" max="11280" width="4.453125" style="396" customWidth="1"/>
    <col min="11281" max="11303" width="5.26953125" style="396" customWidth="1"/>
    <col min="11304" max="11306" width="6.1796875" style="396" customWidth="1"/>
    <col min="11307" max="11311" width="6.81640625" style="396" customWidth="1"/>
    <col min="11312" max="11314" width="10.7265625" style="396" customWidth="1"/>
    <col min="11315" max="11520" width="8.7265625" style="396"/>
    <col min="11521" max="11521" width="55.26953125" style="396" customWidth="1"/>
    <col min="11522" max="11535" width="5.26953125" style="396" customWidth="1"/>
    <col min="11536" max="11536" width="4.453125" style="396" customWidth="1"/>
    <col min="11537" max="11559" width="5.26953125" style="396" customWidth="1"/>
    <col min="11560" max="11562" width="6.1796875" style="396" customWidth="1"/>
    <col min="11563" max="11567" width="6.81640625" style="396" customWidth="1"/>
    <col min="11568" max="11570" width="10.7265625" style="396" customWidth="1"/>
    <col min="11571" max="11776" width="8.7265625" style="396"/>
    <col min="11777" max="11777" width="55.26953125" style="396" customWidth="1"/>
    <col min="11778" max="11791" width="5.26953125" style="396" customWidth="1"/>
    <col min="11792" max="11792" width="4.453125" style="396" customWidth="1"/>
    <col min="11793" max="11815" width="5.26953125" style="396" customWidth="1"/>
    <col min="11816" max="11818" width="6.1796875" style="396" customWidth="1"/>
    <col min="11819" max="11823" width="6.81640625" style="396" customWidth="1"/>
    <col min="11824" max="11826" width="10.7265625" style="396" customWidth="1"/>
    <col min="11827" max="12032" width="8.7265625" style="396"/>
    <col min="12033" max="12033" width="55.26953125" style="396" customWidth="1"/>
    <col min="12034" max="12047" width="5.26953125" style="396" customWidth="1"/>
    <col min="12048" max="12048" width="4.453125" style="396" customWidth="1"/>
    <col min="12049" max="12071" width="5.26953125" style="396" customWidth="1"/>
    <col min="12072" max="12074" width="6.1796875" style="396" customWidth="1"/>
    <col min="12075" max="12079" width="6.81640625" style="396" customWidth="1"/>
    <col min="12080" max="12082" width="10.7265625" style="396" customWidth="1"/>
    <col min="12083" max="12288" width="8.7265625" style="396"/>
    <col min="12289" max="12289" width="55.26953125" style="396" customWidth="1"/>
    <col min="12290" max="12303" width="5.26953125" style="396" customWidth="1"/>
    <col min="12304" max="12304" width="4.453125" style="396" customWidth="1"/>
    <col min="12305" max="12327" width="5.26953125" style="396" customWidth="1"/>
    <col min="12328" max="12330" width="6.1796875" style="396" customWidth="1"/>
    <col min="12331" max="12335" width="6.81640625" style="396" customWidth="1"/>
    <col min="12336" max="12338" width="10.7265625" style="396" customWidth="1"/>
    <col min="12339" max="12544" width="8.7265625" style="396"/>
    <col min="12545" max="12545" width="55.26953125" style="396" customWidth="1"/>
    <col min="12546" max="12559" width="5.26953125" style="396" customWidth="1"/>
    <col min="12560" max="12560" width="4.453125" style="396" customWidth="1"/>
    <col min="12561" max="12583" width="5.26953125" style="396" customWidth="1"/>
    <col min="12584" max="12586" width="6.1796875" style="396" customWidth="1"/>
    <col min="12587" max="12591" width="6.81640625" style="396" customWidth="1"/>
    <col min="12592" max="12594" width="10.7265625" style="396" customWidth="1"/>
    <col min="12595" max="12800" width="8.7265625" style="396"/>
    <col min="12801" max="12801" width="55.26953125" style="396" customWidth="1"/>
    <col min="12802" max="12815" width="5.26953125" style="396" customWidth="1"/>
    <col min="12816" max="12816" width="4.453125" style="396" customWidth="1"/>
    <col min="12817" max="12839" width="5.26953125" style="396" customWidth="1"/>
    <col min="12840" max="12842" width="6.1796875" style="396" customWidth="1"/>
    <col min="12843" max="12847" width="6.81640625" style="396" customWidth="1"/>
    <col min="12848" max="12850" width="10.7265625" style="396" customWidth="1"/>
    <col min="12851" max="13056" width="8.7265625" style="396"/>
    <col min="13057" max="13057" width="55.26953125" style="396" customWidth="1"/>
    <col min="13058" max="13071" width="5.26953125" style="396" customWidth="1"/>
    <col min="13072" max="13072" width="4.453125" style="396" customWidth="1"/>
    <col min="13073" max="13095" width="5.26953125" style="396" customWidth="1"/>
    <col min="13096" max="13098" width="6.1796875" style="396" customWidth="1"/>
    <col min="13099" max="13103" width="6.81640625" style="396" customWidth="1"/>
    <col min="13104" max="13106" width="10.7265625" style="396" customWidth="1"/>
    <col min="13107" max="13312" width="8.7265625" style="396"/>
    <col min="13313" max="13313" width="55.26953125" style="396" customWidth="1"/>
    <col min="13314" max="13327" width="5.26953125" style="396" customWidth="1"/>
    <col min="13328" max="13328" width="4.453125" style="396" customWidth="1"/>
    <col min="13329" max="13351" width="5.26953125" style="396" customWidth="1"/>
    <col min="13352" max="13354" width="6.1796875" style="396" customWidth="1"/>
    <col min="13355" max="13359" width="6.81640625" style="396" customWidth="1"/>
    <col min="13360" max="13362" width="10.7265625" style="396" customWidth="1"/>
    <col min="13363" max="13568" width="8.7265625" style="396"/>
    <col min="13569" max="13569" width="55.26953125" style="396" customWidth="1"/>
    <col min="13570" max="13583" width="5.26953125" style="396" customWidth="1"/>
    <col min="13584" max="13584" width="4.453125" style="396" customWidth="1"/>
    <col min="13585" max="13607" width="5.26953125" style="396" customWidth="1"/>
    <col min="13608" max="13610" width="6.1796875" style="396" customWidth="1"/>
    <col min="13611" max="13615" width="6.81640625" style="396" customWidth="1"/>
    <col min="13616" max="13618" width="10.7265625" style="396" customWidth="1"/>
    <col min="13619" max="13824" width="8.7265625" style="396"/>
    <col min="13825" max="13825" width="55.26953125" style="396" customWidth="1"/>
    <col min="13826" max="13839" width="5.26953125" style="396" customWidth="1"/>
    <col min="13840" max="13840" width="4.453125" style="396" customWidth="1"/>
    <col min="13841" max="13863" width="5.26953125" style="396" customWidth="1"/>
    <col min="13864" max="13866" width="6.1796875" style="396" customWidth="1"/>
    <col min="13867" max="13871" width="6.81640625" style="396" customWidth="1"/>
    <col min="13872" max="13874" width="10.7265625" style="396" customWidth="1"/>
    <col min="13875" max="14080" width="8.7265625" style="396"/>
    <col min="14081" max="14081" width="55.26953125" style="396" customWidth="1"/>
    <col min="14082" max="14095" width="5.26953125" style="396" customWidth="1"/>
    <col min="14096" max="14096" width="4.453125" style="396" customWidth="1"/>
    <col min="14097" max="14119" width="5.26953125" style="396" customWidth="1"/>
    <col min="14120" max="14122" width="6.1796875" style="396" customWidth="1"/>
    <col min="14123" max="14127" width="6.81640625" style="396" customWidth="1"/>
    <col min="14128" max="14130" width="10.7265625" style="396" customWidth="1"/>
    <col min="14131" max="14336" width="8.7265625" style="396"/>
    <col min="14337" max="14337" width="55.26953125" style="396" customWidth="1"/>
    <col min="14338" max="14351" width="5.26953125" style="396" customWidth="1"/>
    <col min="14352" max="14352" width="4.453125" style="396" customWidth="1"/>
    <col min="14353" max="14375" width="5.26953125" style="396" customWidth="1"/>
    <col min="14376" max="14378" width="6.1796875" style="396" customWidth="1"/>
    <col min="14379" max="14383" width="6.81640625" style="396" customWidth="1"/>
    <col min="14384" max="14386" width="10.7265625" style="396" customWidth="1"/>
    <col min="14387" max="14592" width="8.7265625" style="396"/>
    <col min="14593" max="14593" width="55.26953125" style="396" customWidth="1"/>
    <col min="14594" max="14607" width="5.26953125" style="396" customWidth="1"/>
    <col min="14608" max="14608" width="4.453125" style="396" customWidth="1"/>
    <col min="14609" max="14631" width="5.26953125" style="396" customWidth="1"/>
    <col min="14632" max="14634" width="6.1796875" style="396" customWidth="1"/>
    <col min="14635" max="14639" width="6.81640625" style="396" customWidth="1"/>
    <col min="14640" max="14642" width="10.7265625" style="396" customWidth="1"/>
    <col min="14643" max="14848" width="8.7265625" style="396"/>
    <col min="14849" max="14849" width="55.26953125" style="396" customWidth="1"/>
    <col min="14850" max="14863" width="5.26953125" style="396" customWidth="1"/>
    <col min="14864" max="14864" width="4.453125" style="396" customWidth="1"/>
    <col min="14865" max="14887" width="5.26953125" style="396" customWidth="1"/>
    <col min="14888" max="14890" width="6.1796875" style="396" customWidth="1"/>
    <col min="14891" max="14895" width="6.81640625" style="396" customWidth="1"/>
    <col min="14896" max="14898" width="10.7265625" style="396" customWidth="1"/>
    <col min="14899" max="15104" width="8.7265625" style="396"/>
    <col min="15105" max="15105" width="55.26953125" style="396" customWidth="1"/>
    <col min="15106" max="15119" width="5.26953125" style="396" customWidth="1"/>
    <col min="15120" max="15120" width="4.453125" style="396" customWidth="1"/>
    <col min="15121" max="15143" width="5.26953125" style="396" customWidth="1"/>
    <col min="15144" max="15146" width="6.1796875" style="396" customWidth="1"/>
    <col min="15147" max="15151" width="6.81640625" style="396" customWidth="1"/>
    <col min="15152" max="15154" width="10.7265625" style="396" customWidth="1"/>
    <col min="15155" max="15360" width="8.7265625" style="396"/>
    <col min="15361" max="15361" width="55.26953125" style="396" customWidth="1"/>
    <col min="15362" max="15375" width="5.26953125" style="396" customWidth="1"/>
    <col min="15376" max="15376" width="4.453125" style="396" customWidth="1"/>
    <col min="15377" max="15399" width="5.26953125" style="396" customWidth="1"/>
    <col min="15400" max="15402" width="6.1796875" style="396" customWidth="1"/>
    <col min="15403" max="15407" width="6.81640625" style="396" customWidth="1"/>
    <col min="15408" max="15410" width="10.7265625" style="396" customWidth="1"/>
    <col min="15411" max="15616" width="8.7265625" style="396"/>
    <col min="15617" max="15617" width="55.26953125" style="396" customWidth="1"/>
    <col min="15618" max="15631" width="5.26953125" style="396" customWidth="1"/>
    <col min="15632" max="15632" width="4.453125" style="396" customWidth="1"/>
    <col min="15633" max="15655" width="5.26953125" style="396" customWidth="1"/>
    <col min="15656" max="15658" width="6.1796875" style="396" customWidth="1"/>
    <col min="15659" max="15663" width="6.81640625" style="396" customWidth="1"/>
    <col min="15664" max="15666" width="10.7265625" style="396" customWidth="1"/>
    <col min="15667" max="15872" width="8.7265625" style="396"/>
    <col min="15873" max="15873" width="55.26953125" style="396" customWidth="1"/>
    <col min="15874" max="15887" width="5.26953125" style="396" customWidth="1"/>
    <col min="15888" max="15888" width="4.453125" style="396" customWidth="1"/>
    <col min="15889" max="15911" width="5.26953125" style="396" customWidth="1"/>
    <col min="15912" max="15914" width="6.1796875" style="396" customWidth="1"/>
    <col min="15915" max="15919" width="6.81640625" style="396" customWidth="1"/>
    <col min="15920" max="15922" width="10.7265625" style="396" customWidth="1"/>
    <col min="15923" max="16128" width="8.7265625" style="396"/>
    <col min="16129" max="16129" width="55.26953125" style="396" customWidth="1"/>
    <col min="16130" max="16143" width="5.26953125" style="396" customWidth="1"/>
    <col min="16144" max="16144" width="4.453125" style="396" customWidth="1"/>
    <col min="16145" max="16167" width="5.26953125" style="396" customWidth="1"/>
    <col min="16168" max="16170" width="6.1796875" style="396" customWidth="1"/>
    <col min="16171" max="16175" width="6.81640625" style="396" customWidth="1"/>
    <col min="16176" max="16178" width="10.7265625" style="396" customWidth="1"/>
    <col min="16179" max="16384" width="8.7265625" style="396"/>
  </cols>
  <sheetData>
    <row r="1" spans="1:50" ht="13">
      <c r="A1" s="440" t="s">
        <v>790</v>
      </c>
    </row>
    <row r="2" spans="1:50" ht="13">
      <c r="A2" s="395" t="s">
        <v>192</v>
      </c>
      <c r="B2" s="395"/>
      <c r="C2" s="395"/>
      <c r="D2" s="395"/>
      <c r="E2" s="440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441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441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441"/>
      <c r="AP2" s="395"/>
      <c r="AQ2" s="395"/>
      <c r="AR2" s="395"/>
      <c r="AS2" s="395"/>
      <c r="AT2" s="395"/>
      <c r="AU2" s="395"/>
      <c r="AV2" s="395"/>
    </row>
    <row r="3" spans="1:50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</row>
    <row r="4" spans="1:50" ht="15.75" customHeight="1">
      <c r="A4" s="443"/>
      <c r="B4" s="444" t="s">
        <v>720</v>
      </c>
      <c r="C4" s="444" t="s">
        <v>721</v>
      </c>
      <c r="D4" s="444" t="s">
        <v>722</v>
      </c>
      <c r="E4" s="444" t="s">
        <v>723</v>
      </c>
      <c r="F4" s="444" t="s">
        <v>724</v>
      </c>
      <c r="G4" s="444" t="s">
        <v>725</v>
      </c>
      <c r="H4" s="444" t="s">
        <v>726</v>
      </c>
      <c r="I4" s="444" t="s">
        <v>727</v>
      </c>
      <c r="J4" s="444" t="s">
        <v>728</v>
      </c>
      <c r="K4" s="444" t="s">
        <v>729</v>
      </c>
      <c r="L4" s="444" t="s">
        <v>730</v>
      </c>
      <c r="M4" s="444" t="s">
        <v>731</v>
      </c>
      <c r="N4" s="444" t="s">
        <v>732</v>
      </c>
      <c r="O4" s="444" t="s">
        <v>733</v>
      </c>
      <c r="P4" s="444">
        <v>1961</v>
      </c>
      <c r="Q4" s="444" t="s">
        <v>734</v>
      </c>
      <c r="R4" s="444" t="s">
        <v>735</v>
      </c>
      <c r="S4" s="444" t="s">
        <v>736</v>
      </c>
      <c r="T4" s="444" t="s">
        <v>737</v>
      </c>
      <c r="U4" s="444" t="s">
        <v>738</v>
      </c>
      <c r="V4" s="444" t="s">
        <v>739</v>
      </c>
      <c r="W4" s="444" t="s">
        <v>740</v>
      </c>
      <c r="X4" s="444" t="s">
        <v>741</v>
      </c>
      <c r="Y4" s="444" t="s">
        <v>742</v>
      </c>
      <c r="Z4" s="444" t="s">
        <v>743</v>
      </c>
      <c r="AA4" s="444" t="s">
        <v>744</v>
      </c>
      <c r="AB4" s="444" t="s">
        <v>745</v>
      </c>
      <c r="AC4" s="444" t="s">
        <v>746</v>
      </c>
      <c r="AD4" s="444" t="s">
        <v>747</v>
      </c>
      <c r="AE4" s="444" t="s">
        <v>748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</row>
    <row r="5" spans="1:50" ht="1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</row>
    <row r="6" spans="1:50" ht="13">
      <c r="A6" s="446" t="s">
        <v>749</v>
      </c>
      <c r="B6" s="449">
        <v>618.46639834909365</v>
      </c>
      <c r="C6" s="449">
        <v>698.53812514140418</v>
      </c>
      <c r="D6" s="449">
        <v>753.24608022164819</v>
      </c>
      <c r="E6" s="449">
        <v>797.74112667865165</v>
      </c>
      <c r="F6" s="449">
        <v>842.80437749283283</v>
      </c>
      <c r="G6" s="449">
        <v>873.01735154837922</v>
      </c>
      <c r="H6" s="449">
        <v>961.22875973930707</v>
      </c>
      <c r="I6" s="449">
        <v>970.23327866196689</v>
      </c>
      <c r="J6" s="449">
        <v>1067.0370012701167</v>
      </c>
      <c r="K6" s="449">
        <v>1152.0756119981902</v>
      </c>
      <c r="L6" s="449">
        <v>1230.5053265390368</v>
      </c>
      <c r="M6" s="449">
        <v>1335.3252859018255</v>
      </c>
      <c r="N6" s="449">
        <v>1381.5720687999051</v>
      </c>
      <c r="O6" s="449">
        <v>1468.9547628453129</v>
      </c>
      <c r="P6" s="449">
        <v>1531.2500381914444</v>
      </c>
      <c r="Q6" s="449">
        <v>1687.362989279769</v>
      </c>
      <c r="R6" s="449">
        <v>1732.2551112793892</v>
      </c>
      <c r="S6" s="449">
        <v>1918.2671651588689</v>
      </c>
      <c r="T6" s="449">
        <v>2080.41116028224</v>
      </c>
      <c r="U6" s="449">
        <v>2410.0002440128642</v>
      </c>
      <c r="V6" s="449">
        <v>2584.3003149709452</v>
      </c>
      <c r="W6" s="449">
        <v>2846.8531675565737</v>
      </c>
      <c r="X6" s="449">
        <v>3198.0542549793577</v>
      </c>
      <c r="Y6" s="449">
        <v>3772.2206256582158</v>
      </c>
      <c r="Z6" s="449">
        <v>3898.0665385436196</v>
      </c>
      <c r="AA6" s="449">
        <v>4224.4134791230254</v>
      </c>
      <c r="AB6" s="449">
        <v>4798.619472902129</v>
      </c>
      <c r="AC6" s="449">
        <v>6034.1669867143009</v>
      </c>
      <c r="AD6" s="449">
        <v>8798.1584661290253</v>
      </c>
      <c r="AE6" s="449">
        <v>10273.092038917472</v>
      </c>
      <c r="AF6" s="449">
        <v>10648.603806490664</v>
      </c>
      <c r="AG6" s="449">
        <v>11984.169754058166</v>
      </c>
      <c r="AH6" s="449">
        <v>20913.716880939784</v>
      </c>
      <c r="AI6" s="449">
        <v>25966.750645087901</v>
      </c>
      <c r="AJ6" s="449">
        <v>31302.918964159209</v>
      </c>
      <c r="AK6" s="449">
        <v>43108.632552731317</v>
      </c>
      <c r="AL6" s="449">
        <v>52553.520805542961</v>
      </c>
      <c r="AM6" s="449">
        <v>64996.906149195369</v>
      </c>
      <c r="AN6" s="449">
        <v>80532.514007578342</v>
      </c>
      <c r="AO6" s="449">
        <v>101866.77254723657</v>
      </c>
      <c r="AP6" s="449">
        <v>144799.65789728783</v>
      </c>
      <c r="AQ6" s="449">
        <v>182852.70317356905</v>
      </c>
      <c r="AR6" s="449">
        <v>204670.44799372152</v>
      </c>
      <c r="AS6" s="449">
        <v>239650.30627095167</v>
      </c>
      <c r="AT6" s="449">
        <v>277275.22955068684</v>
      </c>
      <c r="AU6" s="449">
        <v>344408.73772247683</v>
      </c>
      <c r="AV6" s="449">
        <v>358053.14450820751</v>
      </c>
      <c r="AW6" s="449">
        <v>384728.10692257481</v>
      </c>
      <c r="AX6" s="450">
        <v>420961.40767793299</v>
      </c>
    </row>
    <row r="7" spans="1:50" ht="13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0" ht="13">
      <c r="A8" s="451" t="s">
        <v>750</v>
      </c>
      <c r="B8" s="449">
        <v>336.78003132056006</v>
      </c>
      <c r="C8" s="449">
        <v>377.32213332773188</v>
      </c>
      <c r="D8" s="449">
        <v>410.00046782830873</v>
      </c>
      <c r="E8" s="449">
        <v>431.68626984863261</v>
      </c>
      <c r="F8" s="449">
        <v>436.1</v>
      </c>
      <c r="G8" s="449">
        <v>473.6</v>
      </c>
      <c r="H8" s="449">
        <v>533.1</v>
      </c>
      <c r="I8" s="449">
        <v>543.70000000000005</v>
      </c>
      <c r="J8" s="449">
        <v>564.4</v>
      </c>
      <c r="K8" s="449">
        <v>617.5</v>
      </c>
      <c r="L8" s="449">
        <v>661.1</v>
      </c>
      <c r="M8" s="449">
        <v>702</v>
      </c>
      <c r="N8" s="449">
        <v>733.2</v>
      </c>
      <c r="O8" s="449">
        <v>798.2</v>
      </c>
      <c r="P8" s="449">
        <v>787.1</v>
      </c>
      <c r="Q8" s="449">
        <v>901.3</v>
      </c>
      <c r="R8" s="449">
        <v>894.8</v>
      </c>
      <c r="S8" s="449">
        <v>1040.9000000000001</v>
      </c>
      <c r="T8" s="449">
        <v>1161.9000000000001</v>
      </c>
      <c r="U8" s="449">
        <v>1437.2</v>
      </c>
      <c r="V8" s="449">
        <v>1509</v>
      </c>
      <c r="W8" s="449">
        <v>1689</v>
      </c>
      <c r="X8" s="449">
        <v>1928</v>
      </c>
      <c r="Y8" s="449">
        <v>2259.6</v>
      </c>
      <c r="Z8" s="449">
        <v>2223.1999999999998</v>
      </c>
      <c r="AA8" s="449">
        <v>2275.8000000000002</v>
      </c>
      <c r="AB8" s="449">
        <v>2416.5</v>
      </c>
      <c r="AC8" s="449">
        <v>2829.2</v>
      </c>
      <c r="AD8" s="449">
        <v>3007.5</v>
      </c>
      <c r="AE8" s="449">
        <v>3126</v>
      </c>
      <c r="AF8" s="449">
        <v>4231.5370000000003</v>
      </c>
      <c r="AG8" s="449">
        <v>5601.3384999999998</v>
      </c>
      <c r="AH8" s="449">
        <v>8655.982</v>
      </c>
      <c r="AI8" s="449">
        <v>7479.4594999999999</v>
      </c>
      <c r="AJ8" s="449">
        <v>8259.6579999999994</v>
      </c>
      <c r="AK8" s="449">
        <v>9778.7649999999994</v>
      </c>
      <c r="AL8" s="449">
        <v>11121.341399999999</v>
      </c>
      <c r="AM8" s="449">
        <v>13914.838</v>
      </c>
      <c r="AN8" s="449">
        <v>16128.034</v>
      </c>
      <c r="AO8" s="449">
        <v>20100</v>
      </c>
      <c r="AP8" s="449">
        <v>27679</v>
      </c>
      <c r="AQ8" s="449">
        <v>38165</v>
      </c>
      <c r="AR8" s="449">
        <v>41334</v>
      </c>
      <c r="AS8" s="449">
        <v>50240</v>
      </c>
      <c r="AT8" s="449">
        <v>58112</v>
      </c>
      <c r="AU8" s="449">
        <v>70676</v>
      </c>
      <c r="AV8" s="449">
        <v>74237</v>
      </c>
      <c r="AW8" s="449">
        <v>84312</v>
      </c>
      <c r="AX8" s="450">
        <v>95199</v>
      </c>
    </row>
    <row r="9" spans="1:50" ht="13">
      <c r="A9" s="446" t="s">
        <v>751</v>
      </c>
      <c r="B9" s="447">
        <v>0</v>
      </c>
      <c r="C9" s="447">
        <v>0</v>
      </c>
      <c r="D9" s="447">
        <v>0</v>
      </c>
      <c r="E9" s="447">
        <v>0</v>
      </c>
      <c r="F9" s="447">
        <v>0</v>
      </c>
      <c r="G9" s="447">
        <v>0</v>
      </c>
      <c r="H9" s="447">
        <v>0</v>
      </c>
      <c r="I9" s="447">
        <v>0</v>
      </c>
      <c r="J9" s="447">
        <v>0</v>
      </c>
      <c r="K9" s="447">
        <v>0</v>
      </c>
      <c r="L9" s="447">
        <v>0</v>
      </c>
      <c r="M9" s="447">
        <v>0</v>
      </c>
      <c r="N9" s="447">
        <v>0</v>
      </c>
      <c r="O9" s="447">
        <v>0</v>
      </c>
      <c r="P9" s="447">
        <v>0</v>
      </c>
      <c r="Q9" s="447">
        <v>0</v>
      </c>
      <c r="R9" s="447">
        <v>0</v>
      </c>
      <c r="S9" s="447">
        <v>0</v>
      </c>
      <c r="T9" s="447">
        <v>0</v>
      </c>
      <c r="U9" s="447">
        <v>0</v>
      </c>
      <c r="V9" s="447">
        <v>0</v>
      </c>
      <c r="W9" s="447">
        <v>0</v>
      </c>
      <c r="X9" s="447">
        <v>0</v>
      </c>
      <c r="Y9" s="447">
        <v>0</v>
      </c>
      <c r="Z9" s="447">
        <v>0</v>
      </c>
      <c r="AA9" s="447">
        <v>0</v>
      </c>
      <c r="AB9" s="447">
        <v>0</v>
      </c>
      <c r="AC9" s="447">
        <v>0</v>
      </c>
      <c r="AD9" s="447">
        <v>0</v>
      </c>
      <c r="AE9" s="447">
        <v>0</v>
      </c>
      <c r="AF9" s="447">
        <v>0</v>
      </c>
      <c r="AG9" s="447">
        <v>0</v>
      </c>
      <c r="AH9" s="447">
        <v>0</v>
      </c>
      <c r="AI9" s="447">
        <v>0</v>
      </c>
      <c r="AJ9" s="447">
        <v>0</v>
      </c>
      <c r="AK9" s="447">
        <v>0</v>
      </c>
      <c r="AL9" s="447">
        <v>0</v>
      </c>
      <c r="AM9" s="447">
        <v>0</v>
      </c>
      <c r="AN9" s="447">
        <v>0</v>
      </c>
      <c r="AO9" s="447">
        <v>9</v>
      </c>
      <c r="AP9" s="447">
        <v>17</v>
      </c>
      <c r="AQ9" s="447">
        <v>28</v>
      </c>
      <c r="AR9" s="447">
        <v>41</v>
      </c>
      <c r="AS9" s="447">
        <v>48</v>
      </c>
      <c r="AT9" s="447">
        <v>46</v>
      </c>
      <c r="AU9" s="447">
        <v>45</v>
      </c>
      <c r="AV9" s="447">
        <v>26</v>
      </c>
      <c r="AW9" s="447">
        <v>8</v>
      </c>
      <c r="AX9" s="448">
        <v>30</v>
      </c>
    </row>
    <row r="10" spans="1:50" ht="13">
      <c r="A10" s="451" t="s">
        <v>752</v>
      </c>
      <c r="B10" s="449">
        <v>117.02682473395375</v>
      </c>
      <c r="C10" s="449">
        <v>121.94286128580818</v>
      </c>
      <c r="D10" s="449">
        <v>124.14601202268493</v>
      </c>
      <c r="E10" s="449">
        <v>131.24729818932263</v>
      </c>
      <c r="F10" s="449">
        <v>136.94579159124919</v>
      </c>
      <c r="G10" s="449">
        <v>127.5311186690611</v>
      </c>
      <c r="H10" s="449">
        <v>138.16861859865534</v>
      </c>
      <c r="I10" s="449">
        <v>116.26888007282345</v>
      </c>
      <c r="J10" s="449">
        <v>160.27185497345818</v>
      </c>
      <c r="K10" s="449">
        <v>169.61208241696028</v>
      </c>
      <c r="L10" s="449">
        <v>182.49127407626185</v>
      </c>
      <c r="M10" s="449">
        <v>186.09852184005362</v>
      </c>
      <c r="N10" s="449">
        <v>189.07313020797881</v>
      </c>
      <c r="O10" s="449">
        <v>185.45658410008903</v>
      </c>
      <c r="P10" s="449">
        <v>210.00864724604455</v>
      </c>
      <c r="Q10" s="449">
        <v>205.45230995590418</v>
      </c>
      <c r="R10" s="449">
        <v>217.85669101211752</v>
      </c>
      <c r="S10" s="449">
        <v>243.79622743006598</v>
      </c>
      <c r="T10" s="449">
        <v>247.26671899170151</v>
      </c>
      <c r="U10" s="449">
        <v>253.13514740738154</v>
      </c>
      <c r="V10" s="449">
        <v>297.57298235570505</v>
      </c>
      <c r="W10" s="449">
        <v>319.68873118479667</v>
      </c>
      <c r="X10" s="449">
        <v>309.7</v>
      </c>
      <c r="Y10" s="449">
        <v>380.5</v>
      </c>
      <c r="Z10" s="449">
        <v>374.9</v>
      </c>
      <c r="AA10" s="449">
        <v>404.7</v>
      </c>
      <c r="AB10" s="449">
        <v>476.9</v>
      </c>
      <c r="AC10" s="449">
        <v>442.2</v>
      </c>
      <c r="AD10" s="449">
        <v>397</v>
      </c>
      <c r="AE10" s="449">
        <v>459.4</v>
      </c>
      <c r="AF10" s="449">
        <v>541.54</v>
      </c>
      <c r="AG10" s="449">
        <v>576.32799999999997</v>
      </c>
      <c r="AH10" s="449">
        <v>1124.029</v>
      </c>
      <c r="AI10" s="449">
        <v>1217.0125</v>
      </c>
      <c r="AJ10" s="449">
        <v>1541.316</v>
      </c>
      <c r="AK10" s="449">
        <v>1935.627</v>
      </c>
      <c r="AL10" s="449">
        <v>2460.0275999999999</v>
      </c>
      <c r="AM10" s="449">
        <v>3497.9279999999999</v>
      </c>
      <c r="AN10" s="449">
        <v>4514.2700000000004</v>
      </c>
      <c r="AO10" s="449">
        <v>4167</v>
      </c>
      <c r="AP10" s="449">
        <v>24271</v>
      </c>
      <c r="AQ10" s="449">
        <v>36529</v>
      </c>
      <c r="AR10" s="449">
        <v>39413</v>
      </c>
      <c r="AS10" s="449">
        <v>55154</v>
      </c>
      <c r="AT10" s="449">
        <v>57283</v>
      </c>
      <c r="AU10" s="449">
        <v>71624</v>
      </c>
      <c r="AV10" s="449">
        <v>72665</v>
      </c>
      <c r="AW10" s="449">
        <v>80890</v>
      </c>
      <c r="AX10" s="450">
        <v>85463</v>
      </c>
    </row>
    <row r="11" spans="1:50" ht="13">
      <c r="A11" s="446" t="s">
        <v>753</v>
      </c>
      <c r="B11" s="449">
        <v>74.012900657554965</v>
      </c>
      <c r="C11" s="449">
        <v>89.358627453719961</v>
      </c>
      <c r="D11" s="449">
        <v>96.378140408356302</v>
      </c>
      <c r="E11" s="449">
        <v>102.96890673160283</v>
      </c>
      <c r="F11" s="449">
        <v>111.15593626272407</v>
      </c>
      <c r="G11" s="449">
        <v>117.05933950994574</v>
      </c>
      <c r="H11" s="449">
        <v>132.65878636080348</v>
      </c>
      <c r="I11" s="449">
        <v>142.42842348990436</v>
      </c>
      <c r="J11" s="449">
        <v>154.92635945791829</v>
      </c>
      <c r="K11" s="449">
        <v>164.02146488889082</v>
      </c>
      <c r="L11" s="449">
        <v>176.7859449867255</v>
      </c>
      <c r="M11" s="449">
        <v>183.59950605127457</v>
      </c>
      <c r="N11" s="449">
        <v>181.72435189696111</v>
      </c>
      <c r="O11" s="449">
        <v>195.22392926775728</v>
      </c>
      <c r="P11" s="449">
        <v>213.1006464918226</v>
      </c>
      <c r="Q11" s="449">
        <v>248.81559505932825</v>
      </c>
      <c r="R11" s="449">
        <v>254.62025075211227</v>
      </c>
      <c r="S11" s="449">
        <v>261.22451658833455</v>
      </c>
      <c r="T11" s="449">
        <v>291.30544535805075</v>
      </c>
      <c r="U11" s="449">
        <v>314.36576869021349</v>
      </c>
      <c r="V11" s="449">
        <v>325.50502163815662</v>
      </c>
      <c r="W11" s="449">
        <v>337.56731092634834</v>
      </c>
      <c r="X11" s="449">
        <v>409.6</v>
      </c>
      <c r="Y11" s="449">
        <v>453.935</v>
      </c>
      <c r="Z11" s="449">
        <v>497.93799999999999</v>
      </c>
      <c r="AA11" s="449">
        <v>519.79999999999995</v>
      </c>
      <c r="AB11" s="449">
        <v>597.6</v>
      </c>
      <c r="AC11" s="449">
        <v>469.65</v>
      </c>
      <c r="AD11" s="449">
        <v>401.46299999999997</v>
      </c>
      <c r="AE11" s="449">
        <v>462.5139999999999</v>
      </c>
      <c r="AF11" s="449">
        <v>447.25200000000001</v>
      </c>
      <c r="AG11" s="449">
        <v>559.51711999999998</v>
      </c>
      <c r="AH11" s="449">
        <v>497.62718000000001</v>
      </c>
      <c r="AI11" s="449">
        <v>497.45463999999998</v>
      </c>
      <c r="AJ11" s="449">
        <v>1070.06368</v>
      </c>
      <c r="AK11" s="449">
        <v>1679.2950599999999</v>
      </c>
      <c r="AL11" s="449">
        <v>2069.4276</v>
      </c>
      <c r="AM11" s="449">
        <v>2908.0230000000001</v>
      </c>
      <c r="AN11" s="449">
        <v>3372.0223999999998</v>
      </c>
      <c r="AO11" s="449">
        <v>3727</v>
      </c>
      <c r="AP11" s="449">
        <v>6485</v>
      </c>
      <c r="AQ11" s="449">
        <v>9940</v>
      </c>
      <c r="AR11" s="449">
        <v>8018</v>
      </c>
      <c r="AS11" s="449">
        <v>12045</v>
      </c>
      <c r="AT11" s="449">
        <v>14232</v>
      </c>
      <c r="AU11" s="449">
        <v>28627</v>
      </c>
      <c r="AV11" s="449">
        <v>29449</v>
      </c>
      <c r="AW11" s="449">
        <v>31544</v>
      </c>
      <c r="AX11" s="450">
        <v>35591</v>
      </c>
    </row>
    <row r="12" spans="1:50" ht="13">
      <c r="A12" s="446" t="s">
        <v>754</v>
      </c>
      <c r="B12" s="449">
        <v>18.489272141122669</v>
      </c>
      <c r="C12" s="449">
        <v>20.43671617861316</v>
      </c>
      <c r="D12" s="449">
        <v>22.822898211635582</v>
      </c>
      <c r="E12" s="449">
        <v>24.891475688618605</v>
      </c>
      <c r="F12" s="449">
        <v>29.022950888164292</v>
      </c>
      <c r="G12" s="449">
        <v>33.216228523423752</v>
      </c>
      <c r="H12" s="449">
        <v>37.655808155286948</v>
      </c>
      <c r="I12" s="449">
        <v>41.578900744227127</v>
      </c>
      <c r="J12" s="449">
        <v>46.376178538589009</v>
      </c>
      <c r="K12" s="449">
        <v>51.63446018177099</v>
      </c>
      <c r="L12" s="449">
        <v>56.8204246057918</v>
      </c>
      <c r="M12" s="449">
        <v>61.477906104757757</v>
      </c>
      <c r="N12" s="449">
        <v>66.783450080365</v>
      </c>
      <c r="O12" s="449">
        <v>73.549820630509771</v>
      </c>
      <c r="P12" s="449">
        <v>81.90222336092333</v>
      </c>
      <c r="Q12" s="449">
        <v>89.085738942106929</v>
      </c>
      <c r="R12" s="449">
        <v>103.32954586581684</v>
      </c>
      <c r="S12" s="449">
        <v>110.44031898998927</v>
      </c>
      <c r="T12" s="449">
        <v>119.81848092028484</v>
      </c>
      <c r="U12" s="449">
        <v>132.15674658693302</v>
      </c>
      <c r="V12" s="449">
        <v>158.80257698956297</v>
      </c>
      <c r="W12" s="449">
        <v>168.66182207314654</v>
      </c>
      <c r="X12" s="449">
        <v>181.11599349471859</v>
      </c>
      <c r="Y12" s="449">
        <v>198.17067650425486</v>
      </c>
      <c r="Z12" s="449">
        <v>230.28282918018851</v>
      </c>
      <c r="AA12" s="449">
        <v>279.00022332133506</v>
      </c>
      <c r="AB12" s="449">
        <v>322.20787959627899</v>
      </c>
      <c r="AC12" s="449">
        <v>408.64897243487155</v>
      </c>
      <c r="AD12" s="449">
        <v>523.3664804202881</v>
      </c>
      <c r="AE12" s="449">
        <v>657.65119473297455</v>
      </c>
      <c r="AF12" s="449">
        <v>859.8498064906637</v>
      </c>
      <c r="AG12" s="449">
        <v>1197.4951340581661</v>
      </c>
      <c r="AH12" s="449">
        <v>1666.0297009397832</v>
      </c>
      <c r="AI12" s="449">
        <v>2492.2995050878981</v>
      </c>
      <c r="AJ12" s="449">
        <v>3558.5232841592115</v>
      </c>
      <c r="AK12" s="449">
        <v>4808.5034927313172</v>
      </c>
      <c r="AL12" s="449">
        <v>6636.527205542965</v>
      </c>
      <c r="AM12" s="449">
        <v>8360.6661491953655</v>
      </c>
      <c r="AN12" s="449">
        <v>10350.270607578337</v>
      </c>
      <c r="AO12" s="449">
        <v>12045.772547236571</v>
      </c>
      <c r="AP12" s="449">
        <v>13983.657897287838</v>
      </c>
      <c r="AQ12" s="449">
        <v>16152.703173569051</v>
      </c>
      <c r="AR12" s="449">
        <v>18732.447993721526</v>
      </c>
      <c r="AS12" s="449">
        <v>21606.306270951674</v>
      </c>
      <c r="AT12" s="449">
        <v>24826.229550686843</v>
      </c>
      <c r="AU12" s="449">
        <v>28020.737722476799</v>
      </c>
      <c r="AV12" s="449">
        <v>31802.144508207493</v>
      </c>
      <c r="AW12" s="449">
        <v>35184.106922574814</v>
      </c>
      <c r="AX12" s="450">
        <v>38554.40767793297</v>
      </c>
    </row>
    <row r="13" spans="1:50" ht="13">
      <c r="A13" s="451" t="s">
        <v>755</v>
      </c>
      <c r="B13" s="449">
        <v>72.157369495902174</v>
      </c>
      <c r="C13" s="449">
        <v>89.477786895530897</v>
      </c>
      <c r="D13" s="449">
        <v>99.898561750662651</v>
      </c>
      <c r="E13" s="449">
        <v>106.947176220475</v>
      </c>
      <c r="F13" s="449">
        <v>129.57969875069529</v>
      </c>
      <c r="G13" s="449">
        <v>121.61066484594866</v>
      </c>
      <c r="H13" s="449">
        <v>119.64554662456126</v>
      </c>
      <c r="I13" s="449">
        <v>126.25707435501188</v>
      </c>
      <c r="J13" s="449">
        <v>141.06260830015134</v>
      </c>
      <c r="K13" s="449">
        <v>149.30760451056813</v>
      </c>
      <c r="L13" s="449">
        <v>153.30768287025757</v>
      </c>
      <c r="M13" s="449">
        <v>202.14935190573968</v>
      </c>
      <c r="N13" s="449">
        <v>210.79113661460013</v>
      </c>
      <c r="O13" s="449">
        <v>216.52442884695665</v>
      </c>
      <c r="P13" s="449">
        <v>239.13852109265397</v>
      </c>
      <c r="Q13" s="449">
        <v>242.70934532242967</v>
      </c>
      <c r="R13" s="449">
        <v>261.64862364934265</v>
      </c>
      <c r="S13" s="449">
        <v>261.90610215047934</v>
      </c>
      <c r="T13" s="449">
        <v>260.12051501220304</v>
      </c>
      <c r="U13" s="449">
        <v>273.14258132833629</v>
      </c>
      <c r="V13" s="449">
        <v>293.41973398752054</v>
      </c>
      <c r="W13" s="449">
        <v>331.93530337228162</v>
      </c>
      <c r="X13" s="449">
        <v>369.63826148463932</v>
      </c>
      <c r="Y13" s="449">
        <v>480.01494915396097</v>
      </c>
      <c r="Z13" s="449">
        <v>571.74570936343093</v>
      </c>
      <c r="AA13" s="449">
        <v>745.11325580169046</v>
      </c>
      <c r="AB13" s="449">
        <v>985.41159330585094</v>
      </c>
      <c r="AC13" s="449">
        <v>1884.4680142794296</v>
      </c>
      <c r="AD13" s="449">
        <v>4468.8289857087366</v>
      </c>
      <c r="AE13" s="449">
        <v>5567.5268441844964</v>
      </c>
      <c r="AF13" s="449">
        <v>4568.4250000000002</v>
      </c>
      <c r="AG13" s="449">
        <v>4049.491</v>
      </c>
      <c r="AH13" s="449">
        <v>8970.0490000000009</v>
      </c>
      <c r="AI13" s="449">
        <v>14280.524500000001</v>
      </c>
      <c r="AJ13" s="449">
        <v>16873.358</v>
      </c>
      <c r="AK13" s="449">
        <v>24906.441999999999</v>
      </c>
      <c r="AL13" s="449">
        <v>30266.197</v>
      </c>
      <c r="AM13" s="449">
        <v>36315.451000000001</v>
      </c>
      <c r="AN13" s="449">
        <v>46167.917000000001</v>
      </c>
      <c r="AO13" s="449">
        <v>61818</v>
      </c>
      <c r="AP13" s="449">
        <v>72364</v>
      </c>
      <c r="AQ13" s="449">
        <v>82038</v>
      </c>
      <c r="AR13" s="449">
        <v>97132</v>
      </c>
      <c r="AS13" s="449">
        <v>100557</v>
      </c>
      <c r="AT13" s="449">
        <v>122776</v>
      </c>
      <c r="AU13" s="449">
        <v>145416</v>
      </c>
      <c r="AV13" s="449">
        <v>149874</v>
      </c>
      <c r="AW13" s="449">
        <v>152790</v>
      </c>
      <c r="AX13" s="450">
        <v>166124</v>
      </c>
    </row>
    <row r="14" spans="1:50" ht="13">
      <c r="A14" s="457" t="s">
        <v>770</v>
      </c>
      <c r="B14" s="458">
        <v>57.759970555570774</v>
      </c>
      <c r="C14" s="458">
        <v>53.44827666831366</v>
      </c>
      <c r="D14" s="458">
        <v>60.941662011779684</v>
      </c>
      <c r="E14" s="458">
        <v>60.693174967733924</v>
      </c>
      <c r="F14" s="458">
        <v>83.49633562824117</v>
      </c>
      <c r="G14" s="458">
        <v>70.55347271936833</v>
      </c>
      <c r="H14" s="458">
        <v>65.176634603013269</v>
      </c>
      <c r="I14" s="458">
        <v>65.708538745666516</v>
      </c>
      <c r="J14" s="458">
        <v>70.054892521789057</v>
      </c>
      <c r="K14" s="458">
        <v>70.239121954194047</v>
      </c>
      <c r="L14" s="458">
        <v>67.66401980062669</v>
      </c>
      <c r="M14" s="458">
        <v>102.95402787911034</v>
      </c>
      <c r="N14" s="458">
        <v>103.08169858057342</v>
      </c>
      <c r="O14" s="458">
        <v>99.338781893243279</v>
      </c>
      <c r="P14" s="458">
        <v>101.9204702039498</v>
      </c>
      <c r="Q14" s="458">
        <v>104.90989124110546</v>
      </c>
      <c r="R14" s="458">
        <v>106.30826602774368</v>
      </c>
      <c r="S14" s="458">
        <v>97.948615505127677</v>
      </c>
      <c r="T14" s="458">
        <v>84.187099701595201</v>
      </c>
      <c r="U14" s="458">
        <v>86.277654498473069</v>
      </c>
      <c r="V14" s="458">
        <v>80.498296346623249</v>
      </c>
      <c r="W14" s="458">
        <v>101.05360663386713</v>
      </c>
      <c r="X14" s="458">
        <v>123.11124206778069</v>
      </c>
      <c r="Y14" s="458">
        <v>181.32447287466985</v>
      </c>
      <c r="Z14" s="458">
        <v>258.24459984141021</v>
      </c>
      <c r="AA14" s="458">
        <v>373.28485814392803</v>
      </c>
      <c r="AB14" s="458">
        <v>557.55513418871658</v>
      </c>
      <c r="AC14" s="458">
        <v>1355.6367414735087</v>
      </c>
      <c r="AD14" s="458">
        <v>3810.259363925506</v>
      </c>
      <c r="AE14" s="458">
        <v>4757.5521559068538</v>
      </c>
      <c r="AF14" s="458">
        <v>4367.5709999999999</v>
      </c>
      <c r="AG14" s="458">
        <v>3659.2309999999998</v>
      </c>
      <c r="AH14" s="458">
        <v>8459.027</v>
      </c>
      <c r="AI14" s="458">
        <v>13013.61</v>
      </c>
      <c r="AJ14" s="458">
        <v>16182.849</v>
      </c>
      <c r="AK14" s="458">
        <v>22899.195</v>
      </c>
      <c r="AL14" s="458">
        <v>28160.243999999999</v>
      </c>
      <c r="AM14" s="458">
        <v>33349.152999999998</v>
      </c>
      <c r="AN14" s="458">
        <v>42049.798999999999</v>
      </c>
      <c r="AO14" s="458">
        <v>54059</v>
      </c>
      <c r="AP14" s="458">
        <v>61774</v>
      </c>
      <c r="AQ14" s="458">
        <v>67900</v>
      </c>
      <c r="AR14" s="458">
        <v>76933</v>
      </c>
      <c r="AS14" s="458">
        <v>85094</v>
      </c>
      <c r="AT14" s="458">
        <v>102232</v>
      </c>
      <c r="AU14" s="458">
        <v>122671</v>
      </c>
      <c r="AV14" s="458">
        <v>124828</v>
      </c>
      <c r="AW14" s="458">
        <v>125128</v>
      </c>
      <c r="AX14" s="459">
        <v>135301</v>
      </c>
    </row>
    <row r="15" spans="1:50" ht="13">
      <c r="A15" s="446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8"/>
    </row>
    <row r="16" spans="1:50" ht="13">
      <c r="A16" s="446" t="s">
        <v>756</v>
      </c>
      <c r="B16" s="449">
        <v>88.159228807554257</v>
      </c>
      <c r="C16" s="449">
        <v>133.17847892601799</v>
      </c>
      <c r="D16" s="449">
        <v>213.66662616480576</v>
      </c>
      <c r="E16" s="449">
        <v>149.93692288849675</v>
      </c>
      <c r="F16" s="449">
        <v>137.616691952971</v>
      </c>
      <c r="G16" s="449">
        <v>171.16989450722818</v>
      </c>
      <c r="H16" s="449">
        <v>161.98659890526909</v>
      </c>
      <c r="I16" s="449">
        <v>199.8616394169191</v>
      </c>
      <c r="J16" s="449">
        <v>220.23571463635579</v>
      </c>
      <c r="K16" s="449">
        <v>221.26390990993008</v>
      </c>
      <c r="L16" s="449">
        <v>223.83451261017433</v>
      </c>
      <c r="M16" s="449">
        <v>219.27785157001486</v>
      </c>
      <c r="N16" s="449">
        <v>266.13</v>
      </c>
      <c r="O16" s="449">
        <v>285.75</v>
      </c>
      <c r="P16" s="449">
        <v>332.15</v>
      </c>
      <c r="Q16" s="449">
        <v>324.14999999999998</v>
      </c>
      <c r="R16" s="449">
        <v>333.15</v>
      </c>
      <c r="S16" s="449">
        <v>419.75</v>
      </c>
      <c r="T16" s="449">
        <v>435.35</v>
      </c>
      <c r="U16" s="449">
        <v>516.95000000000005</v>
      </c>
      <c r="V16" s="449">
        <v>564.95000000000005</v>
      </c>
      <c r="W16" s="449">
        <v>523</v>
      </c>
      <c r="X16" s="449">
        <v>587.72500000000002</v>
      </c>
      <c r="Y16" s="449">
        <v>664.1</v>
      </c>
      <c r="Z16" s="449">
        <v>727.8</v>
      </c>
      <c r="AA16" s="449">
        <v>980.16499999999996</v>
      </c>
      <c r="AB16" s="449">
        <v>1277.7089999999998</v>
      </c>
      <c r="AC16" s="449">
        <v>1126.0899999999999</v>
      </c>
      <c r="AD16" s="449">
        <v>3892.8050000000003</v>
      </c>
      <c r="AE16" s="449">
        <v>4499.4110000000001</v>
      </c>
      <c r="AF16" s="460">
        <v>7620.0829999999996</v>
      </c>
      <c r="AG16" s="460">
        <v>10498.723</v>
      </c>
      <c r="AH16" s="449">
        <v>16783.394</v>
      </c>
      <c r="AI16" s="449">
        <v>21800.231000000003</v>
      </c>
      <c r="AJ16" s="449">
        <v>26358.673999999999</v>
      </c>
      <c r="AK16" s="449">
        <v>23755.667999999998</v>
      </c>
      <c r="AL16" s="449">
        <v>23493.653000000002</v>
      </c>
      <c r="AM16" s="449">
        <v>25977.261000000002</v>
      </c>
      <c r="AN16" s="449">
        <v>29808.503000000001</v>
      </c>
      <c r="AO16" s="447">
        <v>39437</v>
      </c>
      <c r="AP16" s="447">
        <v>49652</v>
      </c>
      <c r="AQ16" s="447">
        <v>61473</v>
      </c>
      <c r="AR16" s="447">
        <v>78498</v>
      </c>
      <c r="AS16" s="447">
        <v>82417</v>
      </c>
      <c r="AT16" s="447">
        <v>122354</v>
      </c>
      <c r="AU16" s="447">
        <v>140170</v>
      </c>
      <c r="AV16" s="447">
        <v>143256</v>
      </c>
      <c r="AW16" s="447">
        <v>140275</v>
      </c>
      <c r="AX16" s="448">
        <v>152050</v>
      </c>
    </row>
    <row r="17" spans="1:50" ht="13">
      <c r="A17" s="446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8"/>
    </row>
    <row r="18" spans="1:50" ht="13">
      <c r="A18" s="446" t="s">
        <v>757</v>
      </c>
      <c r="B18" s="449">
        <v>88.159228807554257</v>
      </c>
      <c r="C18" s="449">
        <v>133.17847892601799</v>
      </c>
      <c r="D18" s="449">
        <v>213.66662616480576</v>
      </c>
      <c r="E18" s="449">
        <v>149.93692288849675</v>
      </c>
      <c r="F18" s="449">
        <v>137.616691952971</v>
      </c>
      <c r="G18" s="449">
        <v>171.16989450722818</v>
      </c>
      <c r="H18" s="449">
        <v>161.98659890526909</v>
      </c>
      <c r="I18" s="449">
        <v>199.8616394169191</v>
      </c>
      <c r="J18" s="449">
        <v>220.23571463635579</v>
      </c>
      <c r="K18" s="449">
        <v>221.26390990993008</v>
      </c>
      <c r="L18" s="449">
        <v>223.83451261017433</v>
      </c>
      <c r="M18" s="449">
        <v>219.27785157001486</v>
      </c>
      <c r="N18" s="449">
        <v>266.13</v>
      </c>
      <c r="O18" s="449">
        <v>285.75</v>
      </c>
      <c r="P18" s="449">
        <v>332.15</v>
      </c>
      <c r="Q18" s="449">
        <v>324.14999999999998</v>
      </c>
      <c r="R18" s="449">
        <v>333.15</v>
      </c>
      <c r="S18" s="449">
        <v>419.75</v>
      </c>
      <c r="T18" s="449">
        <v>435.35</v>
      </c>
      <c r="U18" s="449">
        <v>516.95000000000005</v>
      </c>
      <c r="V18" s="449">
        <v>564.95000000000005</v>
      </c>
      <c r="W18" s="449">
        <v>523</v>
      </c>
      <c r="X18" s="449">
        <v>587.72500000000002</v>
      </c>
      <c r="Y18" s="449">
        <v>664.1</v>
      </c>
      <c r="Z18" s="449">
        <v>727.8</v>
      </c>
      <c r="AA18" s="449">
        <v>980.16499999999996</v>
      </c>
      <c r="AB18" s="449">
        <v>1277.7089999999998</v>
      </c>
      <c r="AC18" s="449">
        <v>1126.0899999999999</v>
      </c>
      <c r="AD18" s="449">
        <v>3892.8050000000003</v>
      </c>
      <c r="AE18" s="449">
        <v>4499.4110000000001</v>
      </c>
      <c r="AF18" s="449">
        <v>7620.0829999999996</v>
      </c>
      <c r="AG18" s="449">
        <v>10498.723</v>
      </c>
      <c r="AH18" s="449">
        <v>16783.394</v>
      </c>
      <c r="AI18" s="449">
        <v>21800.231000000003</v>
      </c>
      <c r="AJ18" s="449">
        <v>26358.673999999999</v>
      </c>
      <c r="AK18" s="449">
        <v>23755.667999999998</v>
      </c>
      <c r="AL18" s="449">
        <v>23493.653000000002</v>
      </c>
      <c r="AM18" s="449">
        <v>25977.261000000002</v>
      </c>
      <c r="AN18" s="449">
        <v>29808.503000000001</v>
      </c>
      <c r="AO18" s="449">
        <v>39437</v>
      </c>
      <c r="AP18" s="449">
        <v>49652</v>
      </c>
      <c r="AQ18" s="449">
        <v>61473</v>
      </c>
      <c r="AR18" s="449">
        <v>78498</v>
      </c>
      <c r="AS18" s="449">
        <v>82417</v>
      </c>
      <c r="AT18" s="449">
        <v>122354</v>
      </c>
      <c r="AU18" s="449">
        <v>140170</v>
      </c>
      <c r="AV18" s="449">
        <v>143256</v>
      </c>
      <c r="AW18" s="449">
        <v>140275</v>
      </c>
      <c r="AX18" s="450">
        <v>152050</v>
      </c>
    </row>
    <row r="19" spans="1:50" ht="13">
      <c r="A19" s="457" t="s">
        <v>770</v>
      </c>
      <c r="B19" s="449">
        <v>84.905000000000001</v>
      </c>
      <c r="C19" s="449">
        <v>129.94800000000001</v>
      </c>
      <c r="D19" s="449">
        <v>210.57900000000001</v>
      </c>
      <c r="E19" s="449">
        <v>146.94300000000001</v>
      </c>
      <c r="F19" s="449">
        <v>134.874</v>
      </c>
      <c r="G19" s="449">
        <v>165.553</v>
      </c>
      <c r="H19" s="449">
        <v>158.39699999999999</v>
      </c>
      <c r="I19" s="449">
        <v>195.06599999999997</v>
      </c>
      <c r="J19" s="449">
        <v>214.78700000000001</v>
      </c>
      <c r="K19" s="449">
        <v>213.89699999999999</v>
      </c>
      <c r="L19" s="449">
        <v>219.37599999999998</v>
      </c>
      <c r="M19" s="449">
        <v>213.66700000000003</v>
      </c>
      <c r="N19" s="449">
        <v>258.13</v>
      </c>
      <c r="O19" s="449">
        <v>279.75</v>
      </c>
      <c r="P19" s="449">
        <v>326.14999999999998</v>
      </c>
      <c r="Q19" s="449">
        <v>318.14999999999998</v>
      </c>
      <c r="R19" s="449">
        <v>317.14999999999998</v>
      </c>
      <c r="S19" s="449">
        <v>386.75</v>
      </c>
      <c r="T19" s="449">
        <v>411.35</v>
      </c>
      <c r="U19" s="449">
        <v>491.95</v>
      </c>
      <c r="V19" s="449">
        <v>533.65</v>
      </c>
      <c r="W19" s="449">
        <v>487.9</v>
      </c>
      <c r="X19" s="449">
        <v>554.625</v>
      </c>
      <c r="Y19" s="449">
        <v>638.4</v>
      </c>
      <c r="Z19" s="449">
        <v>701.6</v>
      </c>
      <c r="AA19" s="449">
        <v>949.56500000000005</v>
      </c>
      <c r="AB19" s="449">
        <v>1192.05</v>
      </c>
      <c r="AC19" s="449">
        <v>1009.4290000000001</v>
      </c>
      <c r="AD19" s="449">
        <v>3776.5660000000003</v>
      </c>
      <c r="AE19" s="449">
        <v>4416</v>
      </c>
      <c r="AF19" s="449">
        <v>7199.0429999999997</v>
      </c>
      <c r="AG19" s="449">
        <v>8142.2389999999996</v>
      </c>
      <c r="AH19" s="449">
        <v>15635.8</v>
      </c>
      <c r="AI19" s="449">
        <v>21339.294000000002</v>
      </c>
      <c r="AJ19" s="449">
        <v>25780.278999999999</v>
      </c>
      <c r="AK19" s="449">
        <v>23104.437999999998</v>
      </c>
      <c r="AL19" s="449">
        <v>22562.163</v>
      </c>
      <c r="AM19" s="449">
        <v>24573.379000000001</v>
      </c>
      <c r="AN19" s="449">
        <v>27797.856</v>
      </c>
      <c r="AO19" s="447">
        <v>36626</v>
      </c>
      <c r="AP19" s="447">
        <v>38774</v>
      </c>
      <c r="AQ19" s="447">
        <v>43562</v>
      </c>
      <c r="AR19" s="447">
        <v>39041</v>
      </c>
      <c r="AS19" s="447">
        <v>64294</v>
      </c>
      <c r="AT19" s="447">
        <v>74831</v>
      </c>
      <c r="AU19" s="447">
        <v>82819</v>
      </c>
      <c r="AV19" s="447">
        <v>92074</v>
      </c>
      <c r="AW19" s="447">
        <v>93878</v>
      </c>
      <c r="AX19" s="448">
        <v>103696</v>
      </c>
    </row>
    <row r="20" spans="1:50" ht="13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0" ht="13">
      <c r="A21" s="446" t="s">
        <v>758</v>
      </c>
      <c r="B21" s="449">
        <v>706.62562715664785</v>
      </c>
      <c r="C21" s="449">
        <v>831.71660406742217</v>
      </c>
      <c r="D21" s="449">
        <v>966.91270638645392</v>
      </c>
      <c r="E21" s="449">
        <v>947.67804956714838</v>
      </c>
      <c r="F21" s="449">
        <v>980.42106944580382</v>
      </c>
      <c r="G21" s="449">
        <v>1044.1872460556074</v>
      </c>
      <c r="H21" s="449">
        <v>1123.2153586445761</v>
      </c>
      <c r="I21" s="449">
        <v>1170.0949180788859</v>
      </c>
      <c r="J21" s="449">
        <v>1287.2727159064725</v>
      </c>
      <c r="K21" s="449">
        <v>1373.3395219081203</v>
      </c>
      <c r="L21" s="449">
        <v>1454.339839149211</v>
      </c>
      <c r="M21" s="449">
        <v>1554.6031374718405</v>
      </c>
      <c r="N21" s="449">
        <v>1647.7020687999052</v>
      </c>
      <c r="O21" s="449">
        <v>1754.7047628453129</v>
      </c>
      <c r="P21" s="449">
        <v>1863.4000381914443</v>
      </c>
      <c r="Q21" s="449">
        <v>2011.512989279769</v>
      </c>
      <c r="R21" s="449">
        <v>2065.4051112793891</v>
      </c>
      <c r="S21" s="449">
        <v>2338.0171651588689</v>
      </c>
      <c r="T21" s="449">
        <v>2515.7611602822399</v>
      </c>
      <c r="U21" s="449">
        <v>2926.9502440128645</v>
      </c>
      <c r="V21" s="449">
        <v>3149.2503149709451</v>
      </c>
      <c r="W21" s="449">
        <v>3369.8531675565737</v>
      </c>
      <c r="X21" s="449">
        <v>3785.7792549793576</v>
      </c>
      <c r="Y21" s="449">
        <v>4436.3206256582162</v>
      </c>
      <c r="Z21" s="449">
        <v>4625.8665385436198</v>
      </c>
      <c r="AA21" s="449">
        <v>5204.5784791230253</v>
      </c>
      <c r="AB21" s="449">
        <v>6076.3284729021289</v>
      </c>
      <c r="AC21" s="449">
        <v>7160.2569867143011</v>
      </c>
      <c r="AD21" s="449">
        <v>12690.963466129026</v>
      </c>
      <c r="AE21" s="449">
        <v>14772.503038917472</v>
      </c>
      <c r="AF21" s="449">
        <v>18268.686806490663</v>
      </c>
      <c r="AG21" s="449">
        <v>22482.892754058164</v>
      </c>
      <c r="AH21" s="449">
        <v>37697.110880939785</v>
      </c>
      <c r="AI21" s="449">
        <v>47766.981645087901</v>
      </c>
      <c r="AJ21" s="449">
        <v>57661.592964159208</v>
      </c>
      <c r="AK21" s="449">
        <v>66864.300552731322</v>
      </c>
      <c r="AL21" s="449">
        <v>76047.17380554296</v>
      </c>
      <c r="AM21" s="449">
        <v>90974.167149195375</v>
      </c>
      <c r="AN21" s="449">
        <v>110341.01700757834</v>
      </c>
      <c r="AO21" s="449">
        <v>141303.77254723659</v>
      </c>
      <c r="AP21" s="449">
        <v>194451.65789728783</v>
      </c>
      <c r="AQ21" s="449">
        <v>244325.70317356905</v>
      </c>
      <c r="AR21" s="449">
        <v>283168.44799372152</v>
      </c>
      <c r="AS21" s="449">
        <v>322067.30627095164</v>
      </c>
      <c r="AT21" s="449">
        <v>399629.22955068684</v>
      </c>
      <c r="AU21" s="449">
        <v>484578.73772247683</v>
      </c>
      <c r="AV21" s="449">
        <v>501309.14450820751</v>
      </c>
      <c r="AW21" s="449">
        <v>525003.10692257481</v>
      </c>
      <c r="AX21" s="450">
        <v>573011.40767793299</v>
      </c>
    </row>
    <row r="22" spans="1:50" ht="13">
      <c r="A22" s="446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8"/>
    </row>
    <row r="23" spans="1:50" ht="13">
      <c r="A23" s="446" t="s">
        <v>759</v>
      </c>
      <c r="B23" s="449">
        <v>477.10551970310701</v>
      </c>
      <c r="C23" s="449">
        <v>474.55994980341683</v>
      </c>
      <c r="D23" s="449">
        <v>515.74821221949674</v>
      </c>
      <c r="E23" s="449">
        <v>539.69384676483571</v>
      </c>
      <c r="F23" s="449">
        <v>568.35534888580412</v>
      </c>
      <c r="G23" s="449">
        <v>586.50085354764565</v>
      </c>
      <c r="H23" s="449">
        <v>614.53841220916911</v>
      </c>
      <c r="I23" s="449">
        <v>637.26826442634967</v>
      </c>
      <c r="J23" s="449">
        <v>698.22368437001251</v>
      </c>
      <c r="K23" s="449">
        <v>708.60513672039065</v>
      </c>
      <c r="L23" s="449">
        <v>810.52837416232228</v>
      </c>
      <c r="M23" s="449">
        <v>813.10895505197584</v>
      </c>
      <c r="N23" s="449">
        <v>932.83605230306603</v>
      </c>
      <c r="O23" s="449">
        <v>975.19885973237297</v>
      </c>
      <c r="P23" s="449">
        <v>984.3867351363524</v>
      </c>
      <c r="Q23" s="449">
        <v>987.66741198523391</v>
      </c>
      <c r="R23" s="449">
        <v>1044.2744160641842</v>
      </c>
      <c r="S23" s="449">
        <v>1100.7672714656399</v>
      </c>
      <c r="T23" s="449">
        <v>1131.8320292586438</v>
      </c>
      <c r="U23" s="449">
        <v>1192.7656698906239</v>
      </c>
      <c r="V23" s="449">
        <v>1396.9301353535873</v>
      </c>
      <c r="W23" s="449">
        <v>1439.5979754393445</v>
      </c>
      <c r="X23" s="449">
        <v>1611.3500194168585</v>
      </c>
      <c r="Y23" s="449">
        <v>1922.6514762792908</v>
      </c>
      <c r="Z23" s="449">
        <v>2013.4661095220206</v>
      </c>
      <c r="AA23" s="449">
        <v>2420.376714657762</v>
      </c>
      <c r="AB23" s="449">
        <v>2751.9884091171343</v>
      </c>
      <c r="AC23" s="449">
        <v>3332.7457638059213</v>
      </c>
      <c r="AD23" s="449">
        <v>5212.551785783231</v>
      </c>
      <c r="AE23" s="449">
        <v>6750.1201342776421</v>
      </c>
      <c r="AF23" s="449">
        <v>8400.043806490663</v>
      </c>
      <c r="AG23" s="449">
        <v>11159.377754058165</v>
      </c>
      <c r="AH23" s="449">
        <v>15643.826880939783</v>
      </c>
      <c r="AI23" s="449">
        <v>21789.717645087898</v>
      </c>
      <c r="AJ23" s="449">
        <v>26620.585964159211</v>
      </c>
      <c r="AK23" s="449">
        <v>34094.56155273132</v>
      </c>
      <c r="AL23" s="449">
        <v>42825.269805542957</v>
      </c>
      <c r="AM23" s="449">
        <v>54893.827149195356</v>
      </c>
      <c r="AN23" s="449">
        <v>71405.036007578339</v>
      </c>
      <c r="AO23" s="449">
        <v>86881.772547236571</v>
      </c>
      <c r="AP23" s="449">
        <v>104467.65789728783</v>
      </c>
      <c r="AQ23" s="449">
        <v>127427.70317356905</v>
      </c>
      <c r="AR23" s="449">
        <v>165469.44799372152</v>
      </c>
      <c r="AS23" s="449">
        <v>207373.30627095167</v>
      </c>
      <c r="AT23" s="449">
        <v>246201.22955068684</v>
      </c>
      <c r="AU23" s="449">
        <v>288805.73772247683</v>
      </c>
      <c r="AV23" s="449">
        <v>304636.14450820751</v>
      </c>
      <c r="AW23" s="449">
        <v>333589.10692257481</v>
      </c>
      <c r="AX23" s="450">
        <v>351312.40767793299</v>
      </c>
    </row>
    <row r="24" spans="1:50" ht="13">
      <c r="A24" s="446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8"/>
    </row>
    <row r="25" spans="1:50" ht="13">
      <c r="A25" s="446" t="s">
        <v>760</v>
      </c>
      <c r="B25" s="449">
        <v>401.60764269669346</v>
      </c>
      <c r="C25" s="449">
        <v>403.76409284692681</v>
      </c>
      <c r="D25" s="449">
        <v>448.55876022341528</v>
      </c>
      <c r="E25" s="449">
        <v>457.22435065635256</v>
      </c>
      <c r="F25" s="449">
        <v>476.09909491324299</v>
      </c>
      <c r="G25" s="449">
        <v>486.92949270776808</v>
      </c>
      <c r="H25" s="449">
        <v>522.03508718947251</v>
      </c>
      <c r="I25" s="449">
        <v>535.04067130474652</v>
      </c>
      <c r="J25" s="449">
        <v>589.93505502105677</v>
      </c>
      <c r="K25" s="449">
        <v>604.85130244561799</v>
      </c>
      <c r="L25" s="449">
        <v>706.00279870873089</v>
      </c>
      <c r="M25" s="449">
        <v>705.84691791680984</v>
      </c>
      <c r="N25" s="449">
        <v>807.56304754297298</v>
      </c>
      <c r="O25" s="449">
        <v>833.21593030182157</v>
      </c>
      <c r="P25" s="449">
        <v>831.45954181639513</v>
      </c>
      <c r="Q25" s="449">
        <v>837.7605389421069</v>
      </c>
      <c r="R25" s="449">
        <v>875.543145865817</v>
      </c>
      <c r="S25" s="449">
        <v>921.98901898998918</v>
      </c>
      <c r="T25" s="449">
        <v>915.09208092028484</v>
      </c>
      <c r="U25" s="449">
        <v>953.32774658693302</v>
      </c>
      <c r="V25" s="449">
        <v>1130.087276989563</v>
      </c>
      <c r="W25" s="449">
        <v>1191.7004220731465</v>
      </c>
      <c r="X25" s="449">
        <v>1294.8269934947186</v>
      </c>
      <c r="Y25" s="449">
        <v>1570.3446765042547</v>
      </c>
      <c r="Z25" s="449">
        <v>1628.1818291801885</v>
      </c>
      <c r="AA25" s="449">
        <v>1963.3335083213349</v>
      </c>
      <c r="AB25" s="449">
        <v>2323.583809596279</v>
      </c>
      <c r="AC25" s="449">
        <v>2891.8029194348719</v>
      </c>
      <c r="AD25" s="449">
        <v>4688.2610964202886</v>
      </c>
      <c r="AE25" s="449">
        <v>6171.1035207329751</v>
      </c>
      <c r="AF25" s="449">
        <v>7634.9378064906632</v>
      </c>
      <c r="AG25" s="449">
        <v>10292.477254058165</v>
      </c>
      <c r="AH25" s="449">
        <v>13472.837880939784</v>
      </c>
      <c r="AI25" s="449">
        <v>17430.360645087898</v>
      </c>
      <c r="AJ25" s="449">
        <v>22773.202964159213</v>
      </c>
      <c r="AK25" s="449">
        <v>28451.567552731318</v>
      </c>
      <c r="AL25" s="449">
        <v>36169.491805542959</v>
      </c>
      <c r="AM25" s="449">
        <v>45938.982149195363</v>
      </c>
      <c r="AN25" s="449">
        <v>60754.215007578343</v>
      </c>
      <c r="AO25" s="449">
        <v>73527.772547236571</v>
      </c>
      <c r="AP25" s="449">
        <v>88748.657897287834</v>
      </c>
      <c r="AQ25" s="449">
        <v>109605.70317356905</v>
      </c>
      <c r="AR25" s="449">
        <v>143776.44799372152</v>
      </c>
      <c r="AS25" s="449">
        <v>176508.30627095167</v>
      </c>
      <c r="AT25" s="449">
        <v>207851.22955068684</v>
      </c>
      <c r="AU25" s="449">
        <v>245463.7377224768</v>
      </c>
      <c r="AV25" s="449">
        <v>255771.14450820751</v>
      </c>
      <c r="AW25" s="449">
        <v>280451.10692257481</v>
      </c>
      <c r="AX25" s="450">
        <v>295112.40767793299</v>
      </c>
    </row>
    <row r="26" spans="1:50" ht="13">
      <c r="A26" s="446" t="s">
        <v>761</v>
      </c>
      <c r="B26" s="449">
        <v>200.33197055557076</v>
      </c>
      <c r="C26" s="449">
        <v>209.93627666831367</v>
      </c>
      <c r="D26" s="449">
        <v>248.92866201177969</v>
      </c>
      <c r="E26" s="449">
        <v>256.28517496773395</v>
      </c>
      <c r="F26" s="449">
        <v>272.93899429609201</v>
      </c>
      <c r="G26" s="449">
        <v>296.75199422537935</v>
      </c>
      <c r="H26" s="449">
        <v>300.24828095993064</v>
      </c>
      <c r="I26" s="449">
        <v>313.76199771890339</v>
      </c>
      <c r="J26" s="449">
        <v>339.64444372673336</v>
      </c>
      <c r="K26" s="449">
        <v>362.80836253252869</v>
      </c>
      <c r="L26" s="449">
        <v>375.43171506709643</v>
      </c>
      <c r="M26" s="449">
        <v>402.53555391336448</v>
      </c>
      <c r="N26" s="449">
        <v>496.116734081755</v>
      </c>
      <c r="O26" s="449">
        <v>517.52660461176242</v>
      </c>
      <c r="P26" s="449">
        <v>520.66644332680926</v>
      </c>
      <c r="Q26" s="449">
        <v>531.73400000000004</v>
      </c>
      <c r="R26" s="449">
        <v>563.84300000000007</v>
      </c>
      <c r="S26" s="449">
        <v>529.423</v>
      </c>
      <c r="T26" s="449">
        <v>576.69299999999998</v>
      </c>
      <c r="U26" s="449">
        <v>639.67999999999995</v>
      </c>
      <c r="V26" s="449">
        <v>716.97299999999996</v>
      </c>
      <c r="W26" s="449">
        <v>758.24900000000002</v>
      </c>
      <c r="X26" s="449">
        <v>811.08200000000011</v>
      </c>
      <c r="Y26" s="449">
        <v>987.12799999999993</v>
      </c>
      <c r="Z26" s="449">
        <v>1072.837</v>
      </c>
      <c r="AA26" s="449">
        <v>1244.0872649999999</v>
      </c>
      <c r="AB26" s="449">
        <v>1509.706471</v>
      </c>
      <c r="AC26" s="449">
        <v>2054.4119430000001</v>
      </c>
      <c r="AD26" s="449">
        <v>3109.8886940000002</v>
      </c>
      <c r="AE26" s="449">
        <v>4103.4917450000003</v>
      </c>
      <c r="AF26" s="449">
        <v>4987.1469999999999</v>
      </c>
      <c r="AG26" s="449">
        <v>6330.5715</v>
      </c>
      <c r="AH26" s="449">
        <v>8357.652</v>
      </c>
      <c r="AI26" s="449">
        <v>11477.343999999999</v>
      </c>
      <c r="AJ26" s="449">
        <v>14861.221000000001</v>
      </c>
      <c r="AK26" s="449">
        <v>18894.373</v>
      </c>
      <c r="AL26" s="449">
        <v>24224.738999999998</v>
      </c>
      <c r="AM26" s="449">
        <v>29218.884000000002</v>
      </c>
      <c r="AN26" s="449">
        <v>36793.762000000002</v>
      </c>
      <c r="AO26" s="449">
        <v>45738</v>
      </c>
      <c r="AP26" s="449">
        <v>54179</v>
      </c>
      <c r="AQ26" s="449">
        <v>67633</v>
      </c>
      <c r="AR26" s="449">
        <v>90703</v>
      </c>
      <c r="AS26" s="449">
        <v>114930</v>
      </c>
      <c r="AT26" s="449">
        <v>138042</v>
      </c>
      <c r="AU26" s="449">
        <v>163318</v>
      </c>
      <c r="AV26" s="449">
        <v>164853</v>
      </c>
      <c r="AW26" s="449">
        <v>180894</v>
      </c>
      <c r="AX26" s="450">
        <v>192731</v>
      </c>
    </row>
    <row r="27" spans="1:50" ht="13">
      <c r="A27" s="446" t="s">
        <v>762</v>
      </c>
      <c r="B27" s="449">
        <v>201.2756721411227</v>
      </c>
      <c r="C27" s="449">
        <v>193.82781617861315</v>
      </c>
      <c r="D27" s="449">
        <v>199.63009821163558</v>
      </c>
      <c r="E27" s="449">
        <v>200.9391756886186</v>
      </c>
      <c r="F27" s="449">
        <v>203.16010061715099</v>
      </c>
      <c r="G27" s="449">
        <v>190.17749848238873</v>
      </c>
      <c r="H27" s="449">
        <v>221.78680622954187</v>
      </c>
      <c r="I27" s="449">
        <v>221.27867358584314</v>
      </c>
      <c r="J27" s="449">
        <v>250.29061129432341</v>
      </c>
      <c r="K27" s="449">
        <v>242.0429399130893</v>
      </c>
      <c r="L27" s="449">
        <v>330.57108364163446</v>
      </c>
      <c r="M27" s="449">
        <v>303.31136400344536</v>
      </c>
      <c r="N27" s="449">
        <v>311.44631346121798</v>
      </c>
      <c r="O27" s="449">
        <v>315.68932569005915</v>
      </c>
      <c r="P27" s="449">
        <v>310.79309848958587</v>
      </c>
      <c r="Q27" s="449">
        <v>306.02653894210687</v>
      </c>
      <c r="R27" s="449">
        <v>311.70014586581692</v>
      </c>
      <c r="S27" s="449">
        <v>392.56601898998917</v>
      </c>
      <c r="T27" s="449">
        <v>338.39908092028486</v>
      </c>
      <c r="U27" s="449">
        <v>313.64774658693307</v>
      </c>
      <c r="V27" s="449">
        <v>413.114276989563</v>
      </c>
      <c r="W27" s="449">
        <v>433.45142207314643</v>
      </c>
      <c r="X27" s="449">
        <v>483.74499349471853</v>
      </c>
      <c r="Y27" s="449">
        <v>583.21667650425479</v>
      </c>
      <c r="Z27" s="449">
        <v>555.34482918018853</v>
      </c>
      <c r="AA27" s="449">
        <v>719.24624332133499</v>
      </c>
      <c r="AB27" s="449">
        <v>813.87733859627906</v>
      </c>
      <c r="AC27" s="449">
        <v>837.39097643487185</v>
      </c>
      <c r="AD27" s="449">
        <v>1578.3724024202884</v>
      </c>
      <c r="AE27" s="449">
        <v>2067.6117757329748</v>
      </c>
      <c r="AF27" s="449">
        <v>2647.7908064906633</v>
      </c>
      <c r="AG27" s="449">
        <v>3961.9057540581653</v>
      </c>
      <c r="AH27" s="449">
        <v>5115.1858809397836</v>
      </c>
      <c r="AI27" s="449">
        <v>5953.0166450878987</v>
      </c>
      <c r="AJ27" s="449">
        <v>7911.9819641592112</v>
      </c>
      <c r="AK27" s="449">
        <v>9557.1945527313183</v>
      </c>
      <c r="AL27" s="449">
        <v>11944.752805542961</v>
      </c>
      <c r="AM27" s="449">
        <v>16720.098149195361</v>
      </c>
      <c r="AN27" s="449">
        <v>23960.45300757834</v>
      </c>
      <c r="AO27" s="449">
        <v>27789.772547236571</v>
      </c>
      <c r="AP27" s="449">
        <v>34569.657897287834</v>
      </c>
      <c r="AQ27" s="449">
        <v>41972.703173569054</v>
      </c>
      <c r="AR27" s="449">
        <v>53073.447993721522</v>
      </c>
      <c r="AS27" s="449">
        <v>61578.306270951667</v>
      </c>
      <c r="AT27" s="449">
        <v>69809.22955068684</v>
      </c>
      <c r="AU27" s="449">
        <v>82145.737722476799</v>
      </c>
      <c r="AV27" s="449">
        <v>90918.144508207508</v>
      </c>
      <c r="AW27" s="449">
        <v>99557.106922574807</v>
      </c>
      <c r="AX27" s="450">
        <v>102381.40767793296</v>
      </c>
    </row>
    <row r="28" spans="1:50" ht="13">
      <c r="A28" s="446" t="s">
        <v>763</v>
      </c>
      <c r="B28" s="449">
        <v>31.005688191486101</v>
      </c>
      <c r="C28" s="449">
        <v>26.081805759393767</v>
      </c>
      <c r="D28" s="449">
        <v>19.820646876384583</v>
      </c>
      <c r="E28" s="449">
        <v>31.090518138308944</v>
      </c>
      <c r="F28" s="449">
        <v>36</v>
      </c>
      <c r="G28" s="449">
        <v>38.200000000000003</v>
      </c>
      <c r="H28" s="449">
        <v>30.5</v>
      </c>
      <c r="I28" s="449">
        <v>39</v>
      </c>
      <c r="J28" s="449">
        <v>40.1</v>
      </c>
      <c r="K28" s="449">
        <v>32</v>
      </c>
      <c r="L28" s="449">
        <v>26.9</v>
      </c>
      <c r="M28" s="449">
        <v>27.9</v>
      </c>
      <c r="N28" s="449">
        <v>33.799999999999997</v>
      </c>
      <c r="O28" s="449">
        <v>34.9</v>
      </c>
      <c r="P28" s="449">
        <v>36.4</v>
      </c>
      <c r="Q28" s="449">
        <v>31.7</v>
      </c>
      <c r="R28" s="449">
        <v>34.5</v>
      </c>
      <c r="S28" s="449">
        <v>40.200000000000003</v>
      </c>
      <c r="T28" s="449">
        <v>53</v>
      </c>
      <c r="U28" s="449">
        <v>60.7</v>
      </c>
      <c r="V28" s="449">
        <v>67.5</v>
      </c>
      <c r="W28" s="449">
        <v>45.1</v>
      </c>
      <c r="X28" s="449">
        <v>50.1</v>
      </c>
      <c r="Y28" s="449">
        <v>71.599999999999994</v>
      </c>
      <c r="Z28" s="449">
        <v>86.5</v>
      </c>
      <c r="AA28" s="449">
        <v>146.69999999999999</v>
      </c>
      <c r="AB28" s="449">
        <v>115.2</v>
      </c>
      <c r="AC28" s="449">
        <v>130.30000000000001</v>
      </c>
      <c r="AD28" s="449">
        <v>161.30000000000001</v>
      </c>
      <c r="AE28" s="449">
        <v>177.9</v>
      </c>
      <c r="AF28" s="449">
        <v>185.39500000000001</v>
      </c>
      <c r="AG28" s="449">
        <v>199.10499999999999</v>
      </c>
      <c r="AH28" s="449">
        <v>196.40199999999999</v>
      </c>
      <c r="AI28" s="449">
        <v>305.53550000000001</v>
      </c>
      <c r="AJ28" s="449">
        <v>588.29999999999995</v>
      </c>
      <c r="AK28" s="449">
        <v>1692.896</v>
      </c>
      <c r="AL28" s="449">
        <v>3227.2860000000001</v>
      </c>
      <c r="AM28" s="449">
        <v>4821.7</v>
      </c>
      <c r="AN28" s="449">
        <v>5577.9470000000001</v>
      </c>
      <c r="AO28" s="449">
        <v>5769</v>
      </c>
      <c r="AP28" s="449">
        <v>5484</v>
      </c>
      <c r="AQ28" s="449">
        <v>5315</v>
      </c>
      <c r="AR28" s="449">
        <v>6292</v>
      </c>
      <c r="AS28" s="449">
        <v>11678</v>
      </c>
      <c r="AT28" s="449">
        <v>14885</v>
      </c>
      <c r="AU28" s="449">
        <v>17130</v>
      </c>
      <c r="AV28" s="449">
        <v>18404</v>
      </c>
      <c r="AW28" s="449">
        <v>19866</v>
      </c>
      <c r="AX28" s="450">
        <v>19347</v>
      </c>
    </row>
    <row r="29" spans="1:50" ht="13">
      <c r="A29" s="446" t="s">
        <v>764</v>
      </c>
      <c r="B29" s="449">
        <v>4.0415999999999999</v>
      </c>
      <c r="C29" s="449">
        <v>2.0434000000000001</v>
      </c>
      <c r="D29" s="449">
        <v>2.0367999999999999</v>
      </c>
      <c r="E29" s="449">
        <v>3.0438000000000001</v>
      </c>
      <c r="F29" s="449">
        <v>2.0522</v>
      </c>
      <c r="G29" s="449">
        <v>2.044</v>
      </c>
      <c r="H29" s="449">
        <v>2.0503999999999998</v>
      </c>
      <c r="I29" s="449">
        <v>1.048</v>
      </c>
      <c r="J29" s="449">
        <v>2.0466000000000002</v>
      </c>
      <c r="K29" s="449">
        <v>1.0496000000000001</v>
      </c>
      <c r="L29" s="449">
        <v>1.0686</v>
      </c>
      <c r="M29" s="449">
        <v>1.0616000000000001</v>
      </c>
      <c r="N29" s="449">
        <v>1.0604</v>
      </c>
      <c r="O29" s="449">
        <v>6.08E-2</v>
      </c>
      <c r="P29" s="449">
        <v>6.4200000000000007E-2</v>
      </c>
      <c r="Q29" s="449">
        <v>6.7199999999999996E-2</v>
      </c>
      <c r="R29" s="449">
        <v>3.0724</v>
      </c>
      <c r="S29" s="449">
        <v>7.9799999999999996E-2</v>
      </c>
      <c r="T29" s="449">
        <v>4.1003999999999996</v>
      </c>
      <c r="U29" s="449">
        <v>2.0920000000000001</v>
      </c>
      <c r="V29" s="449">
        <v>2.1017999999999999</v>
      </c>
      <c r="W29" s="449">
        <v>2.1204000000000001</v>
      </c>
      <c r="X29" s="449">
        <v>2.2999999999999998</v>
      </c>
      <c r="Y29" s="449">
        <v>2.12</v>
      </c>
      <c r="Z29" s="449">
        <v>3.3</v>
      </c>
      <c r="AA29" s="449">
        <v>1.7</v>
      </c>
      <c r="AB29" s="449">
        <v>1.3</v>
      </c>
      <c r="AC29" s="449">
        <v>21</v>
      </c>
      <c r="AD29" s="449">
        <v>8</v>
      </c>
      <c r="AE29" s="449">
        <v>3</v>
      </c>
      <c r="AF29" s="449">
        <v>11.4</v>
      </c>
      <c r="AG29" s="449">
        <v>50.390999999999998</v>
      </c>
      <c r="AH29" s="449">
        <v>166.40100000000001</v>
      </c>
      <c r="AI29" s="449">
        <v>377.6</v>
      </c>
      <c r="AJ29" s="449">
        <v>491.52</v>
      </c>
      <c r="AK29" s="449">
        <v>895.6</v>
      </c>
      <c r="AL29" s="449">
        <v>155</v>
      </c>
      <c r="AM29" s="449">
        <v>424</v>
      </c>
      <c r="AN29" s="449">
        <v>276</v>
      </c>
      <c r="AO29" s="449">
        <v>426</v>
      </c>
      <c r="AP29" s="449">
        <v>892</v>
      </c>
      <c r="AQ29" s="449">
        <v>882</v>
      </c>
      <c r="AR29" s="449">
        <v>761</v>
      </c>
      <c r="AS29" s="449">
        <v>1784</v>
      </c>
      <c r="AT29" s="449">
        <v>2160</v>
      </c>
      <c r="AU29" s="449">
        <v>2159</v>
      </c>
      <c r="AV29" s="449">
        <v>3479</v>
      </c>
      <c r="AW29" s="449">
        <v>4584</v>
      </c>
      <c r="AX29" s="450">
        <v>5215</v>
      </c>
    </row>
    <row r="30" spans="1:50" ht="13">
      <c r="A30" s="451" t="s">
        <v>755</v>
      </c>
      <c r="B30" s="449">
        <v>40.450588814927443</v>
      </c>
      <c r="C30" s="449">
        <v>42.670651197096227</v>
      </c>
      <c r="D30" s="449">
        <v>45.332005119696873</v>
      </c>
      <c r="E30" s="449">
        <v>48.335177970174271</v>
      </c>
      <c r="F30" s="449">
        <v>54.204053972561169</v>
      </c>
      <c r="G30" s="449">
        <v>59.327360839877556</v>
      </c>
      <c r="H30" s="449">
        <v>59.952925019696579</v>
      </c>
      <c r="I30" s="449">
        <v>62.179593121603155</v>
      </c>
      <c r="J30" s="449">
        <v>66.142029348955646</v>
      </c>
      <c r="K30" s="449">
        <v>70.704234274772631</v>
      </c>
      <c r="L30" s="449">
        <v>76.556975453591463</v>
      </c>
      <c r="M30" s="449">
        <v>78.300437135166007</v>
      </c>
      <c r="N30" s="449">
        <v>90.412604760093075</v>
      </c>
      <c r="O30" s="449">
        <v>107.02212943055139</v>
      </c>
      <c r="P30" s="449">
        <v>116.46299331995723</v>
      </c>
      <c r="Q30" s="449">
        <v>118.139673043127</v>
      </c>
      <c r="R30" s="449">
        <v>131.15887019836725</v>
      </c>
      <c r="S30" s="449">
        <v>138.49845247565062</v>
      </c>
      <c r="T30" s="449">
        <v>159.63954833835888</v>
      </c>
      <c r="U30" s="449">
        <v>176.64592330369095</v>
      </c>
      <c r="V30" s="449">
        <v>197.24105836402433</v>
      </c>
      <c r="W30" s="449">
        <v>200.67715336619807</v>
      </c>
      <c r="X30" s="449">
        <v>264.12302592214002</v>
      </c>
      <c r="Y30" s="449">
        <v>278.58679977503624</v>
      </c>
      <c r="Z30" s="449">
        <v>295.48428034183212</v>
      </c>
      <c r="AA30" s="449">
        <v>308.6432063364274</v>
      </c>
      <c r="AB30" s="449">
        <v>311.90459952085541</v>
      </c>
      <c r="AC30" s="449">
        <v>289.64284437104925</v>
      </c>
      <c r="AD30" s="449">
        <v>354.99068936294213</v>
      </c>
      <c r="AE30" s="449">
        <v>398.11661354466776</v>
      </c>
      <c r="AF30" s="449">
        <v>568.31100000000004</v>
      </c>
      <c r="AG30" s="449">
        <v>617.4045000000001</v>
      </c>
      <c r="AH30" s="449">
        <v>1808.1860000000001</v>
      </c>
      <c r="AI30" s="449">
        <v>3676.2214999999997</v>
      </c>
      <c r="AJ30" s="449">
        <v>2767.5630000000001</v>
      </c>
      <c r="AK30" s="449">
        <v>3054.498</v>
      </c>
      <c r="AL30" s="449">
        <v>3273.4920000000002</v>
      </c>
      <c r="AM30" s="449">
        <v>3709.145</v>
      </c>
      <c r="AN30" s="449">
        <v>4796.8739999999998</v>
      </c>
      <c r="AO30" s="449">
        <v>7159</v>
      </c>
      <c r="AP30" s="449">
        <v>9343</v>
      </c>
      <c r="AQ30" s="449">
        <v>11625</v>
      </c>
      <c r="AR30" s="449">
        <v>14640</v>
      </c>
      <c r="AS30" s="449">
        <v>17403</v>
      </c>
      <c r="AT30" s="449">
        <v>21305</v>
      </c>
      <c r="AU30" s="449">
        <v>24053</v>
      </c>
      <c r="AV30" s="449">
        <v>26982</v>
      </c>
      <c r="AW30" s="449">
        <v>28688</v>
      </c>
      <c r="AX30" s="450">
        <v>31638</v>
      </c>
    </row>
    <row r="31" spans="1:50" ht="13">
      <c r="A31" s="457" t="s">
        <v>770</v>
      </c>
      <c r="B31" s="449">
        <v>11.326000000000001</v>
      </c>
      <c r="C31" s="449">
        <v>13.112</v>
      </c>
      <c r="D31" s="449">
        <v>14.95</v>
      </c>
      <c r="E31" s="449">
        <v>16.840899999999998</v>
      </c>
      <c r="F31" s="449">
        <v>18.452999999999999</v>
      </c>
      <c r="G31" s="449">
        <v>21.820999999999998</v>
      </c>
      <c r="H31" s="449">
        <v>22.862999999999996</v>
      </c>
      <c r="I31" s="449">
        <v>21.957999999999998</v>
      </c>
      <c r="J31" s="449">
        <v>21.681000000000001</v>
      </c>
      <c r="K31" s="449">
        <v>19.829000000000001</v>
      </c>
      <c r="L31" s="449">
        <v>22.223000000000003</v>
      </c>
      <c r="M31" s="449">
        <v>13.521000000000001</v>
      </c>
      <c r="N31" s="449">
        <v>17.170000000000002</v>
      </c>
      <c r="O31" s="449">
        <v>32.17</v>
      </c>
      <c r="P31" s="449">
        <v>34.532899999999998</v>
      </c>
      <c r="Q31" s="449">
        <v>27.3</v>
      </c>
      <c r="R31" s="449">
        <v>32.679000000000002</v>
      </c>
      <c r="S31" s="449">
        <v>35.838000000000001</v>
      </c>
      <c r="T31" s="449">
        <v>47.667000000000002</v>
      </c>
      <c r="U31" s="449">
        <v>62.943000000000005</v>
      </c>
      <c r="V31" s="449">
        <v>66.253999999999991</v>
      </c>
      <c r="W31" s="449">
        <v>70.311999999999998</v>
      </c>
      <c r="X31" s="449">
        <v>79.906999999999996</v>
      </c>
      <c r="Y31" s="449">
        <v>85.126999999999995</v>
      </c>
      <c r="Z31" s="449">
        <v>78.427999999999997</v>
      </c>
      <c r="AA31" s="449">
        <v>61.486999999999995</v>
      </c>
      <c r="AB31" s="449">
        <v>61.592000000000006</v>
      </c>
      <c r="AC31" s="449">
        <v>48.938000000000002</v>
      </c>
      <c r="AD31" s="449">
        <v>43.84</v>
      </c>
      <c r="AE31" s="449">
        <v>48.542000000000002</v>
      </c>
      <c r="AF31" s="449">
        <v>126.456</v>
      </c>
      <c r="AG31" s="449">
        <v>47.665999999999997</v>
      </c>
      <c r="AH31" s="449">
        <v>769.51900000000001</v>
      </c>
      <c r="AI31" s="449">
        <v>1990.8879999999999</v>
      </c>
      <c r="AJ31" s="449">
        <v>768.27200000000005</v>
      </c>
      <c r="AK31" s="449">
        <v>452.61900000000003</v>
      </c>
      <c r="AL31" s="449">
        <v>393.49199999999996</v>
      </c>
      <c r="AM31" s="449">
        <v>499.30099999999993</v>
      </c>
      <c r="AN31" s="449">
        <v>660.93700000000001</v>
      </c>
      <c r="AO31" s="449">
        <v>516</v>
      </c>
      <c r="AP31" s="449">
        <v>438</v>
      </c>
      <c r="AQ31" s="449">
        <v>451</v>
      </c>
      <c r="AR31" s="449">
        <v>428</v>
      </c>
      <c r="AS31" s="449">
        <v>619</v>
      </c>
      <c r="AT31" s="449">
        <v>933</v>
      </c>
      <c r="AU31" s="449">
        <v>865</v>
      </c>
      <c r="AV31" s="449">
        <v>1298</v>
      </c>
      <c r="AW31" s="449">
        <v>1591</v>
      </c>
      <c r="AX31" s="450">
        <v>1144</v>
      </c>
    </row>
    <row r="32" spans="1:50" ht="13">
      <c r="A32" s="446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8"/>
    </row>
    <row r="33" spans="1:50" ht="13">
      <c r="A33" s="446" t="s">
        <v>765</v>
      </c>
      <c r="B33" s="449">
        <v>253.6985</v>
      </c>
      <c r="C33" s="449">
        <v>317.64150000000001</v>
      </c>
      <c r="D33" s="449">
        <v>356.01650000000001</v>
      </c>
      <c r="E33" s="449">
        <v>317.09649999999999</v>
      </c>
      <c r="F33" s="449">
        <v>342.52854920943275</v>
      </c>
      <c r="G33" s="449">
        <v>391.37144891728786</v>
      </c>
      <c r="H33" s="449">
        <v>383.07060691062918</v>
      </c>
      <c r="I33" s="449">
        <v>402.88520164998192</v>
      </c>
      <c r="J33" s="449">
        <v>429.0918821179136</v>
      </c>
      <c r="K33" s="449">
        <v>477.8334225500065</v>
      </c>
      <c r="L33" s="449">
        <v>531.95444974007501</v>
      </c>
      <c r="M33" s="449">
        <v>565.83437382616921</v>
      </c>
      <c r="N33" s="449">
        <v>646.00169186150185</v>
      </c>
      <c r="O33" s="449">
        <v>743.41687155442492</v>
      </c>
      <c r="P33" s="449">
        <v>896.88236674878237</v>
      </c>
      <c r="Q33" s="449">
        <v>868.55117279789329</v>
      </c>
      <c r="R33" s="449">
        <v>1111.6472491972856</v>
      </c>
      <c r="S33" s="449">
        <v>1026.3894390658565</v>
      </c>
      <c r="T33" s="449">
        <v>1069.5966341432347</v>
      </c>
      <c r="U33" s="449">
        <v>1443.7141922617679</v>
      </c>
      <c r="V33" s="449">
        <v>1621.4164483129248</v>
      </c>
      <c r="W33" s="449">
        <v>1610.4937846796472</v>
      </c>
      <c r="X33" s="449">
        <v>1885.3690824742271</v>
      </c>
      <c r="Y33" s="449">
        <v>1888.0336804123713</v>
      </c>
      <c r="Z33" s="449">
        <v>2537.458237113402</v>
      </c>
      <c r="AA33" s="449">
        <v>2472.6886678969072</v>
      </c>
      <c r="AB33" s="449">
        <v>2871.4042406494841</v>
      </c>
      <c r="AC33" s="449">
        <v>2539.9825701649484</v>
      </c>
      <c r="AD33" s="449">
        <v>3858.5516429999993</v>
      </c>
      <c r="AE33" s="449">
        <v>5557.5174673195879</v>
      </c>
      <c r="AF33" s="449">
        <v>7461.5170000000007</v>
      </c>
      <c r="AG33" s="449">
        <v>9883.4415000000008</v>
      </c>
      <c r="AH33" s="449">
        <v>18276.173999999999</v>
      </c>
      <c r="AI33" s="449">
        <v>26800.388999999999</v>
      </c>
      <c r="AJ33" s="449">
        <v>37008.359000000004</v>
      </c>
      <c r="AK33" s="449">
        <v>42075.982999999993</v>
      </c>
      <c r="AL33" s="449">
        <v>39843.306000000004</v>
      </c>
      <c r="AM33" s="449">
        <v>39464.128000000004</v>
      </c>
      <c r="AN33" s="449">
        <v>45937.185999999994</v>
      </c>
      <c r="AO33" s="449">
        <v>52337</v>
      </c>
      <c r="AP33" s="449">
        <v>70614</v>
      </c>
      <c r="AQ33" s="449">
        <v>99305</v>
      </c>
      <c r="AR33" s="449">
        <v>128295</v>
      </c>
      <c r="AS33" s="449">
        <v>132104</v>
      </c>
      <c r="AT33" s="449">
        <v>176576</v>
      </c>
      <c r="AU33" s="449">
        <v>217478</v>
      </c>
      <c r="AV33" s="449">
        <v>243139</v>
      </c>
      <c r="AW33" s="449">
        <v>212371.54123519865</v>
      </c>
      <c r="AX33" s="450">
        <v>213151.38064167998</v>
      </c>
    </row>
    <row r="34" spans="1:50" ht="13">
      <c r="A34" s="446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49"/>
      <c r="AO34" s="449"/>
      <c r="AP34" s="449"/>
      <c r="AQ34" s="449"/>
      <c r="AR34" s="449"/>
      <c r="AS34" s="449"/>
      <c r="AT34" s="449"/>
      <c r="AU34" s="449"/>
      <c r="AV34" s="449"/>
      <c r="AW34" s="449"/>
      <c r="AX34" s="450"/>
    </row>
    <row r="35" spans="1:50" ht="13">
      <c r="A35" s="446" t="s">
        <v>766</v>
      </c>
      <c r="B35" s="449">
        <v>250.0085</v>
      </c>
      <c r="C35" s="449">
        <v>317.64150000000001</v>
      </c>
      <c r="D35" s="449">
        <v>355.24650000000003</v>
      </c>
      <c r="E35" s="449">
        <v>312.7765</v>
      </c>
      <c r="F35" s="449">
        <v>340.44954920943275</v>
      </c>
      <c r="G35" s="449">
        <v>389.45944891728789</v>
      </c>
      <c r="H35" s="449">
        <v>381.2116069106292</v>
      </c>
      <c r="I35" s="449">
        <v>398.88520164998192</v>
      </c>
      <c r="J35" s="449">
        <v>425.32188211791362</v>
      </c>
      <c r="K35" s="449">
        <v>473.13342255000651</v>
      </c>
      <c r="L35" s="449">
        <v>524.82444974007501</v>
      </c>
      <c r="M35" s="449">
        <v>552.42437382616924</v>
      </c>
      <c r="N35" s="449">
        <v>642.00169186150185</v>
      </c>
      <c r="O35" s="449">
        <v>737.91687155442492</v>
      </c>
      <c r="P35" s="449">
        <v>881.18236674878233</v>
      </c>
      <c r="Q35" s="449">
        <v>856.75117279789333</v>
      </c>
      <c r="R35" s="449">
        <v>1107.0472491972857</v>
      </c>
      <c r="S35" s="449">
        <v>1015.2894390658565</v>
      </c>
      <c r="T35" s="449">
        <v>1062.4966341432348</v>
      </c>
      <c r="U35" s="449">
        <v>1428.614192261768</v>
      </c>
      <c r="V35" s="449">
        <v>1590.0164483129247</v>
      </c>
      <c r="W35" s="449">
        <v>1588.1937846796473</v>
      </c>
      <c r="X35" s="449">
        <v>1867.969082474227</v>
      </c>
      <c r="Y35" s="449">
        <v>1871.9336804123711</v>
      </c>
      <c r="Z35" s="449">
        <v>2494.458237113402</v>
      </c>
      <c r="AA35" s="449">
        <v>2383.388667896907</v>
      </c>
      <c r="AB35" s="449">
        <v>2829.9042406494841</v>
      </c>
      <c r="AC35" s="449">
        <v>2512.6825701649482</v>
      </c>
      <c r="AD35" s="449">
        <v>3784.3516429999995</v>
      </c>
      <c r="AE35" s="449">
        <v>5448.5174673195879</v>
      </c>
      <c r="AF35" s="449">
        <v>7416.5170000000007</v>
      </c>
      <c r="AG35" s="449">
        <v>9818.0990000000002</v>
      </c>
      <c r="AH35" s="449">
        <v>17987.315999999999</v>
      </c>
      <c r="AI35" s="449">
        <v>26218.3465</v>
      </c>
      <c r="AJ35" s="449">
        <v>35456.382000000005</v>
      </c>
      <c r="AK35" s="449">
        <v>40408.416999999994</v>
      </c>
      <c r="AL35" s="449">
        <v>38484.9</v>
      </c>
      <c r="AM35" s="449">
        <v>37395.906000000003</v>
      </c>
      <c r="AN35" s="449">
        <v>43859.826999999997</v>
      </c>
      <c r="AO35" s="449">
        <v>49836</v>
      </c>
      <c r="AP35" s="449">
        <v>66816</v>
      </c>
      <c r="AQ35" s="449">
        <v>92476</v>
      </c>
      <c r="AR35" s="449">
        <v>116560</v>
      </c>
      <c r="AS35" s="449">
        <v>123433</v>
      </c>
      <c r="AT35" s="449">
        <v>164158</v>
      </c>
      <c r="AU35" s="449">
        <v>194893</v>
      </c>
      <c r="AV35" s="449">
        <v>229378</v>
      </c>
      <c r="AW35" s="449">
        <v>201507.54123519865</v>
      </c>
      <c r="AX35" s="450">
        <v>199169.38064167998</v>
      </c>
    </row>
    <row r="36" spans="1:50" ht="13">
      <c r="A36" s="446" t="s">
        <v>757</v>
      </c>
      <c r="B36" s="449">
        <v>3.69</v>
      </c>
      <c r="C36" s="449">
        <v>0</v>
      </c>
      <c r="D36" s="449">
        <v>0.77</v>
      </c>
      <c r="E36" s="449">
        <v>4.32</v>
      </c>
      <c r="F36" s="449">
        <v>2.0790000000000002</v>
      </c>
      <c r="G36" s="449">
        <v>1.9119999999999999</v>
      </c>
      <c r="H36" s="449">
        <v>1.859</v>
      </c>
      <c r="I36" s="449">
        <v>4</v>
      </c>
      <c r="J36" s="449">
        <v>3.77</v>
      </c>
      <c r="K36" s="449">
        <v>4.7</v>
      </c>
      <c r="L36" s="449">
        <v>7.13</v>
      </c>
      <c r="M36" s="449">
        <v>13.41</v>
      </c>
      <c r="N36" s="449">
        <v>4</v>
      </c>
      <c r="O36" s="449">
        <v>5.5</v>
      </c>
      <c r="P36" s="449">
        <v>15.7</v>
      </c>
      <c r="Q36" s="449">
        <v>11.8</v>
      </c>
      <c r="R36" s="449">
        <v>4.5999999999999996</v>
      </c>
      <c r="S36" s="449">
        <v>11.1</v>
      </c>
      <c r="T36" s="449">
        <v>7.1</v>
      </c>
      <c r="U36" s="449">
        <v>15.1</v>
      </c>
      <c r="V36" s="449">
        <v>31.4</v>
      </c>
      <c r="W36" s="449">
        <v>22.3</v>
      </c>
      <c r="X36" s="449">
        <v>17.399999999999999</v>
      </c>
      <c r="Y36" s="449">
        <v>16.100000000000001</v>
      </c>
      <c r="Z36" s="449">
        <v>43</v>
      </c>
      <c r="AA36" s="449">
        <v>89.3</v>
      </c>
      <c r="AB36" s="449">
        <v>41.5</v>
      </c>
      <c r="AC36" s="449">
        <v>27.3</v>
      </c>
      <c r="AD36" s="449">
        <v>74.2</v>
      </c>
      <c r="AE36" s="449">
        <v>109</v>
      </c>
      <c r="AF36" s="449">
        <v>45</v>
      </c>
      <c r="AG36" s="449">
        <v>65.342500000000001</v>
      </c>
      <c r="AH36" s="449">
        <v>288.858</v>
      </c>
      <c r="AI36" s="449">
        <v>582.04250000000002</v>
      </c>
      <c r="AJ36" s="449">
        <v>1551.9770000000001</v>
      </c>
      <c r="AK36" s="449">
        <v>1667.566</v>
      </c>
      <c r="AL36" s="449">
        <v>1358.4059999999999</v>
      </c>
      <c r="AM36" s="449">
        <v>2068.2220000000002</v>
      </c>
      <c r="AN36" s="449">
        <v>2077.3589999999999</v>
      </c>
      <c r="AO36" s="449">
        <v>2501</v>
      </c>
      <c r="AP36" s="449">
        <v>3798</v>
      </c>
      <c r="AQ36" s="449">
        <v>6829</v>
      </c>
      <c r="AR36" s="449">
        <v>11735</v>
      </c>
      <c r="AS36" s="449">
        <v>8671</v>
      </c>
      <c r="AT36" s="449">
        <v>12418</v>
      </c>
      <c r="AU36" s="449">
        <v>22585</v>
      </c>
      <c r="AV36" s="449">
        <v>13761</v>
      </c>
      <c r="AW36" s="449">
        <v>10864</v>
      </c>
      <c r="AX36" s="450">
        <v>13982</v>
      </c>
    </row>
    <row r="37" spans="1:50" ht="13">
      <c r="A37" s="457" t="s">
        <v>770</v>
      </c>
      <c r="B37" s="449">
        <v>0</v>
      </c>
      <c r="C37" s="449">
        <v>0</v>
      </c>
      <c r="D37" s="449">
        <v>0</v>
      </c>
      <c r="E37" s="449">
        <v>0</v>
      </c>
      <c r="F37" s="449">
        <v>0.17899999999999999</v>
      </c>
      <c r="G37" s="449">
        <v>0.21199999999999999</v>
      </c>
      <c r="H37" s="449">
        <v>0.25900000000000001</v>
      </c>
      <c r="I37" s="449">
        <v>0</v>
      </c>
      <c r="J37" s="449">
        <v>7.0000000000000007E-2</v>
      </c>
      <c r="K37" s="449">
        <v>0</v>
      </c>
      <c r="L37" s="449">
        <v>0.03</v>
      </c>
      <c r="M37" s="449">
        <v>0.01</v>
      </c>
      <c r="N37" s="449">
        <v>0</v>
      </c>
      <c r="O37" s="449">
        <v>1</v>
      </c>
      <c r="P37" s="449">
        <v>0</v>
      </c>
      <c r="Q37" s="449">
        <v>2</v>
      </c>
      <c r="R37" s="449">
        <v>0</v>
      </c>
      <c r="S37" s="449">
        <v>2</v>
      </c>
      <c r="T37" s="449">
        <v>1</v>
      </c>
      <c r="U37" s="449">
        <v>0</v>
      </c>
      <c r="V37" s="449">
        <v>0</v>
      </c>
      <c r="W37" s="449">
        <v>0</v>
      </c>
      <c r="X37" s="449">
        <v>0</v>
      </c>
      <c r="Y37" s="449">
        <v>0</v>
      </c>
      <c r="Z37" s="449">
        <v>0</v>
      </c>
      <c r="AA37" s="449">
        <v>1</v>
      </c>
      <c r="AB37" s="449">
        <v>4</v>
      </c>
      <c r="AC37" s="449">
        <v>1</v>
      </c>
      <c r="AD37" s="449">
        <v>1</v>
      </c>
      <c r="AE37" s="449">
        <v>2</v>
      </c>
      <c r="AF37" s="449">
        <v>1</v>
      </c>
      <c r="AG37" s="449">
        <v>15</v>
      </c>
      <c r="AH37" s="449">
        <v>0.1</v>
      </c>
      <c r="AI37" s="449">
        <v>11</v>
      </c>
      <c r="AJ37" s="449">
        <v>8.335000000000008</v>
      </c>
      <c r="AK37" s="449">
        <v>52</v>
      </c>
      <c r="AL37" s="449">
        <v>39.924999999999997</v>
      </c>
      <c r="AM37" s="449">
        <v>2.3089999999999975</v>
      </c>
      <c r="AN37" s="449">
        <v>2.6679999999999922</v>
      </c>
      <c r="AO37" s="447">
        <v>12</v>
      </c>
      <c r="AP37" s="447">
        <v>46</v>
      </c>
      <c r="AQ37" s="447">
        <v>165</v>
      </c>
      <c r="AR37" s="447">
        <v>326</v>
      </c>
      <c r="AS37" s="447">
        <v>3</v>
      </c>
      <c r="AT37" s="447">
        <v>3</v>
      </c>
      <c r="AU37" s="447">
        <v>17</v>
      </c>
      <c r="AV37" s="447">
        <v>30</v>
      </c>
      <c r="AW37" s="447">
        <v>8</v>
      </c>
      <c r="AX37" s="448">
        <v>113</v>
      </c>
    </row>
    <row r="38" spans="1:50" ht="13">
      <c r="A38" s="446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8"/>
    </row>
    <row r="39" spans="1:50" ht="13">
      <c r="A39" s="446" t="s">
        <v>767</v>
      </c>
      <c r="B39" s="449">
        <v>730.80401970310697</v>
      </c>
      <c r="C39" s="449">
        <v>792.20144980341684</v>
      </c>
      <c r="D39" s="449">
        <v>871.76471221949669</v>
      </c>
      <c r="E39" s="449">
        <v>856.7903467648357</v>
      </c>
      <c r="F39" s="449">
        <v>910.88389809523687</v>
      </c>
      <c r="G39" s="449">
        <v>977.87230246493345</v>
      </c>
      <c r="H39" s="449">
        <v>997.60901911979829</v>
      </c>
      <c r="I39" s="449">
        <v>1040.1534660763316</v>
      </c>
      <c r="J39" s="449">
        <v>1127.3155664879262</v>
      </c>
      <c r="K39" s="449">
        <v>1186.438559270397</v>
      </c>
      <c r="L39" s="449">
        <v>1342.4828239023973</v>
      </c>
      <c r="M39" s="449">
        <v>1378.9433288781452</v>
      </c>
      <c r="N39" s="449">
        <v>1578.837744164568</v>
      </c>
      <c r="O39" s="449">
        <v>1718.6157312867979</v>
      </c>
      <c r="P39" s="449">
        <v>1881.2691018851347</v>
      </c>
      <c r="Q39" s="449">
        <v>1856.2185847831272</v>
      </c>
      <c r="R39" s="449">
        <v>2155.9216652614696</v>
      </c>
      <c r="S39" s="449">
        <v>2127.1567105314962</v>
      </c>
      <c r="T39" s="449">
        <v>2201.4286634018786</v>
      </c>
      <c r="U39" s="449">
        <v>2636.4798621523919</v>
      </c>
      <c r="V39" s="449">
        <v>3018.3465836665118</v>
      </c>
      <c r="W39" s="449">
        <v>3050.0917601189917</v>
      </c>
      <c r="X39" s="449">
        <v>3496.7191018910853</v>
      </c>
      <c r="Y39" s="449">
        <v>3810.6851566916621</v>
      </c>
      <c r="Z39" s="449">
        <v>4550.9243466354228</v>
      </c>
      <c r="AA39" s="449">
        <v>4893.0653825546688</v>
      </c>
      <c r="AB39" s="449">
        <v>5623.392649766618</v>
      </c>
      <c r="AC39" s="449">
        <v>5872.7283339708702</v>
      </c>
      <c r="AD39" s="449">
        <v>9071.1034287832299</v>
      </c>
      <c r="AE39" s="449">
        <v>12307.637601597231</v>
      </c>
      <c r="AF39" s="449">
        <v>15861.560806490663</v>
      </c>
      <c r="AG39" s="449">
        <v>21042.819254058166</v>
      </c>
      <c r="AH39" s="449">
        <v>33920.000880939784</v>
      </c>
      <c r="AI39" s="449">
        <v>48590.106645087901</v>
      </c>
      <c r="AJ39" s="449">
        <v>63628.944964159215</v>
      </c>
      <c r="AK39" s="449">
        <v>76170.544552731313</v>
      </c>
      <c r="AL39" s="449">
        <v>82668.575805542961</v>
      </c>
      <c r="AM39" s="449">
        <v>94357.955149195361</v>
      </c>
      <c r="AN39" s="449">
        <v>117342.22200757833</v>
      </c>
      <c r="AO39" s="449">
        <v>139218.77254723659</v>
      </c>
      <c r="AP39" s="449">
        <v>175081.65789728783</v>
      </c>
      <c r="AQ39" s="449">
        <v>226732.70317356905</v>
      </c>
      <c r="AR39" s="449">
        <v>293764.44799372152</v>
      </c>
      <c r="AS39" s="449">
        <v>339477.30627095164</v>
      </c>
      <c r="AT39" s="449">
        <v>422777.22955068684</v>
      </c>
      <c r="AU39" s="449">
        <v>506283.73772247683</v>
      </c>
      <c r="AV39" s="449">
        <v>547775.14450820745</v>
      </c>
      <c r="AW39" s="449">
        <v>545960.64815777342</v>
      </c>
      <c r="AX39" s="450">
        <v>564463.78831961297</v>
      </c>
    </row>
    <row r="40" spans="1:50" ht="13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8"/>
    </row>
    <row r="41" spans="1:50" ht="13.5" thickBot="1">
      <c r="A41" s="452" t="s">
        <v>768</v>
      </c>
      <c r="B41" s="453">
        <v>-24.178392546459122</v>
      </c>
      <c r="C41" s="453">
        <v>39.515154264005332</v>
      </c>
      <c r="D41" s="453">
        <v>95.147994166957233</v>
      </c>
      <c r="E41" s="453">
        <v>90.887702802312674</v>
      </c>
      <c r="F41" s="453">
        <v>69.53717135056695</v>
      </c>
      <c r="G41" s="453">
        <v>66.31494359067392</v>
      </c>
      <c r="H41" s="453">
        <v>125.60633952477781</v>
      </c>
      <c r="I41" s="453">
        <v>129.94145200255434</v>
      </c>
      <c r="J41" s="453">
        <v>159.95714941854635</v>
      </c>
      <c r="K41" s="453">
        <v>186.9009626377233</v>
      </c>
      <c r="L41" s="453">
        <v>111.85701524681372</v>
      </c>
      <c r="M41" s="453">
        <v>175.65980859369529</v>
      </c>
      <c r="N41" s="453">
        <v>68.864324635337198</v>
      </c>
      <c r="O41" s="453">
        <v>36.089031558514989</v>
      </c>
      <c r="P41" s="453">
        <v>-17.86906369369035</v>
      </c>
      <c r="Q41" s="453">
        <v>155.29440449664185</v>
      </c>
      <c r="R41" s="453">
        <v>-90.516553982080495</v>
      </c>
      <c r="S41" s="453">
        <v>210.86045462737275</v>
      </c>
      <c r="T41" s="453">
        <v>314.3324968803613</v>
      </c>
      <c r="U41" s="453">
        <v>290.47038186047257</v>
      </c>
      <c r="V41" s="453">
        <v>130.90373130443322</v>
      </c>
      <c r="W41" s="453">
        <v>319.76140743758197</v>
      </c>
      <c r="X41" s="453">
        <v>289.06015308827227</v>
      </c>
      <c r="Y41" s="453">
        <v>625.63546896655407</v>
      </c>
      <c r="Z41" s="453">
        <v>74.942191908196946</v>
      </c>
      <c r="AA41" s="453">
        <v>311.51309656835656</v>
      </c>
      <c r="AB41" s="453">
        <v>452.93582313551087</v>
      </c>
      <c r="AC41" s="453">
        <v>1287.5286527434309</v>
      </c>
      <c r="AD41" s="453">
        <v>3619.8600373457957</v>
      </c>
      <c r="AE41" s="453">
        <v>2464.8654373202407</v>
      </c>
      <c r="AF41" s="453">
        <v>2407.1260000000002</v>
      </c>
      <c r="AG41" s="453">
        <v>1440.0734999999986</v>
      </c>
      <c r="AH41" s="453">
        <v>3777.11</v>
      </c>
      <c r="AI41" s="453">
        <v>-823.125</v>
      </c>
      <c r="AJ41" s="453">
        <v>-5967.3520000000062</v>
      </c>
      <c r="AK41" s="453">
        <v>-9306.2439999999915</v>
      </c>
      <c r="AL41" s="453">
        <v>-6621.4020000000019</v>
      </c>
      <c r="AM41" s="453">
        <v>-3383.7879999999859</v>
      </c>
      <c r="AN41" s="453">
        <v>-7001.2049999999872</v>
      </c>
      <c r="AO41" s="453">
        <v>2085</v>
      </c>
      <c r="AP41" s="453">
        <v>19370</v>
      </c>
      <c r="AQ41" s="453">
        <v>17593</v>
      </c>
      <c r="AR41" s="453">
        <v>-10596</v>
      </c>
      <c r="AS41" s="453">
        <v>-17410</v>
      </c>
      <c r="AT41" s="453">
        <v>-23148</v>
      </c>
      <c r="AU41" s="453">
        <v>-21705</v>
      </c>
      <c r="AV41" s="453">
        <v>-46465.999999999942</v>
      </c>
      <c r="AW41" s="453">
        <v>-20957.541235198616</v>
      </c>
      <c r="AX41" s="454">
        <v>8547.619358320022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86" orientation="landscape" horizontalDpi="4294967292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CCEB-DC36-4632-8598-7B2D6E2F0022}">
  <sheetPr>
    <pageSetUpPr fitToPage="1"/>
  </sheetPr>
  <dimension ref="A1:AY31"/>
  <sheetViews>
    <sheetView showGridLines="0" workbookViewId="0">
      <selection activeCell="A24" sqref="A24"/>
    </sheetView>
  </sheetViews>
  <sheetFormatPr defaultColWidth="9.1796875" defaultRowHeight="13"/>
  <cols>
    <col min="1" max="1" width="56.1796875" style="395" customWidth="1"/>
    <col min="2" max="24" width="4.453125" style="395" customWidth="1"/>
    <col min="25" max="35" width="5.26953125" style="395" customWidth="1"/>
    <col min="36" max="42" width="6.1796875" style="395" customWidth="1"/>
    <col min="43" max="47" width="7.7265625" style="395" customWidth="1"/>
    <col min="48" max="50" width="10.7265625" style="395" customWidth="1"/>
    <col min="51" max="256" width="9.1796875" style="395"/>
    <col min="257" max="257" width="56.1796875" style="395" customWidth="1"/>
    <col min="258" max="280" width="4.453125" style="395" customWidth="1"/>
    <col min="281" max="291" width="5.26953125" style="395" customWidth="1"/>
    <col min="292" max="298" width="6.1796875" style="395" customWidth="1"/>
    <col min="299" max="303" width="7.7265625" style="395" customWidth="1"/>
    <col min="304" max="306" width="10.7265625" style="395" customWidth="1"/>
    <col min="307" max="512" width="9.1796875" style="395"/>
    <col min="513" max="513" width="56.1796875" style="395" customWidth="1"/>
    <col min="514" max="536" width="4.453125" style="395" customWidth="1"/>
    <col min="537" max="547" width="5.26953125" style="395" customWidth="1"/>
    <col min="548" max="554" width="6.1796875" style="395" customWidth="1"/>
    <col min="555" max="559" width="7.7265625" style="395" customWidth="1"/>
    <col min="560" max="562" width="10.7265625" style="395" customWidth="1"/>
    <col min="563" max="768" width="9.1796875" style="395"/>
    <col min="769" max="769" width="56.1796875" style="395" customWidth="1"/>
    <col min="770" max="792" width="4.453125" style="395" customWidth="1"/>
    <col min="793" max="803" width="5.26953125" style="395" customWidth="1"/>
    <col min="804" max="810" width="6.1796875" style="395" customWidth="1"/>
    <col min="811" max="815" width="7.7265625" style="395" customWidth="1"/>
    <col min="816" max="818" width="10.7265625" style="395" customWidth="1"/>
    <col min="819" max="1024" width="9.1796875" style="395"/>
    <col min="1025" max="1025" width="56.1796875" style="395" customWidth="1"/>
    <col min="1026" max="1048" width="4.453125" style="395" customWidth="1"/>
    <col min="1049" max="1059" width="5.26953125" style="395" customWidth="1"/>
    <col min="1060" max="1066" width="6.1796875" style="395" customWidth="1"/>
    <col min="1067" max="1071" width="7.7265625" style="395" customWidth="1"/>
    <col min="1072" max="1074" width="10.7265625" style="395" customWidth="1"/>
    <col min="1075" max="1280" width="9.1796875" style="395"/>
    <col min="1281" max="1281" width="56.1796875" style="395" customWidth="1"/>
    <col min="1282" max="1304" width="4.453125" style="395" customWidth="1"/>
    <col min="1305" max="1315" width="5.26953125" style="395" customWidth="1"/>
    <col min="1316" max="1322" width="6.1796875" style="395" customWidth="1"/>
    <col min="1323" max="1327" width="7.7265625" style="395" customWidth="1"/>
    <col min="1328" max="1330" width="10.7265625" style="395" customWidth="1"/>
    <col min="1331" max="1536" width="9.1796875" style="395"/>
    <col min="1537" max="1537" width="56.1796875" style="395" customWidth="1"/>
    <col min="1538" max="1560" width="4.453125" style="395" customWidth="1"/>
    <col min="1561" max="1571" width="5.26953125" style="395" customWidth="1"/>
    <col min="1572" max="1578" width="6.1796875" style="395" customWidth="1"/>
    <col min="1579" max="1583" width="7.7265625" style="395" customWidth="1"/>
    <col min="1584" max="1586" width="10.7265625" style="395" customWidth="1"/>
    <col min="1587" max="1792" width="9.1796875" style="395"/>
    <col min="1793" max="1793" width="56.1796875" style="395" customWidth="1"/>
    <col min="1794" max="1816" width="4.453125" style="395" customWidth="1"/>
    <col min="1817" max="1827" width="5.26953125" style="395" customWidth="1"/>
    <col min="1828" max="1834" width="6.1796875" style="395" customWidth="1"/>
    <col min="1835" max="1839" width="7.7265625" style="395" customWidth="1"/>
    <col min="1840" max="1842" width="10.7265625" style="395" customWidth="1"/>
    <col min="1843" max="2048" width="9.1796875" style="395"/>
    <col min="2049" max="2049" width="56.1796875" style="395" customWidth="1"/>
    <col min="2050" max="2072" width="4.453125" style="395" customWidth="1"/>
    <col min="2073" max="2083" width="5.26953125" style="395" customWidth="1"/>
    <col min="2084" max="2090" width="6.1796875" style="395" customWidth="1"/>
    <col min="2091" max="2095" width="7.7265625" style="395" customWidth="1"/>
    <col min="2096" max="2098" width="10.7265625" style="395" customWidth="1"/>
    <col min="2099" max="2304" width="9.1796875" style="395"/>
    <col min="2305" max="2305" width="56.1796875" style="395" customWidth="1"/>
    <col min="2306" max="2328" width="4.453125" style="395" customWidth="1"/>
    <col min="2329" max="2339" width="5.26953125" style="395" customWidth="1"/>
    <col min="2340" max="2346" width="6.1796875" style="395" customWidth="1"/>
    <col min="2347" max="2351" width="7.7265625" style="395" customWidth="1"/>
    <col min="2352" max="2354" width="10.7265625" style="395" customWidth="1"/>
    <col min="2355" max="2560" width="9.1796875" style="395"/>
    <col min="2561" max="2561" width="56.1796875" style="395" customWidth="1"/>
    <col min="2562" max="2584" width="4.453125" style="395" customWidth="1"/>
    <col min="2585" max="2595" width="5.26953125" style="395" customWidth="1"/>
    <col min="2596" max="2602" width="6.1796875" style="395" customWidth="1"/>
    <col min="2603" max="2607" width="7.7265625" style="395" customWidth="1"/>
    <col min="2608" max="2610" width="10.7265625" style="395" customWidth="1"/>
    <col min="2611" max="2816" width="9.1796875" style="395"/>
    <col min="2817" max="2817" width="56.1796875" style="395" customWidth="1"/>
    <col min="2818" max="2840" width="4.453125" style="395" customWidth="1"/>
    <col min="2841" max="2851" width="5.26953125" style="395" customWidth="1"/>
    <col min="2852" max="2858" width="6.1796875" style="395" customWidth="1"/>
    <col min="2859" max="2863" width="7.7265625" style="395" customWidth="1"/>
    <col min="2864" max="2866" width="10.7265625" style="395" customWidth="1"/>
    <col min="2867" max="3072" width="9.1796875" style="395"/>
    <col min="3073" max="3073" width="56.1796875" style="395" customWidth="1"/>
    <col min="3074" max="3096" width="4.453125" style="395" customWidth="1"/>
    <col min="3097" max="3107" width="5.26953125" style="395" customWidth="1"/>
    <col min="3108" max="3114" width="6.1796875" style="395" customWidth="1"/>
    <col min="3115" max="3119" width="7.7265625" style="395" customWidth="1"/>
    <col min="3120" max="3122" width="10.7265625" style="395" customWidth="1"/>
    <col min="3123" max="3328" width="9.1796875" style="395"/>
    <col min="3329" max="3329" width="56.1796875" style="395" customWidth="1"/>
    <col min="3330" max="3352" width="4.453125" style="395" customWidth="1"/>
    <col min="3353" max="3363" width="5.26953125" style="395" customWidth="1"/>
    <col min="3364" max="3370" width="6.1796875" style="395" customWidth="1"/>
    <col min="3371" max="3375" width="7.7265625" style="395" customWidth="1"/>
    <col min="3376" max="3378" width="10.7265625" style="395" customWidth="1"/>
    <col min="3379" max="3584" width="9.1796875" style="395"/>
    <col min="3585" max="3585" width="56.1796875" style="395" customWidth="1"/>
    <col min="3586" max="3608" width="4.453125" style="395" customWidth="1"/>
    <col min="3609" max="3619" width="5.26953125" style="395" customWidth="1"/>
    <col min="3620" max="3626" width="6.1796875" style="395" customWidth="1"/>
    <col min="3627" max="3631" width="7.7265625" style="395" customWidth="1"/>
    <col min="3632" max="3634" width="10.7265625" style="395" customWidth="1"/>
    <col min="3635" max="3840" width="9.1796875" style="395"/>
    <col min="3841" max="3841" width="56.1796875" style="395" customWidth="1"/>
    <col min="3842" max="3864" width="4.453125" style="395" customWidth="1"/>
    <col min="3865" max="3875" width="5.26953125" style="395" customWidth="1"/>
    <col min="3876" max="3882" width="6.1796875" style="395" customWidth="1"/>
    <col min="3883" max="3887" width="7.7265625" style="395" customWidth="1"/>
    <col min="3888" max="3890" width="10.7265625" style="395" customWidth="1"/>
    <col min="3891" max="4096" width="9.1796875" style="395"/>
    <col min="4097" max="4097" width="56.1796875" style="395" customWidth="1"/>
    <col min="4098" max="4120" width="4.453125" style="395" customWidth="1"/>
    <col min="4121" max="4131" width="5.26953125" style="395" customWidth="1"/>
    <col min="4132" max="4138" width="6.1796875" style="395" customWidth="1"/>
    <col min="4139" max="4143" width="7.7265625" style="395" customWidth="1"/>
    <col min="4144" max="4146" width="10.7265625" style="395" customWidth="1"/>
    <col min="4147" max="4352" width="9.1796875" style="395"/>
    <col min="4353" max="4353" width="56.1796875" style="395" customWidth="1"/>
    <col min="4354" max="4376" width="4.453125" style="395" customWidth="1"/>
    <col min="4377" max="4387" width="5.26953125" style="395" customWidth="1"/>
    <col min="4388" max="4394" width="6.1796875" style="395" customWidth="1"/>
    <col min="4395" max="4399" width="7.7265625" style="395" customWidth="1"/>
    <col min="4400" max="4402" width="10.7265625" style="395" customWidth="1"/>
    <col min="4403" max="4608" width="9.1796875" style="395"/>
    <col min="4609" max="4609" width="56.1796875" style="395" customWidth="1"/>
    <col min="4610" max="4632" width="4.453125" style="395" customWidth="1"/>
    <col min="4633" max="4643" width="5.26953125" style="395" customWidth="1"/>
    <col min="4644" max="4650" width="6.1796875" style="395" customWidth="1"/>
    <col min="4651" max="4655" width="7.7265625" style="395" customWidth="1"/>
    <col min="4656" max="4658" width="10.7265625" style="395" customWidth="1"/>
    <col min="4659" max="4864" width="9.1796875" style="395"/>
    <col min="4865" max="4865" width="56.1796875" style="395" customWidth="1"/>
    <col min="4866" max="4888" width="4.453125" style="395" customWidth="1"/>
    <col min="4889" max="4899" width="5.26953125" style="395" customWidth="1"/>
    <col min="4900" max="4906" width="6.1796875" style="395" customWidth="1"/>
    <col min="4907" max="4911" width="7.7265625" style="395" customWidth="1"/>
    <col min="4912" max="4914" width="10.7265625" style="395" customWidth="1"/>
    <col min="4915" max="5120" width="9.1796875" style="395"/>
    <col min="5121" max="5121" width="56.1796875" style="395" customWidth="1"/>
    <col min="5122" max="5144" width="4.453125" style="395" customWidth="1"/>
    <col min="5145" max="5155" width="5.26953125" style="395" customWidth="1"/>
    <col min="5156" max="5162" width="6.1796875" style="395" customWidth="1"/>
    <col min="5163" max="5167" width="7.7265625" style="395" customWidth="1"/>
    <col min="5168" max="5170" width="10.7265625" style="395" customWidth="1"/>
    <col min="5171" max="5376" width="9.1796875" style="395"/>
    <col min="5377" max="5377" width="56.1796875" style="395" customWidth="1"/>
    <col min="5378" max="5400" width="4.453125" style="395" customWidth="1"/>
    <col min="5401" max="5411" width="5.26953125" style="395" customWidth="1"/>
    <col min="5412" max="5418" width="6.1796875" style="395" customWidth="1"/>
    <col min="5419" max="5423" width="7.7265625" style="395" customWidth="1"/>
    <col min="5424" max="5426" width="10.7265625" style="395" customWidth="1"/>
    <col min="5427" max="5632" width="9.1796875" style="395"/>
    <col min="5633" max="5633" width="56.1796875" style="395" customWidth="1"/>
    <col min="5634" max="5656" width="4.453125" style="395" customWidth="1"/>
    <col min="5657" max="5667" width="5.26953125" style="395" customWidth="1"/>
    <col min="5668" max="5674" width="6.1796875" style="395" customWidth="1"/>
    <col min="5675" max="5679" width="7.7265625" style="395" customWidth="1"/>
    <col min="5680" max="5682" width="10.7265625" style="395" customWidth="1"/>
    <col min="5683" max="5888" width="9.1796875" style="395"/>
    <col min="5889" max="5889" width="56.1796875" style="395" customWidth="1"/>
    <col min="5890" max="5912" width="4.453125" style="395" customWidth="1"/>
    <col min="5913" max="5923" width="5.26953125" style="395" customWidth="1"/>
    <col min="5924" max="5930" width="6.1796875" style="395" customWidth="1"/>
    <col min="5931" max="5935" width="7.7265625" style="395" customWidth="1"/>
    <col min="5936" max="5938" width="10.7265625" style="395" customWidth="1"/>
    <col min="5939" max="6144" width="9.1796875" style="395"/>
    <col min="6145" max="6145" width="56.1796875" style="395" customWidth="1"/>
    <col min="6146" max="6168" width="4.453125" style="395" customWidth="1"/>
    <col min="6169" max="6179" width="5.26953125" style="395" customWidth="1"/>
    <col min="6180" max="6186" width="6.1796875" style="395" customWidth="1"/>
    <col min="6187" max="6191" width="7.7265625" style="395" customWidth="1"/>
    <col min="6192" max="6194" width="10.7265625" style="395" customWidth="1"/>
    <col min="6195" max="6400" width="9.1796875" style="395"/>
    <col min="6401" max="6401" width="56.1796875" style="395" customWidth="1"/>
    <col min="6402" max="6424" width="4.453125" style="395" customWidth="1"/>
    <col min="6425" max="6435" width="5.26953125" style="395" customWidth="1"/>
    <col min="6436" max="6442" width="6.1796875" style="395" customWidth="1"/>
    <col min="6443" max="6447" width="7.7265625" style="395" customWidth="1"/>
    <col min="6448" max="6450" width="10.7265625" style="395" customWidth="1"/>
    <col min="6451" max="6656" width="9.1796875" style="395"/>
    <col min="6657" max="6657" width="56.1796875" style="395" customWidth="1"/>
    <col min="6658" max="6680" width="4.453125" style="395" customWidth="1"/>
    <col min="6681" max="6691" width="5.26953125" style="395" customWidth="1"/>
    <col min="6692" max="6698" width="6.1796875" style="395" customWidth="1"/>
    <col min="6699" max="6703" width="7.7265625" style="395" customWidth="1"/>
    <col min="6704" max="6706" width="10.7265625" style="395" customWidth="1"/>
    <col min="6707" max="6912" width="9.1796875" style="395"/>
    <col min="6913" max="6913" width="56.1796875" style="395" customWidth="1"/>
    <col min="6914" max="6936" width="4.453125" style="395" customWidth="1"/>
    <col min="6937" max="6947" width="5.26953125" style="395" customWidth="1"/>
    <col min="6948" max="6954" width="6.1796875" style="395" customWidth="1"/>
    <col min="6955" max="6959" width="7.7265625" style="395" customWidth="1"/>
    <col min="6960" max="6962" width="10.7265625" style="395" customWidth="1"/>
    <col min="6963" max="7168" width="9.1796875" style="395"/>
    <col min="7169" max="7169" width="56.1796875" style="395" customWidth="1"/>
    <col min="7170" max="7192" width="4.453125" style="395" customWidth="1"/>
    <col min="7193" max="7203" width="5.26953125" style="395" customWidth="1"/>
    <col min="7204" max="7210" width="6.1796875" style="395" customWidth="1"/>
    <col min="7211" max="7215" width="7.7265625" style="395" customWidth="1"/>
    <col min="7216" max="7218" width="10.7265625" style="395" customWidth="1"/>
    <col min="7219" max="7424" width="9.1796875" style="395"/>
    <col min="7425" max="7425" width="56.1796875" style="395" customWidth="1"/>
    <col min="7426" max="7448" width="4.453125" style="395" customWidth="1"/>
    <col min="7449" max="7459" width="5.26953125" style="395" customWidth="1"/>
    <col min="7460" max="7466" width="6.1796875" style="395" customWidth="1"/>
    <col min="7467" max="7471" width="7.7265625" style="395" customWidth="1"/>
    <col min="7472" max="7474" width="10.7265625" style="395" customWidth="1"/>
    <col min="7475" max="7680" width="9.1796875" style="395"/>
    <col min="7681" max="7681" width="56.1796875" style="395" customWidth="1"/>
    <col min="7682" max="7704" width="4.453125" style="395" customWidth="1"/>
    <col min="7705" max="7715" width="5.26953125" style="395" customWidth="1"/>
    <col min="7716" max="7722" width="6.1796875" style="395" customWidth="1"/>
    <col min="7723" max="7727" width="7.7265625" style="395" customWidth="1"/>
    <col min="7728" max="7730" width="10.7265625" style="395" customWidth="1"/>
    <col min="7731" max="7936" width="9.1796875" style="395"/>
    <col min="7937" max="7937" width="56.1796875" style="395" customWidth="1"/>
    <col min="7938" max="7960" width="4.453125" style="395" customWidth="1"/>
    <col min="7961" max="7971" width="5.26953125" style="395" customWidth="1"/>
    <col min="7972" max="7978" width="6.1796875" style="395" customWidth="1"/>
    <col min="7979" max="7983" width="7.7265625" style="395" customWidth="1"/>
    <col min="7984" max="7986" width="10.7265625" style="395" customWidth="1"/>
    <col min="7987" max="8192" width="9.1796875" style="395"/>
    <col min="8193" max="8193" width="56.1796875" style="395" customWidth="1"/>
    <col min="8194" max="8216" width="4.453125" style="395" customWidth="1"/>
    <col min="8217" max="8227" width="5.26953125" style="395" customWidth="1"/>
    <col min="8228" max="8234" width="6.1796875" style="395" customWidth="1"/>
    <col min="8235" max="8239" width="7.7265625" style="395" customWidth="1"/>
    <col min="8240" max="8242" width="10.7265625" style="395" customWidth="1"/>
    <col min="8243" max="8448" width="9.1796875" style="395"/>
    <col min="8449" max="8449" width="56.1796875" style="395" customWidth="1"/>
    <col min="8450" max="8472" width="4.453125" style="395" customWidth="1"/>
    <col min="8473" max="8483" width="5.26953125" style="395" customWidth="1"/>
    <col min="8484" max="8490" width="6.1796875" style="395" customWidth="1"/>
    <col min="8491" max="8495" width="7.7265625" style="395" customWidth="1"/>
    <col min="8496" max="8498" width="10.7265625" style="395" customWidth="1"/>
    <col min="8499" max="8704" width="9.1796875" style="395"/>
    <col min="8705" max="8705" width="56.1796875" style="395" customWidth="1"/>
    <col min="8706" max="8728" width="4.453125" style="395" customWidth="1"/>
    <col min="8729" max="8739" width="5.26953125" style="395" customWidth="1"/>
    <col min="8740" max="8746" width="6.1796875" style="395" customWidth="1"/>
    <col min="8747" max="8751" width="7.7265625" style="395" customWidth="1"/>
    <col min="8752" max="8754" width="10.7265625" style="395" customWidth="1"/>
    <col min="8755" max="8960" width="9.1796875" style="395"/>
    <col min="8961" max="8961" width="56.1796875" style="395" customWidth="1"/>
    <col min="8962" max="8984" width="4.453125" style="395" customWidth="1"/>
    <col min="8985" max="8995" width="5.26953125" style="395" customWidth="1"/>
    <col min="8996" max="9002" width="6.1796875" style="395" customWidth="1"/>
    <col min="9003" max="9007" width="7.7265625" style="395" customWidth="1"/>
    <col min="9008" max="9010" width="10.7265625" style="395" customWidth="1"/>
    <col min="9011" max="9216" width="9.1796875" style="395"/>
    <col min="9217" max="9217" width="56.1796875" style="395" customWidth="1"/>
    <col min="9218" max="9240" width="4.453125" style="395" customWidth="1"/>
    <col min="9241" max="9251" width="5.26953125" style="395" customWidth="1"/>
    <col min="9252" max="9258" width="6.1796875" style="395" customWidth="1"/>
    <col min="9259" max="9263" width="7.7265625" style="395" customWidth="1"/>
    <col min="9264" max="9266" width="10.7265625" style="395" customWidth="1"/>
    <col min="9267" max="9472" width="9.1796875" style="395"/>
    <col min="9473" max="9473" width="56.1796875" style="395" customWidth="1"/>
    <col min="9474" max="9496" width="4.453125" style="395" customWidth="1"/>
    <col min="9497" max="9507" width="5.26953125" style="395" customWidth="1"/>
    <col min="9508" max="9514" width="6.1796875" style="395" customWidth="1"/>
    <col min="9515" max="9519" width="7.7265625" style="395" customWidth="1"/>
    <col min="9520" max="9522" width="10.7265625" style="395" customWidth="1"/>
    <col min="9523" max="9728" width="9.1796875" style="395"/>
    <col min="9729" max="9729" width="56.1796875" style="395" customWidth="1"/>
    <col min="9730" max="9752" width="4.453125" style="395" customWidth="1"/>
    <col min="9753" max="9763" width="5.26953125" style="395" customWidth="1"/>
    <col min="9764" max="9770" width="6.1796875" style="395" customWidth="1"/>
    <col min="9771" max="9775" width="7.7265625" style="395" customWidth="1"/>
    <col min="9776" max="9778" width="10.7265625" style="395" customWidth="1"/>
    <col min="9779" max="9984" width="9.1796875" style="395"/>
    <col min="9985" max="9985" width="56.1796875" style="395" customWidth="1"/>
    <col min="9986" max="10008" width="4.453125" style="395" customWidth="1"/>
    <col min="10009" max="10019" width="5.26953125" style="395" customWidth="1"/>
    <col min="10020" max="10026" width="6.1796875" style="395" customWidth="1"/>
    <col min="10027" max="10031" width="7.7265625" style="395" customWidth="1"/>
    <col min="10032" max="10034" width="10.7265625" style="395" customWidth="1"/>
    <col min="10035" max="10240" width="9.1796875" style="395"/>
    <col min="10241" max="10241" width="56.1796875" style="395" customWidth="1"/>
    <col min="10242" max="10264" width="4.453125" style="395" customWidth="1"/>
    <col min="10265" max="10275" width="5.26953125" style="395" customWidth="1"/>
    <col min="10276" max="10282" width="6.1796875" style="395" customWidth="1"/>
    <col min="10283" max="10287" width="7.7265625" style="395" customWidth="1"/>
    <col min="10288" max="10290" width="10.7265625" style="395" customWidth="1"/>
    <col min="10291" max="10496" width="9.1796875" style="395"/>
    <col min="10497" max="10497" width="56.1796875" style="395" customWidth="1"/>
    <col min="10498" max="10520" width="4.453125" style="395" customWidth="1"/>
    <col min="10521" max="10531" width="5.26953125" style="395" customWidth="1"/>
    <col min="10532" max="10538" width="6.1796875" style="395" customWidth="1"/>
    <col min="10539" max="10543" width="7.7265625" style="395" customWidth="1"/>
    <col min="10544" max="10546" width="10.7265625" style="395" customWidth="1"/>
    <col min="10547" max="10752" width="9.1796875" style="395"/>
    <col min="10753" max="10753" width="56.1796875" style="395" customWidth="1"/>
    <col min="10754" max="10776" width="4.453125" style="395" customWidth="1"/>
    <col min="10777" max="10787" width="5.26953125" style="395" customWidth="1"/>
    <col min="10788" max="10794" width="6.1796875" style="395" customWidth="1"/>
    <col min="10795" max="10799" width="7.7265625" style="395" customWidth="1"/>
    <col min="10800" max="10802" width="10.7265625" style="395" customWidth="1"/>
    <col min="10803" max="11008" width="9.1796875" style="395"/>
    <col min="11009" max="11009" width="56.1796875" style="395" customWidth="1"/>
    <col min="11010" max="11032" width="4.453125" style="395" customWidth="1"/>
    <col min="11033" max="11043" width="5.26953125" style="395" customWidth="1"/>
    <col min="11044" max="11050" width="6.1796875" style="395" customWidth="1"/>
    <col min="11051" max="11055" width="7.7265625" style="395" customWidth="1"/>
    <col min="11056" max="11058" width="10.7265625" style="395" customWidth="1"/>
    <col min="11059" max="11264" width="9.1796875" style="395"/>
    <col min="11265" max="11265" width="56.1796875" style="395" customWidth="1"/>
    <col min="11266" max="11288" width="4.453125" style="395" customWidth="1"/>
    <col min="11289" max="11299" width="5.26953125" style="395" customWidth="1"/>
    <col min="11300" max="11306" width="6.1796875" style="395" customWidth="1"/>
    <col min="11307" max="11311" width="7.7265625" style="395" customWidth="1"/>
    <col min="11312" max="11314" width="10.7265625" style="395" customWidth="1"/>
    <col min="11315" max="11520" width="9.1796875" style="395"/>
    <col min="11521" max="11521" width="56.1796875" style="395" customWidth="1"/>
    <col min="11522" max="11544" width="4.453125" style="395" customWidth="1"/>
    <col min="11545" max="11555" width="5.26953125" style="395" customWidth="1"/>
    <col min="11556" max="11562" width="6.1796875" style="395" customWidth="1"/>
    <col min="11563" max="11567" width="7.7265625" style="395" customWidth="1"/>
    <col min="11568" max="11570" width="10.7265625" style="395" customWidth="1"/>
    <col min="11571" max="11776" width="9.1796875" style="395"/>
    <col min="11777" max="11777" width="56.1796875" style="395" customWidth="1"/>
    <col min="11778" max="11800" width="4.453125" style="395" customWidth="1"/>
    <col min="11801" max="11811" width="5.26953125" style="395" customWidth="1"/>
    <col min="11812" max="11818" width="6.1796875" style="395" customWidth="1"/>
    <col min="11819" max="11823" width="7.7265625" style="395" customWidth="1"/>
    <col min="11824" max="11826" width="10.7265625" style="395" customWidth="1"/>
    <col min="11827" max="12032" width="9.1796875" style="395"/>
    <col min="12033" max="12033" width="56.1796875" style="395" customWidth="1"/>
    <col min="12034" max="12056" width="4.453125" style="395" customWidth="1"/>
    <col min="12057" max="12067" width="5.26953125" style="395" customWidth="1"/>
    <col min="12068" max="12074" width="6.1796875" style="395" customWidth="1"/>
    <col min="12075" max="12079" width="7.7265625" style="395" customWidth="1"/>
    <col min="12080" max="12082" width="10.7265625" style="395" customWidth="1"/>
    <col min="12083" max="12288" width="9.1796875" style="395"/>
    <col min="12289" max="12289" width="56.1796875" style="395" customWidth="1"/>
    <col min="12290" max="12312" width="4.453125" style="395" customWidth="1"/>
    <col min="12313" max="12323" width="5.26953125" style="395" customWidth="1"/>
    <col min="12324" max="12330" width="6.1796875" style="395" customWidth="1"/>
    <col min="12331" max="12335" width="7.7265625" style="395" customWidth="1"/>
    <col min="12336" max="12338" width="10.7265625" style="395" customWidth="1"/>
    <col min="12339" max="12544" width="9.1796875" style="395"/>
    <col min="12545" max="12545" width="56.1796875" style="395" customWidth="1"/>
    <col min="12546" max="12568" width="4.453125" style="395" customWidth="1"/>
    <col min="12569" max="12579" width="5.26953125" style="395" customWidth="1"/>
    <col min="12580" max="12586" width="6.1796875" style="395" customWidth="1"/>
    <col min="12587" max="12591" width="7.7265625" style="395" customWidth="1"/>
    <col min="12592" max="12594" width="10.7265625" style="395" customWidth="1"/>
    <col min="12595" max="12800" width="9.1796875" style="395"/>
    <col min="12801" max="12801" width="56.1796875" style="395" customWidth="1"/>
    <col min="12802" max="12824" width="4.453125" style="395" customWidth="1"/>
    <col min="12825" max="12835" width="5.26953125" style="395" customWidth="1"/>
    <col min="12836" max="12842" width="6.1796875" style="395" customWidth="1"/>
    <col min="12843" max="12847" width="7.7265625" style="395" customWidth="1"/>
    <col min="12848" max="12850" width="10.7265625" style="395" customWidth="1"/>
    <col min="12851" max="13056" width="9.1796875" style="395"/>
    <col min="13057" max="13057" width="56.1796875" style="395" customWidth="1"/>
    <col min="13058" max="13080" width="4.453125" style="395" customWidth="1"/>
    <col min="13081" max="13091" width="5.26953125" style="395" customWidth="1"/>
    <col min="13092" max="13098" width="6.1796875" style="395" customWidth="1"/>
    <col min="13099" max="13103" width="7.7265625" style="395" customWidth="1"/>
    <col min="13104" max="13106" width="10.7265625" style="395" customWidth="1"/>
    <col min="13107" max="13312" width="9.1796875" style="395"/>
    <col min="13313" max="13313" width="56.1796875" style="395" customWidth="1"/>
    <col min="13314" max="13336" width="4.453125" style="395" customWidth="1"/>
    <col min="13337" max="13347" width="5.26953125" style="395" customWidth="1"/>
    <col min="13348" max="13354" width="6.1796875" style="395" customWidth="1"/>
    <col min="13355" max="13359" width="7.7265625" style="395" customWidth="1"/>
    <col min="13360" max="13362" width="10.7265625" style="395" customWidth="1"/>
    <col min="13363" max="13568" width="9.1796875" style="395"/>
    <col min="13569" max="13569" width="56.1796875" style="395" customWidth="1"/>
    <col min="13570" max="13592" width="4.453125" style="395" customWidth="1"/>
    <col min="13593" max="13603" width="5.26953125" style="395" customWidth="1"/>
    <col min="13604" max="13610" width="6.1796875" style="395" customWidth="1"/>
    <col min="13611" max="13615" width="7.7265625" style="395" customWidth="1"/>
    <col min="13616" max="13618" width="10.7265625" style="395" customWidth="1"/>
    <col min="13619" max="13824" width="9.1796875" style="395"/>
    <col min="13825" max="13825" width="56.1796875" style="395" customWidth="1"/>
    <col min="13826" max="13848" width="4.453125" style="395" customWidth="1"/>
    <col min="13849" max="13859" width="5.26953125" style="395" customWidth="1"/>
    <col min="13860" max="13866" width="6.1796875" style="395" customWidth="1"/>
    <col min="13867" max="13871" width="7.7265625" style="395" customWidth="1"/>
    <col min="13872" max="13874" width="10.7265625" style="395" customWidth="1"/>
    <col min="13875" max="14080" width="9.1796875" style="395"/>
    <col min="14081" max="14081" width="56.1796875" style="395" customWidth="1"/>
    <col min="14082" max="14104" width="4.453125" style="395" customWidth="1"/>
    <col min="14105" max="14115" width="5.26953125" style="395" customWidth="1"/>
    <col min="14116" max="14122" width="6.1796875" style="395" customWidth="1"/>
    <col min="14123" max="14127" width="7.7265625" style="395" customWidth="1"/>
    <col min="14128" max="14130" width="10.7265625" style="395" customWidth="1"/>
    <col min="14131" max="14336" width="9.1796875" style="395"/>
    <col min="14337" max="14337" width="56.1796875" style="395" customWidth="1"/>
    <col min="14338" max="14360" width="4.453125" style="395" customWidth="1"/>
    <col min="14361" max="14371" width="5.26953125" style="395" customWidth="1"/>
    <col min="14372" max="14378" width="6.1796875" style="395" customWidth="1"/>
    <col min="14379" max="14383" width="7.7265625" style="395" customWidth="1"/>
    <col min="14384" max="14386" width="10.7265625" style="395" customWidth="1"/>
    <col min="14387" max="14592" width="9.1796875" style="395"/>
    <col min="14593" max="14593" width="56.1796875" style="395" customWidth="1"/>
    <col min="14594" max="14616" width="4.453125" style="395" customWidth="1"/>
    <col min="14617" max="14627" width="5.26953125" style="395" customWidth="1"/>
    <col min="14628" max="14634" width="6.1796875" style="395" customWidth="1"/>
    <col min="14635" max="14639" width="7.7265625" style="395" customWidth="1"/>
    <col min="14640" max="14642" width="10.7265625" style="395" customWidth="1"/>
    <col min="14643" max="14848" width="9.1796875" style="395"/>
    <col min="14849" max="14849" width="56.1796875" style="395" customWidth="1"/>
    <col min="14850" max="14872" width="4.453125" style="395" customWidth="1"/>
    <col min="14873" max="14883" width="5.26953125" style="395" customWidth="1"/>
    <col min="14884" max="14890" width="6.1796875" style="395" customWidth="1"/>
    <col min="14891" max="14895" width="7.7265625" style="395" customWidth="1"/>
    <col min="14896" max="14898" width="10.7265625" style="395" customWidth="1"/>
    <col min="14899" max="15104" width="9.1796875" style="395"/>
    <col min="15105" max="15105" width="56.1796875" style="395" customWidth="1"/>
    <col min="15106" max="15128" width="4.453125" style="395" customWidth="1"/>
    <col min="15129" max="15139" width="5.26953125" style="395" customWidth="1"/>
    <col min="15140" max="15146" width="6.1796875" style="395" customWidth="1"/>
    <col min="15147" max="15151" width="7.7265625" style="395" customWidth="1"/>
    <col min="15152" max="15154" width="10.7265625" style="395" customWidth="1"/>
    <col min="15155" max="15360" width="9.1796875" style="395"/>
    <col min="15361" max="15361" width="56.1796875" style="395" customWidth="1"/>
    <col min="15362" max="15384" width="4.453125" style="395" customWidth="1"/>
    <col min="15385" max="15395" width="5.26953125" style="395" customWidth="1"/>
    <col min="15396" max="15402" width="6.1796875" style="395" customWidth="1"/>
    <col min="15403" max="15407" width="7.7265625" style="395" customWidth="1"/>
    <col min="15408" max="15410" width="10.7265625" style="395" customWidth="1"/>
    <col min="15411" max="15616" width="9.1796875" style="395"/>
    <col min="15617" max="15617" width="56.1796875" style="395" customWidth="1"/>
    <col min="15618" max="15640" width="4.453125" style="395" customWidth="1"/>
    <col min="15641" max="15651" width="5.26953125" style="395" customWidth="1"/>
    <col min="15652" max="15658" width="6.1796875" style="395" customWidth="1"/>
    <col min="15659" max="15663" width="7.7265625" style="395" customWidth="1"/>
    <col min="15664" max="15666" width="10.7265625" style="395" customWidth="1"/>
    <col min="15667" max="15872" width="9.1796875" style="395"/>
    <col min="15873" max="15873" width="56.1796875" style="395" customWidth="1"/>
    <col min="15874" max="15896" width="4.453125" style="395" customWidth="1"/>
    <col min="15897" max="15907" width="5.26953125" style="395" customWidth="1"/>
    <col min="15908" max="15914" width="6.1796875" style="395" customWidth="1"/>
    <col min="15915" max="15919" width="7.7265625" style="395" customWidth="1"/>
    <col min="15920" max="15922" width="10.7265625" style="395" customWidth="1"/>
    <col min="15923" max="16128" width="9.1796875" style="395"/>
    <col min="16129" max="16129" width="56.1796875" style="395" customWidth="1"/>
    <col min="16130" max="16152" width="4.453125" style="395" customWidth="1"/>
    <col min="16153" max="16163" width="5.26953125" style="395" customWidth="1"/>
    <col min="16164" max="16170" width="6.1796875" style="395" customWidth="1"/>
    <col min="16171" max="16175" width="7.7265625" style="395" customWidth="1"/>
    <col min="16176" max="16178" width="10.7265625" style="395" customWidth="1"/>
    <col min="16179" max="16384" width="9.1796875" style="395"/>
  </cols>
  <sheetData>
    <row r="1" spans="1:51">
      <c r="A1" s="414" t="s">
        <v>791</v>
      </c>
    </row>
    <row r="2" spans="1:51">
      <c r="A2" s="395" t="s">
        <v>192</v>
      </c>
      <c r="C2" s="414"/>
    </row>
    <row r="4" spans="1:51">
      <c r="A4" s="414" t="s">
        <v>792</v>
      </c>
      <c r="D4" s="414"/>
    </row>
    <row r="5" spans="1:51" ht="13.5" thickBot="1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2"/>
      <c r="U5" s="442"/>
      <c r="V5" s="442"/>
      <c r="W5" s="442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</row>
    <row r="6" spans="1:51" s="462" customFormat="1">
      <c r="A6" s="443"/>
      <c r="B6" s="444">
        <v>1947</v>
      </c>
      <c r="C6" s="444">
        <v>1948</v>
      </c>
      <c r="D6" s="444">
        <v>1949</v>
      </c>
      <c r="E6" s="444">
        <v>1950</v>
      </c>
      <c r="F6" s="444">
        <v>1951</v>
      </c>
      <c r="G6" s="444">
        <v>1952</v>
      </c>
      <c r="H6" s="444">
        <v>1953</v>
      </c>
      <c r="I6" s="444">
        <v>1954</v>
      </c>
      <c r="J6" s="444">
        <v>1955</v>
      </c>
      <c r="K6" s="444">
        <v>1956</v>
      </c>
      <c r="L6" s="444">
        <v>1957</v>
      </c>
      <c r="M6" s="444">
        <v>1958</v>
      </c>
      <c r="N6" s="444">
        <v>1959</v>
      </c>
      <c r="O6" s="444">
        <v>1960</v>
      </c>
      <c r="P6" s="444">
        <v>1961</v>
      </c>
      <c r="Q6" s="444">
        <v>1962</v>
      </c>
      <c r="R6" s="444">
        <v>1963</v>
      </c>
      <c r="S6" s="444">
        <v>1964</v>
      </c>
      <c r="T6" s="444">
        <v>1965</v>
      </c>
      <c r="U6" s="444">
        <v>1966</v>
      </c>
      <c r="V6" s="444">
        <v>1967</v>
      </c>
      <c r="W6" s="444">
        <v>1968</v>
      </c>
      <c r="X6" s="444">
        <v>1969</v>
      </c>
      <c r="Y6" s="444">
        <v>1970</v>
      </c>
      <c r="Z6" s="444">
        <v>1971</v>
      </c>
      <c r="AA6" s="444">
        <v>1972</v>
      </c>
      <c r="AB6" s="444">
        <v>1973</v>
      </c>
      <c r="AC6" s="444">
        <v>1974</v>
      </c>
      <c r="AD6" s="444">
        <v>1975</v>
      </c>
      <c r="AE6" s="444">
        <v>1976</v>
      </c>
      <c r="AF6" s="444">
        <v>1977</v>
      </c>
      <c r="AG6" s="444">
        <v>1978</v>
      </c>
      <c r="AH6" s="444">
        <v>1979</v>
      </c>
      <c r="AI6" s="444">
        <v>1980</v>
      </c>
      <c r="AJ6" s="444">
        <v>1981</v>
      </c>
      <c r="AK6" s="444">
        <v>1982</v>
      </c>
      <c r="AL6" s="444">
        <v>1983</v>
      </c>
      <c r="AM6" s="444">
        <v>1984</v>
      </c>
      <c r="AN6" s="444">
        <v>1985</v>
      </c>
      <c r="AO6" s="444">
        <v>1986</v>
      </c>
      <c r="AP6" s="444">
        <v>1987</v>
      </c>
      <c r="AQ6" s="444">
        <v>1988</v>
      </c>
      <c r="AR6" s="444">
        <v>1989</v>
      </c>
      <c r="AS6" s="444">
        <v>1990</v>
      </c>
      <c r="AT6" s="444">
        <v>1991</v>
      </c>
      <c r="AU6" s="444">
        <v>1992</v>
      </c>
      <c r="AV6" s="444">
        <v>1993</v>
      </c>
      <c r="AW6" s="444">
        <v>1994</v>
      </c>
      <c r="AX6" s="445">
        <v>1995</v>
      </c>
    </row>
    <row r="7" spans="1:51">
      <c r="A7" s="446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8"/>
    </row>
    <row r="8" spans="1:51">
      <c r="A8" s="446" t="s">
        <v>793</v>
      </c>
      <c r="B8" s="449">
        <v>534.04622783116974</v>
      </c>
      <c r="C8" s="449">
        <v>589.20396653802436</v>
      </c>
      <c r="D8" s="449">
        <v>622.99990518124844</v>
      </c>
      <c r="E8" s="449">
        <v>648.13480817223387</v>
      </c>
      <c r="F8" s="449">
        <v>653.52198376125534</v>
      </c>
      <c r="G8" s="449">
        <v>694.23748763423987</v>
      </c>
      <c r="H8" s="449">
        <v>736.12805422418751</v>
      </c>
      <c r="I8" s="449">
        <v>752.55434868976624</v>
      </c>
      <c r="J8" s="449">
        <v>776.56389089040727</v>
      </c>
      <c r="K8" s="449">
        <v>834.06979314040734</v>
      </c>
      <c r="L8" s="449">
        <v>899.71193852741749</v>
      </c>
      <c r="M8" s="449">
        <v>1007.0232739183738</v>
      </c>
      <c r="N8" s="449">
        <v>1009.8449938231648</v>
      </c>
      <c r="O8" s="449">
        <v>1068.3730599587948</v>
      </c>
      <c r="P8" s="449">
        <v>1080.8862359029599</v>
      </c>
      <c r="Q8" s="449">
        <v>1241.6715610917777</v>
      </c>
      <c r="R8" s="449">
        <v>1284.2813121081649</v>
      </c>
      <c r="S8" s="449">
        <v>1555.2471565908024</v>
      </c>
      <c r="T8" s="449">
        <v>1722.0398601465615</v>
      </c>
      <c r="U8" s="449">
        <v>1768.1946171997902</v>
      </c>
      <c r="V8" s="449">
        <v>1802.8441372859809</v>
      </c>
      <c r="W8" s="449">
        <v>2322.3823132840703</v>
      </c>
      <c r="X8" s="449">
        <v>2879.9724722439555</v>
      </c>
      <c r="Y8" s="449">
        <v>3498.1759637766045</v>
      </c>
      <c r="Z8" s="449">
        <v>2762.440703840045</v>
      </c>
      <c r="AA8" s="449">
        <v>2989.3572216462353</v>
      </c>
      <c r="AB8" s="449">
        <v>3511.9570080551207</v>
      </c>
      <c r="AC8" s="449">
        <v>5074.266564232249</v>
      </c>
      <c r="AD8" s="449">
        <v>4572.0362776865113</v>
      </c>
      <c r="AE8" s="449">
        <v>2474.1520955495839</v>
      </c>
      <c r="AF8" s="449">
        <v>7269.0707999999995</v>
      </c>
      <c r="AG8" s="449">
        <v>9557.8264246962863</v>
      </c>
      <c r="AH8" s="449">
        <v>12010.130707891605</v>
      </c>
      <c r="AI8" s="449">
        <v>23965.182095731896</v>
      </c>
      <c r="AJ8" s="449">
        <v>29960.498144481513</v>
      </c>
      <c r="AK8" s="449">
        <v>35869.381917344166</v>
      </c>
      <c r="AL8" s="449">
        <v>37513.556700000001</v>
      </c>
      <c r="AM8" s="449">
        <v>47037.3145</v>
      </c>
      <c r="AN8" s="449">
        <v>52172.161599999999</v>
      </c>
      <c r="AO8" s="449">
        <v>63413</v>
      </c>
      <c r="AP8" s="449">
        <v>89571</v>
      </c>
      <c r="AQ8" s="449">
        <v>121067</v>
      </c>
      <c r="AR8" s="449">
        <v>95156.140608850386</v>
      </c>
      <c r="AS8" s="449">
        <v>27826.42783020026</v>
      </c>
      <c r="AT8" s="449">
        <v>18417.423488608885</v>
      </c>
      <c r="AU8" s="449">
        <v>203</v>
      </c>
      <c r="AV8" s="449">
        <v>0</v>
      </c>
      <c r="AW8" s="449">
        <v>0</v>
      </c>
      <c r="AX8" s="450">
        <v>0</v>
      </c>
    </row>
    <row r="9" spans="1:51">
      <c r="A9" s="446" t="s">
        <v>794</v>
      </c>
      <c r="B9" s="449">
        <v>390.69360141707295</v>
      </c>
      <c r="C9" s="449">
        <v>400.79116062264796</v>
      </c>
      <c r="D9" s="449">
        <v>421.98278927944034</v>
      </c>
      <c r="E9" s="449">
        <v>439.51689609163498</v>
      </c>
      <c r="F9" s="449">
        <v>453.16151246923846</v>
      </c>
      <c r="G9" s="449">
        <v>472.64231219082728</v>
      </c>
      <c r="H9" s="449">
        <v>492.94531185730051</v>
      </c>
      <c r="I9" s="449">
        <v>508.62199999999996</v>
      </c>
      <c r="J9" s="449">
        <v>520.62169587257426</v>
      </c>
      <c r="K9" s="449">
        <v>534.52673057247262</v>
      </c>
      <c r="L9" s="449">
        <v>551.44048789616795</v>
      </c>
      <c r="M9" s="449">
        <v>576.01196913983745</v>
      </c>
      <c r="N9" s="449">
        <v>603.18668477676397</v>
      </c>
      <c r="O9" s="449">
        <v>620.45782678500086</v>
      </c>
      <c r="P9" s="449">
        <v>651.66058040713074</v>
      </c>
      <c r="Q9" s="449">
        <v>680.47773425250944</v>
      </c>
      <c r="R9" s="449">
        <v>720.54028569391892</v>
      </c>
      <c r="S9" s="449">
        <v>893.35931510727391</v>
      </c>
      <c r="T9" s="449">
        <v>920.16441349969205</v>
      </c>
      <c r="U9" s="449">
        <v>990.99200913768345</v>
      </c>
      <c r="V9" s="449">
        <v>1152.7699922720883</v>
      </c>
      <c r="W9" s="449">
        <v>1218.6059383562354</v>
      </c>
      <c r="X9" s="449">
        <v>1301.0801913700984</v>
      </c>
      <c r="Y9" s="449">
        <v>1425.0170176895863</v>
      </c>
      <c r="Z9" s="449">
        <v>1547.5535755698938</v>
      </c>
      <c r="AA9" s="449">
        <v>1714.9148465016219</v>
      </c>
      <c r="AB9" s="449">
        <v>1913.7630977438071</v>
      </c>
      <c r="AC9" s="449">
        <v>2201.2321841038288</v>
      </c>
      <c r="AD9" s="449">
        <v>2308.7035458377345</v>
      </c>
      <c r="AE9" s="449">
        <v>2789.6550211906524</v>
      </c>
      <c r="AF9" s="449">
        <v>3848.3272507809852</v>
      </c>
      <c r="AG9" s="449">
        <v>4669.0692078026295</v>
      </c>
      <c r="AH9" s="449">
        <v>4661.6526626586092</v>
      </c>
      <c r="AI9" s="449">
        <v>4228.8189999999995</v>
      </c>
      <c r="AJ9" s="449">
        <v>5900.6989999999996</v>
      </c>
      <c r="AK9" s="449">
        <v>6310.4330000000009</v>
      </c>
      <c r="AL9" s="449">
        <v>7172.0598500000006</v>
      </c>
      <c r="AM9" s="449">
        <v>8291.643</v>
      </c>
      <c r="AN9" s="449">
        <v>10102.147000000001</v>
      </c>
      <c r="AO9" s="449">
        <v>12350</v>
      </c>
      <c r="AP9" s="449">
        <v>15457</v>
      </c>
      <c r="AQ9" s="449">
        <v>19898</v>
      </c>
      <c r="AR9" s="449">
        <v>22402</v>
      </c>
      <c r="AS9" s="449">
        <v>26511</v>
      </c>
      <c r="AT9" s="449">
        <v>33799</v>
      </c>
      <c r="AU9" s="449">
        <v>39173</v>
      </c>
      <c r="AV9" s="449">
        <v>44727</v>
      </c>
      <c r="AW9" s="449">
        <v>56330</v>
      </c>
      <c r="AX9" s="450">
        <v>62374</v>
      </c>
    </row>
    <row r="10" spans="1:51">
      <c r="A10" s="446" t="s">
        <v>795</v>
      </c>
      <c r="B10" s="449">
        <v>52.146000000000008</v>
      </c>
      <c r="C10" s="449">
        <v>60.449000000000005</v>
      </c>
      <c r="D10" s="449">
        <v>71.127999999999986</v>
      </c>
      <c r="E10" s="449">
        <v>80.777000000000001</v>
      </c>
      <c r="F10" s="449">
        <v>80.451999999999998</v>
      </c>
      <c r="G10" s="449">
        <v>81.816000000000003</v>
      </c>
      <c r="H10" s="449">
        <v>85.397000000000006</v>
      </c>
      <c r="I10" s="449">
        <v>88.974999999999994</v>
      </c>
      <c r="J10" s="449">
        <v>94.673000000000002</v>
      </c>
      <c r="K10" s="449">
        <v>100.631</v>
      </c>
      <c r="L10" s="449">
        <v>110.5757</v>
      </c>
      <c r="M10" s="449">
        <v>119.92599999999999</v>
      </c>
      <c r="N10" s="449">
        <v>125.655</v>
      </c>
      <c r="O10" s="449">
        <v>140.25</v>
      </c>
      <c r="P10" s="449">
        <v>152.63800000000001</v>
      </c>
      <c r="Q10" s="449">
        <v>171.49599999999998</v>
      </c>
      <c r="R10" s="449">
        <v>177.91399999999999</v>
      </c>
      <c r="S10" s="449">
        <v>284.97699999999998</v>
      </c>
      <c r="T10" s="449">
        <v>382.72</v>
      </c>
      <c r="U10" s="449">
        <v>480.149</v>
      </c>
      <c r="V10" s="449">
        <v>582.45400000000006</v>
      </c>
      <c r="W10" s="449">
        <v>720.00700000000006</v>
      </c>
      <c r="X10" s="449">
        <v>855.57100000000003</v>
      </c>
      <c r="Y10" s="449">
        <v>1325.604</v>
      </c>
      <c r="Z10" s="449">
        <v>1374.721</v>
      </c>
      <c r="AA10" s="449">
        <v>1693.1020000000001</v>
      </c>
      <c r="AB10" s="449">
        <v>2083.37</v>
      </c>
      <c r="AC10" s="449">
        <v>3019.09</v>
      </c>
      <c r="AD10" s="449">
        <v>4111.1350000000002</v>
      </c>
      <c r="AE10" s="449">
        <v>5475.3209999999999</v>
      </c>
      <c r="AF10" s="449">
        <v>9045.0760000000009</v>
      </c>
      <c r="AG10" s="449">
        <v>12781.210999999999</v>
      </c>
      <c r="AH10" s="449">
        <v>16358.210999999999</v>
      </c>
      <c r="AI10" s="449">
        <v>18411.567999999999</v>
      </c>
      <c r="AJ10" s="449">
        <v>28599.001</v>
      </c>
      <c r="AK10" s="449">
        <v>37271.879000000001</v>
      </c>
      <c r="AL10" s="449">
        <v>49299.434000000001</v>
      </c>
      <c r="AM10" s="449">
        <v>63050.150688121415</v>
      </c>
      <c r="AN10" s="449">
        <v>73444.98956786831</v>
      </c>
      <c r="AO10" s="449">
        <v>82272</v>
      </c>
      <c r="AP10" s="449">
        <v>96225</v>
      </c>
      <c r="AQ10" s="449">
        <v>176976</v>
      </c>
      <c r="AR10" s="449">
        <v>33337</v>
      </c>
      <c r="AS10" s="449">
        <v>1761</v>
      </c>
      <c r="AT10" s="449">
        <v>1373</v>
      </c>
      <c r="AU10" s="449">
        <v>2193</v>
      </c>
      <c r="AV10" s="449">
        <v>0</v>
      </c>
      <c r="AW10" s="449">
        <v>0</v>
      </c>
      <c r="AX10" s="450">
        <v>0</v>
      </c>
    </row>
    <row r="11" spans="1:51">
      <c r="A11" s="446" t="s">
        <v>796</v>
      </c>
      <c r="B11" s="449">
        <v>81.176999999999992</v>
      </c>
      <c r="C11" s="449">
        <v>93.55</v>
      </c>
      <c r="D11" s="449">
        <v>110.398</v>
      </c>
      <c r="E11" s="449">
        <v>108.586</v>
      </c>
      <c r="F11" s="449">
        <v>123.005</v>
      </c>
      <c r="G11" s="449">
        <v>134.64600000000002</v>
      </c>
      <c r="H11" s="449">
        <v>165.62200000000001</v>
      </c>
      <c r="I11" s="449">
        <v>157.63</v>
      </c>
      <c r="J11" s="449">
        <v>179.238</v>
      </c>
      <c r="K11" s="449">
        <v>194.285</v>
      </c>
      <c r="L11" s="449">
        <v>192.72</v>
      </c>
      <c r="M11" s="449">
        <v>280.53900000000004</v>
      </c>
      <c r="N11" s="449">
        <v>232.73399999999998</v>
      </c>
      <c r="O11" s="449">
        <v>243.65799999999999</v>
      </c>
      <c r="P11" s="449">
        <v>276.339</v>
      </c>
      <c r="Q11" s="449">
        <v>272.803</v>
      </c>
      <c r="R11" s="449">
        <v>283.68399999999997</v>
      </c>
      <c r="S11" s="449">
        <v>363.267</v>
      </c>
      <c r="T11" s="449">
        <v>391.995</v>
      </c>
      <c r="U11" s="449">
        <v>418.78800000000001</v>
      </c>
      <c r="V11" s="449">
        <v>466.17100000000005</v>
      </c>
      <c r="W11" s="449">
        <v>561.27199999999993</v>
      </c>
      <c r="X11" s="449">
        <v>605.98399999999992</v>
      </c>
      <c r="Y11" s="449">
        <v>729.13700000000006</v>
      </c>
      <c r="Z11" s="449">
        <v>1066.1820000000002</v>
      </c>
      <c r="AA11" s="449">
        <v>1242.335</v>
      </c>
      <c r="AB11" s="449">
        <v>1525.05</v>
      </c>
      <c r="AC11" s="449">
        <v>1698.0039999999999</v>
      </c>
      <c r="AD11" s="449">
        <v>2192.6140000000005</v>
      </c>
      <c r="AE11" s="449">
        <v>2781.49</v>
      </c>
      <c r="AF11" s="449">
        <v>3257.6590000000001</v>
      </c>
      <c r="AG11" s="449">
        <v>5905.1120000000001</v>
      </c>
      <c r="AH11" s="449">
        <v>9518.2790000000005</v>
      </c>
      <c r="AI11" s="449">
        <v>14138.132000000001</v>
      </c>
      <c r="AJ11" s="449">
        <v>23819.487999999998</v>
      </c>
      <c r="AK11" s="449">
        <v>36925.779000000002</v>
      </c>
      <c r="AL11" s="449">
        <v>47979.687999999995</v>
      </c>
      <c r="AM11" s="449">
        <v>71098.28</v>
      </c>
      <c r="AN11" s="449">
        <v>111847.47199999999</v>
      </c>
      <c r="AO11" s="449">
        <v>98860</v>
      </c>
      <c r="AP11" s="449">
        <v>67964</v>
      </c>
      <c r="AQ11" s="449">
        <v>72864</v>
      </c>
      <c r="AR11" s="449">
        <v>10197</v>
      </c>
      <c r="AS11" s="449">
        <v>161</v>
      </c>
      <c r="AT11" s="449">
        <v>133</v>
      </c>
      <c r="AU11" s="449">
        <v>0</v>
      </c>
      <c r="AV11" s="449">
        <v>0</v>
      </c>
      <c r="AW11" s="449">
        <v>0</v>
      </c>
      <c r="AX11" s="450">
        <v>0</v>
      </c>
    </row>
    <row r="12" spans="1:51">
      <c r="A12" s="446" t="s">
        <v>797</v>
      </c>
      <c r="B12" s="449">
        <v>145.315</v>
      </c>
      <c r="C12" s="449">
        <v>166.68600000000001</v>
      </c>
      <c r="D12" s="449">
        <v>196.869</v>
      </c>
      <c r="E12" s="449">
        <v>222.642</v>
      </c>
      <c r="F12" s="449">
        <v>240.851</v>
      </c>
      <c r="G12" s="449">
        <v>248.82599999999999</v>
      </c>
      <c r="H12" s="449">
        <v>271.20499999999998</v>
      </c>
      <c r="I12" s="449">
        <v>285.05</v>
      </c>
      <c r="J12" s="449">
        <v>299.17899999999997</v>
      </c>
      <c r="K12" s="449">
        <v>325.05599999999998</v>
      </c>
      <c r="L12" s="449">
        <v>379.26799999999997</v>
      </c>
      <c r="M12" s="449">
        <v>437.71199999999999</v>
      </c>
      <c r="N12" s="449">
        <v>534.13900000000001</v>
      </c>
      <c r="O12" s="449">
        <v>549.41499999999996</v>
      </c>
      <c r="P12" s="449">
        <v>647.43399999999997</v>
      </c>
      <c r="Q12" s="449">
        <v>648.52200000000005</v>
      </c>
      <c r="R12" s="449">
        <v>697.28899999999999</v>
      </c>
      <c r="S12" s="449">
        <v>363.70699999999999</v>
      </c>
      <c r="T12" s="449">
        <v>816.84799999999996</v>
      </c>
      <c r="U12" s="449">
        <v>734.04300000000001</v>
      </c>
      <c r="V12" s="449">
        <v>827.63699999999994</v>
      </c>
      <c r="W12" s="449">
        <v>843.23299999999995</v>
      </c>
      <c r="X12" s="449">
        <v>1095.097</v>
      </c>
      <c r="Y12" s="449">
        <v>1262.202</v>
      </c>
      <c r="Z12" s="449">
        <v>1322.6969999999999</v>
      </c>
      <c r="AA12" s="449">
        <v>1397.7660000000001</v>
      </c>
      <c r="AB12" s="449">
        <v>1819.6759999999999</v>
      </c>
      <c r="AC12" s="449">
        <v>2404.172</v>
      </c>
      <c r="AD12" s="449">
        <v>1343.0440000000001</v>
      </c>
      <c r="AE12" s="449">
        <v>5772.8810000000003</v>
      </c>
      <c r="AF12" s="449">
        <v>5013.433</v>
      </c>
      <c r="AG12" s="449">
        <v>4995.5789999999997</v>
      </c>
      <c r="AH12" s="449">
        <v>7353.6719999999996</v>
      </c>
      <c r="AI12" s="449">
        <v>8594.6460000000006</v>
      </c>
      <c r="AJ12" s="449">
        <v>11565.212000000001</v>
      </c>
      <c r="AK12" s="449">
        <v>13196.134</v>
      </c>
      <c r="AL12" s="449">
        <v>14662.031000000001</v>
      </c>
      <c r="AM12" s="449">
        <v>12198.189</v>
      </c>
      <c r="AN12" s="449">
        <v>15836.348</v>
      </c>
      <c r="AO12" s="449">
        <v>21157</v>
      </c>
      <c r="AP12" s="449">
        <v>31218</v>
      </c>
      <c r="AQ12" s="449">
        <v>48918</v>
      </c>
      <c r="AR12" s="449">
        <v>34807</v>
      </c>
      <c r="AS12" s="449">
        <v>11841</v>
      </c>
      <c r="AT12" s="449">
        <v>4660</v>
      </c>
      <c r="AU12" s="449">
        <v>1691</v>
      </c>
      <c r="AV12" s="449">
        <v>0</v>
      </c>
      <c r="AW12" s="449">
        <v>0</v>
      </c>
      <c r="AX12" s="450">
        <v>0</v>
      </c>
    </row>
    <row r="13" spans="1:51">
      <c r="A13" s="446" t="s">
        <v>798</v>
      </c>
      <c r="B13" s="449"/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/>
      <c r="AA13" s="449"/>
      <c r="AB13" s="449"/>
      <c r="AC13" s="449"/>
      <c r="AD13" s="449"/>
      <c r="AE13" s="449"/>
      <c r="AF13" s="449"/>
      <c r="AG13" s="449"/>
      <c r="AH13" s="449"/>
      <c r="AI13" s="449"/>
      <c r="AJ13" s="449"/>
      <c r="AK13" s="449"/>
      <c r="AL13" s="449"/>
      <c r="AM13" s="449"/>
      <c r="AN13" s="449"/>
      <c r="AO13" s="449"/>
      <c r="AP13" s="449"/>
      <c r="AQ13" s="449"/>
      <c r="AR13" s="449">
        <v>350274</v>
      </c>
      <c r="AS13" s="449">
        <v>475567</v>
      </c>
      <c r="AT13" s="449">
        <v>631619</v>
      </c>
      <c r="AU13" s="449">
        <v>845641</v>
      </c>
      <c r="AV13" s="449">
        <v>861228</v>
      </c>
      <c r="AW13" s="449">
        <v>896301</v>
      </c>
      <c r="AX13" s="450">
        <v>954620</v>
      </c>
      <c r="AY13" s="396"/>
    </row>
    <row r="14" spans="1:51">
      <c r="A14" s="446" t="s">
        <v>799</v>
      </c>
      <c r="B14" s="449"/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/>
      <c r="AG14" s="449"/>
      <c r="AH14" s="449"/>
      <c r="AI14" s="449"/>
      <c r="AJ14" s="449"/>
      <c r="AK14" s="449"/>
      <c r="AL14" s="449"/>
      <c r="AM14" s="449"/>
      <c r="AN14" s="449"/>
      <c r="AO14" s="449"/>
      <c r="AP14" s="449"/>
      <c r="AQ14" s="449"/>
      <c r="AR14" s="449">
        <v>103723.85939114961</v>
      </c>
      <c r="AS14" s="449">
        <v>233149.50588832237</v>
      </c>
      <c r="AT14" s="449">
        <v>315756.57651139109</v>
      </c>
      <c r="AU14" s="449">
        <v>377832</v>
      </c>
      <c r="AV14" s="449">
        <v>310610</v>
      </c>
      <c r="AW14" s="449">
        <v>338418</v>
      </c>
      <c r="AX14" s="450">
        <v>422105</v>
      </c>
    </row>
    <row r="15" spans="1:51">
      <c r="A15" s="446"/>
      <c r="B15" s="449"/>
      <c r="C15" s="449"/>
      <c r="D15" s="449"/>
      <c r="E15" s="449"/>
      <c r="F15" s="449"/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/>
      <c r="AH15" s="449"/>
      <c r="AI15" s="449"/>
      <c r="AJ15" s="449"/>
      <c r="AK15" s="449"/>
      <c r="AL15" s="449"/>
      <c r="AM15" s="449"/>
      <c r="AN15" s="449"/>
      <c r="AO15" s="449"/>
      <c r="AP15" s="449"/>
      <c r="AQ15" s="449"/>
      <c r="AR15" s="449"/>
      <c r="AS15" s="449"/>
      <c r="AT15" s="449"/>
      <c r="AU15" s="449"/>
      <c r="AV15" s="449"/>
      <c r="AW15" s="449"/>
      <c r="AX15" s="450"/>
      <c r="AY15" s="396"/>
    </row>
    <row r="16" spans="1:51" ht="13.5" thickBot="1">
      <c r="A16" s="452" t="s">
        <v>800</v>
      </c>
      <c r="B16" s="453">
        <v>1454.2209866121364</v>
      </c>
      <c r="C16" s="453">
        <v>1605.7799141052697</v>
      </c>
      <c r="D16" s="453">
        <v>1759.8369499325975</v>
      </c>
      <c r="E16" s="453">
        <v>1845.7450798146924</v>
      </c>
      <c r="F16" s="453">
        <v>1900.0589518358533</v>
      </c>
      <c r="G16" s="453">
        <v>1992.7269168466521</v>
      </c>
      <c r="H16" s="453">
        <v>2178.3876637149024</v>
      </c>
      <c r="I16" s="453">
        <v>2230.4906734341253</v>
      </c>
      <c r="J16" s="453">
        <v>2334.8430615550751</v>
      </c>
      <c r="K16" s="453">
        <v>2515.8934224622026</v>
      </c>
      <c r="L16" s="453">
        <v>2688.2650958963291</v>
      </c>
      <c r="M16" s="453">
        <v>2991.3469755939523</v>
      </c>
      <c r="N16" s="453">
        <v>3302.1504267818573</v>
      </c>
      <c r="O16" s="453">
        <v>3449.7132000000011</v>
      </c>
      <c r="P16" s="453">
        <v>3638.9853000000003</v>
      </c>
      <c r="Q16" s="453">
        <v>4063.3546999999999</v>
      </c>
      <c r="R16" s="453">
        <v>4455.9574499999999</v>
      </c>
      <c r="S16" s="453">
        <v>4664.0556999999999</v>
      </c>
      <c r="T16" s="453">
        <v>5638.9702499999994</v>
      </c>
      <c r="U16" s="453">
        <v>6296.4567500000012</v>
      </c>
      <c r="V16" s="453">
        <v>6649.1665500000008</v>
      </c>
      <c r="W16" s="453">
        <v>7631.6280500000012</v>
      </c>
      <c r="X16" s="453">
        <v>8947.8896999999997</v>
      </c>
      <c r="Y16" s="453">
        <v>10783.6461</v>
      </c>
      <c r="Z16" s="453">
        <v>11137.024350000002</v>
      </c>
      <c r="AA16" s="453">
        <v>12267.614000000001</v>
      </c>
      <c r="AB16" s="453">
        <v>14862.045750000001</v>
      </c>
      <c r="AC16" s="453">
        <v>18198.52</v>
      </c>
      <c r="AD16" s="453">
        <v>20135.372149999999</v>
      </c>
      <c r="AE16" s="453">
        <v>26597.131400000002</v>
      </c>
      <c r="AF16" s="453">
        <v>38329.845999999998</v>
      </c>
      <c r="AG16" s="453">
        <v>49017.770109877805</v>
      </c>
      <c r="AH16" s="453">
        <v>67395.615546364716</v>
      </c>
      <c r="AI16" s="453">
        <v>84018.5245</v>
      </c>
      <c r="AJ16" s="453">
        <v>116210.94099999999</v>
      </c>
      <c r="AK16" s="453">
        <v>151379.715</v>
      </c>
      <c r="AL16" s="453">
        <v>213084.26139999999</v>
      </c>
      <c r="AM16" s="453">
        <v>255307.68900000001</v>
      </c>
      <c r="AN16" s="453">
        <v>325036.20199999999</v>
      </c>
      <c r="AO16" s="453">
        <v>308856</v>
      </c>
      <c r="AP16" s="453">
        <v>327598</v>
      </c>
      <c r="AQ16" s="453">
        <v>477057</v>
      </c>
      <c r="AR16" s="453">
        <v>678263</v>
      </c>
      <c r="AS16" s="453">
        <v>805743</v>
      </c>
      <c r="AT16" s="453">
        <v>1026671</v>
      </c>
      <c r="AU16" s="453">
        <v>1294095</v>
      </c>
      <c r="AV16" s="453">
        <v>1242753</v>
      </c>
      <c r="AW16" s="453">
        <v>1319417</v>
      </c>
      <c r="AX16" s="454">
        <v>1468587</v>
      </c>
    </row>
    <row r="17" spans="1:50">
      <c r="AV17" s="463"/>
      <c r="AW17" s="463"/>
      <c r="AX17" s="463"/>
    </row>
    <row r="18" spans="1:50">
      <c r="AR18" s="464"/>
      <c r="AS18" s="464"/>
      <c r="AT18" s="464"/>
      <c r="AU18" s="464"/>
      <c r="AV18" s="464"/>
      <c r="AW18" s="396"/>
      <c r="AX18" s="396"/>
    </row>
    <row r="19" spans="1:50">
      <c r="A19" s="414" t="s">
        <v>801</v>
      </c>
      <c r="B19" s="396"/>
      <c r="C19" s="396"/>
      <c r="D19" s="396"/>
      <c r="E19" s="396"/>
      <c r="F19" s="396"/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6"/>
      <c r="AA19" s="396"/>
      <c r="AB19" s="396"/>
      <c r="AC19" s="396"/>
      <c r="AD19" s="396"/>
      <c r="AE19" s="396"/>
      <c r="AF19" s="396"/>
      <c r="AG19" s="396"/>
      <c r="AH19" s="396"/>
      <c r="AI19" s="396"/>
      <c r="AJ19" s="396"/>
      <c r="AK19" s="396"/>
      <c r="AL19" s="396"/>
      <c r="AM19" s="396"/>
      <c r="AN19" s="396"/>
      <c r="AO19" s="396"/>
      <c r="AP19" s="396"/>
      <c r="AQ19" s="396"/>
      <c r="AR19" s="396"/>
      <c r="AS19" s="396"/>
      <c r="AT19" s="396"/>
      <c r="AU19" s="396"/>
      <c r="AV19" s="396"/>
      <c r="AW19" s="396"/>
      <c r="AX19" s="396"/>
    </row>
    <row r="20" spans="1:50">
      <c r="A20" s="395" t="s">
        <v>192</v>
      </c>
      <c r="C20" s="414"/>
      <c r="AX20" s="396"/>
    </row>
    <row r="21" spans="1:50" ht="13.5" thickBot="1">
      <c r="A21" s="442"/>
      <c r="B21" s="442"/>
      <c r="C21" s="465"/>
      <c r="D21" s="442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X21" s="396"/>
    </row>
    <row r="22" spans="1:50">
      <c r="A22" s="443"/>
      <c r="B22" s="444">
        <v>1947</v>
      </c>
      <c r="C22" s="444">
        <v>1948</v>
      </c>
      <c r="D22" s="444">
        <v>1949</v>
      </c>
      <c r="E22" s="444">
        <v>1950</v>
      </c>
      <c r="F22" s="444">
        <v>1951</v>
      </c>
      <c r="G22" s="444">
        <v>1952</v>
      </c>
      <c r="H22" s="444">
        <v>1953</v>
      </c>
      <c r="I22" s="444">
        <v>1954</v>
      </c>
      <c r="J22" s="444">
        <v>1955</v>
      </c>
      <c r="K22" s="444">
        <v>1956</v>
      </c>
      <c r="L22" s="444">
        <v>1957</v>
      </c>
      <c r="M22" s="444">
        <v>1958</v>
      </c>
      <c r="N22" s="444">
        <v>1959</v>
      </c>
      <c r="O22" s="444">
        <v>1960</v>
      </c>
      <c r="P22" s="444">
        <v>1961</v>
      </c>
      <c r="Q22" s="444">
        <v>1962</v>
      </c>
      <c r="R22" s="444">
        <v>1963</v>
      </c>
      <c r="S22" s="444">
        <v>1964</v>
      </c>
      <c r="T22" s="444">
        <v>1965</v>
      </c>
      <c r="U22" s="444">
        <v>1966</v>
      </c>
      <c r="V22" s="444">
        <v>1967</v>
      </c>
      <c r="W22" s="444">
        <v>1968</v>
      </c>
      <c r="X22" s="444">
        <v>1969</v>
      </c>
      <c r="Y22" s="444">
        <v>1970</v>
      </c>
      <c r="Z22" s="444">
        <v>1971</v>
      </c>
      <c r="AA22" s="444">
        <v>1972</v>
      </c>
      <c r="AB22" s="444">
        <v>1973</v>
      </c>
      <c r="AC22" s="444">
        <v>1974</v>
      </c>
      <c r="AD22" s="444">
        <v>1975</v>
      </c>
      <c r="AE22" s="444">
        <v>1976</v>
      </c>
      <c r="AF22" s="444">
        <v>1977</v>
      </c>
      <c r="AG22" s="444">
        <v>1978</v>
      </c>
      <c r="AH22" s="444">
        <v>1979</v>
      </c>
      <c r="AI22" s="444">
        <v>1980</v>
      </c>
      <c r="AJ22" s="444">
        <v>1981</v>
      </c>
      <c r="AK22" s="444">
        <v>1982</v>
      </c>
      <c r="AL22" s="444">
        <v>1983</v>
      </c>
      <c r="AM22" s="444">
        <v>1984</v>
      </c>
      <c r="AN22" s="444">
        <v>1985</v>
      </c>
      <c r="AO22" s="444">
        <v>1986</v>
      </c>
      <c r="AP22" s="444">
        <v>1987</v>
      </c>
      <c r="AQ22" s="444">
        <v>1988</v>
      </c>
      <c r="AR22" s="444">
        <v>1989</v>
      </c>
      <c r="AS22" s="444">
        <v>1990</v>
      </c>
      <c r="AT22" s="444">
        <v>1991</v>
      </c>
      <c r="AU22" s="444">
        <v>1992</v>
      </c>
      <c r="AV22" s="444">
        <v>1993</v>
      </c>
      <c r="AW22" s="444">
        <v>1994</v>
      </c>
      <c r="AX22" s="445">
        <v>1995</v>
      </c>
    </row>
    <row r="23" spans="1:50">
      <c r="A23" s="446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8"/>
    </row>
    <row r="24" spans="1:50">
      <c r="A24" s="446" t="s">
        <v>802</v>
      </c>
      <c r="B24" s="449">
        <v>358.2</v>
      </c>
      <c r="C24" s="449">
        <v>370.47199999999998</v>
      </c>
      <c r="D24" s="449">
        <v>424.19200000000001</v>
      </c>
      <c r="E24" s="449">
        <v>455.58</v>
      </c>
      <c r="F24" s="449">
        <v>451.10399999999998</v>
      </c>
      <c r="G24" s="449">
        <v>494.36799999999999</v>
      </c>
      <c r="H24" s="449">
        <v>501.17700000000002</v>
      </c>
      <c r="I24" s="449">
        <v>497.55799999999999</v>
      </c>
      <c r="J24" s="449">
        <v>548.54100000000005</v>
      </c>
      <c r="K24" s="449">
        <v>564.899</v>
      </c>
      <c r="L24" s="449">
        <v>575.72300000000007</v>
      </c>
      <c r="M24" s="449">
        <v>589.01699999999994</v>
      </c>
      <c r="N24" s="449">
        <v>632</v>
      </c>
      <c r="O24" s="449">
        <v>683</v>
      </c>
      <c r="P24" s="449">
        <v>689.40099999999995</v>
      </c>
      <c r="Q24" s="449">
        <v>729</v>
      </c>
      <c r="R24" s="449">
        <v>754</v>
      </c>
      <c r="S24" s="449">
        <v>769</v>
      </c>
      <c r="T24" s="449">
        <v>775.99400000000003</v>
      </c>
      <c r="U24" s="449">
        <v>812.86900000000003</v>
      </c>
      <c r="V24" s="449">
        <v>854.053</v>
      </c>
      <c r="W24" s="449">
        <v>1020.855</v>
      </c>
      <c r="X24" s="449">
        <v>1037.537</v>
      </c>
      <c r="Y24" s="449">
        <v>1248.2170000000001</v>
      </c>
      <c r="Z24" s="449">
        <v>1434.8359999999998</v>
      </c>
      <c r="AA24" s="449">
        <v>1701.2840000000001</v>
      </c>
      <c r="AB24" s="449">
        <v>2225.38</v>
      </c>
      <c r="AC24" s="449">
        <v>2709.8740000000003</v>
      </c>
      <c r="AD24" s="449">
        <v>3406.8370000000004</v>
      </c>
      <c r="AE24" s="449">
        <v>4310.1899999999996</v>
      </c>
      <c r="AF24" s="449">
        <v>6650</v>
      </c>
      <c r="AG24" s="449">
        <v>9334</v>
      </c>
      <c r="AH24" s="449">
        <v>12276</v>
      </c>
      <c r="AI24" s="449">
        <v>17576</v>
      </c>
      <c r="AJ24" s="449">
        <v>23443</v>
      </c>
      <c r="AK24" s="449">
        <v>32889</v>
      </c>
      <c r="AL24" s="449">
        <v>44892</v>
      </c>
      <c r="AM24" s="449">
        <v>51648</v>
      </c>
      <c r="AN24" s="449">
        <v>70482</v>
      </c>
      <c r="AO24" s="449">
        <v>88872</v>
      </c>
      <c r="AP24" s="449">
        <v>104820</v>
      </c>
      <c r="AQ24" s="449">
        <v>119432</v>
      </c>
      <c r="AR24" s="449">
        <v>146667</v>
      </c>
      <c r="AS24" s="449">
        <v>184855</v>
      </c>
      <c r="AT24" s="449">
        <v>238273</v>
      </c>
      <c r="AU24" s="449">
        <v>329571</v>
      </c>
      <c r="AV24" s="449">
        <v>385050</v>
      </c>
      <c r="AW24" s="449">
        <v>472512</v>
      </c>
      <c r="AX24" s="450">
        <v>574961</v>
      </c>
    </row>
    <row r="25" spans="1:50">
      <c r="A25" s="446" t="s">
        <v>803</v>
      </c>
      <c r="B25" s="449">
        <v>293.2</v>
      </c>
      <c r="C25" s="449">
        <v>307.47199999999998</v>
      </c>
      <c r="D25" s="449">
        <v>334.19200000000001</v>
      </c>
      <c r="E25" s="449">
        <v>363.58</v>
      </c>
      <c r="F25" s="449">
        <v>357.10399999999998</v>
      </c>
      <c r="G25" s="449">
        <v>392.36799999999999</v>
      </c>
      <c r="H25" s="449">
        <v>397.17700000000002</v>
      </c>
      <c r="I25" s="449">
        <v>385.55799999999999</v>
      </c>
      <c r="J25" s="449">
        <v>395.54100000000005</v>
      </c>
      <c r="K25" s="449">
        <v>398.899</v>
      </c>
      <c r="L25" s="449">
        <v>405.72300000000007</v>
      </c>
      <c r="M25" s="449">
        <v>412.01699999999994</v>
      </c>
      <c r="N25" s="449">
        <v>406.88400000000001</v>
      </c>
      <c r="O25" s="449">
        <v>431.15099999999995</v>
      </c>
      <c r="P25" s="449">
        <v>435</v>
      </c>
      <c r="Q25" s="449">
        <v>435.41899999999993</v>
      </c>
      <c r="R25" s="449">
        <v>450.76600000000008</v>
      </c>
      <c r="S25" s="449">
        <v>456.988</v>
      </c>
      <c r="T25" s="449">
        <v>457.45099999999996</v>
      </c>
      <c r="U25" s="449">
        <v>473.52800000000002</v>
      </c>
      <c r="V25" s="449">
        <v>480.38</v>
      </c>
      <c r="W25" s="449">
        <v>614.31899999999996</v>
      </c>
      <c r="X25" s="449">
        <v>624.30899999999997</v>
      </c>
      <c r="Y25" s="449">
        <v>695.37400000000002</v>
      </c>
      <c r="Z25" s="449">
        <v>801.48699999999985</v>
      </c>
      <c r="AA25" s="449">
        <v>980.78600000000017</v>
      </c>
      <c r="AB25" s="449">
        <v>1367.2020000000002</v>
      </c>
      <c r="AC25" s="449">
        <v>1606.1070000000002</v>
      </c>
      <c r="AD25" s="449">
        <v>1722.6420000000005</v>
      </c>
      <c r="AE25" s="449">
        <v>2077.6419999999994</v>
      </c>
      <c r="AF25" s="449">
        <v>3568.7</v>
      </c>
      <c r="AG25" s="449">
        <v>4909</v>
      </c>
      <c r="AH25" s="449">
        <v>7170</v>
      </c>
      <c r="AI25" s="449">
        <v>9768</v>
      </c>
      <c r="AJ25" s="449">
        <v>12711</v>
      </c>
      <c r="AK25" s="449">
        <v>20438</v>
      </c>
      <c r="AL25" s="449">
        <v>28579</v>
      </c>
      <c r="AM25" s="449">
        <v>32381</v>
      </c>
      <c r="AN25" s="449">
        <v>43175</v>
      </c>
      <c r="AO25" s="449">
        <v>55907</v>
      </c>
      <c r="AP25" s="449">
        <v>64337</v>
      </c>
      <c r="AQ25" s="449">
        <v>72654</v>
      </c>
      <c r="AR25" s="449">
        <v>82433</v>
      </c>
      <c r="AS25" s="449">
        <v>97524</v>
      </c>
      <c r="AT25" s="449">
        <v>117001</v>
      </c>
      <c r="AU25" s="449">
        <v>185881</v>
      </c>
      <c r="AV25" s="449">
        <v>248012</v>
      </c>
      <c r="AW25" s="449">
        <v>296549</v>
      </c>
      <c r="AX25" s="450">
        <v>389339</v>
      </c>
    </row>
    <row r="26" spans="1:50">
      <c r="A26" s="446" t="s">
        <v>804</v>
      </c>
      <c r="B26" s="449">
        <v>65</v>
      </c>
      <c r="C26" s="449">
        <v>63</v>
      </c>
      <c r="D26" s="449">
        <v>90</v>
      </c>
      <c r="E26" s="449">
        <v>92</v>
      </c>
      <c r="F26" s="449">
        <v>94</v>
      </c>
      <c r="G26" s="449">
        <v>102</v>
      </c>
      <c r="H26" s="449">
        <v>104</v>
      </c>
      <c r="I26" s="449">
        <v>112</v>
      </c>
      <c r="J26" s="449">
        <v>153</v>
      </c>
      <c r="K26" s="449">
        <v>166</v>
      </c>
      <c r="L26" s="449">
        <v>170</v>
      </c>
      <c r="M26" s="449">
        <v>177</v>
      </c>
      <c r="N26" s="449">
        <v>225.11600000000001</v>
      </c>
      <c r="O26" s="449">
        <v>251.84900000000002</v>
      </c>
      <c r="P26" s="449">
        <v>254.40099999999998</v>
      </c>
      <c r="Q26" s="449">
        <v>293.58100000000007</v>
      </c>
      <c r="R26" s="449">
        <v>303.23399999999992</v>
      </c>
      <c r="S26" s="449">
        <v>312.012</v>
      </c>
      <c r="T26" s="449">
        <v>318.54300000000006</v>
      </c>
      <c r="U26" s="449">
        <v>339.34100000000001</v>
      </c>
      <c r="V26" s="449">
        <v>373.673</v>
      </c>
      <c r="W26" s="449">
        <v>406.53600000000006</v>
      </c>
      <c r="X26" s="449">
        <v>413.22800000000001</v>
      </c>
      <c r="Y26" s="449">
        <v>552.84300000000007</v>
      </c>
      <c r="Z26" s="449">
        <v>633.34899999999993</v>
      </c>
      <c r="AA26" s="449">
        <v>720.49799999999993</v>
      </c>
      <c r="AB26" s="449">
        <v>858.178</v>
      </c>
      <c r="AC26" s="449">
        <v>1103.7670000000001</v>
      </c>
      <c r="AD26" s="449">
        <v>1684.1949999999999</v>
      </c>
      <c r="AE26" s="449">
        <v>2232.5480000000002</v>
      </c>
      <c r="AF26" s="449">
        <v>3081.3</v>
      </c>
      <c r="AG26" s="449">
        <v>4425</v>
      </c>
      <c r="AH26" s="449">
        <v>5106</v>
      </c>
      <c r="AI26" s="449">
        <v>7808</v>
      </c>
      <c r="AJ26" s="449">
        <v>10732</v>
      </c>
      <c r="AK26" s="449">
        <v>12451</v>
      </c>
      <c r="AL26" s="449">
        <v>16313</v>
      </c>
      <c r="AM26" s="449">
        <v>19267</v>
      </c>
      <c r="AN26" s="449">
        <v>27307</v>
      </c>
      <c r="AO26" s="449">
        <v>32965</v>
      </c>
      <c r="AP26" s="449">
        <v>40483</v>
      </c>
      <c r="AQ26" s="449">
        <v>46778</v>
      </c>
      <c r="AR26" s="449">
        <v>64234</v>
      </c>
      <c r="AS26" s="449">
        <v>87331</v>
      </c>
      <c r="AT26" s="449">
        <v>121272</v>
      </c>
      <c r="AU26" s="449">
        <v>143690</v>
      </c>
      <c r="AV26" s="449">
        <v>137038</v>
      </c>
      <c r="AW26" s="449">
        <v>175963</v>
      </c>
      <c r="AX26" s="450">
        <v>185622</v>
      </c>
    </row>
    <row r="27" spans="1:50">
      <c r="A27" s="446"/>
      <c r="B27" s="447"/>
      <c r="C27" s="447"/>
      <c r="D27" s="447"/>
      <c r="E27" s="447"/>
      <c r="F27" s="447"/>
      <c r="G27" s="447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8"/>
    </row>
    <row r="28" spans="1:50">
      <c r="A28" s="446" t="s">
        <v>805</v>
      </c>
      <c r="B28" s="449">
        <v>735.54100000000005</v>
      </c>
      <c r="C28" s="449">
        <v>969.54700000000003</v>
      </c>
      <c r="D28" s="449">
        <v>1055.9735000000001</v>
      </c>
      <c r="E28" s="449">
        <v>1057.7049999999999</v>
      </c>
      <c r="F28" s="449">
        <v>1090.318</v>
      </c>
      <c r="G28" s="449">
        <v>1135.222</v>
      </c>
      <c r="H28" s="449">
        <v>1152.05</v>
      </c>
      <c r="I28" s="449">
        <v>1199.7190000000001</v>
      </c>
      <c r="J28" s="449">
        <v>1380.511</v>
      </c>
      <c r="K28" s="449">
        <v>1480.048</v>
      </c>
      <c r="L28" s="449">
        <v>1636.0910000000001</v>
      </c>
      <c r="M28" s="449">
        <v>1731.2269999999999</v>
      </c>
      <c r="N28" s="449">
        <v>1824.5820000000001</v>
      </c>
      <c r="O28" s="449">
        <v>1961.0340000000001</v>
      </c>
      <c r="P28" s="449">
        <v>2298.611914548439</v>
      </c>
      <c r="Q28" s="449">
        <v>2587.0334882151369</v>
      </c>
      <c r="R28" s="449">
        <v>2982.0976471182289</v>
      </c>
      <c r="S28" s="449">
        <v>3382.7955606428668</v>
      </c>
      <c r="T28" s="449">
        <v>3875.888228789051</v>
      </c>
      <c r="U28" s="449">
        <v>4648.4166515567813</v>
      </c>
      <c r="V28" s="449">
        <v>5221.9228289460571</v>
      </c>
      <c r="W28" s="449">
        <v>5990.3057609568796</v>
      </c>
      <c r="X28" s="449">
        <v>7282.9384475892475</v>
      </c>
      <c r="Y28" s="449">
        <v>8796.2608888431605</v>
      </c>
      <c r="Z28" s="449">
        <v>10746.89108471862</v>
      </c>
      <c r="AA28" s="449">
        <v>13378.866035215626</v>
      </c>
      <c r="AB28" s="449">
        <v>16608.300999999999</v>
      </c>
      <c r="AC28" s="449">
        <v>20702.561000000002</v>
      </c>
      <c r="AD28" s="449">
        <v>32844.175999999999</v>
      </c>
      <c r="AE28" s="449">
        <v>40350.762999999999</v>
      </c>
      <c r="AF28" s="449">
        <v>52625.115559357415</v>
      </c>
      <c r="AG28" s="449">
        <v>61662.83703000001</v>
      </c>
      <c r="AH28" s="449">
        <v>73833.535042100004</v>
      </c>
      <c r="AI28" s="449">
        <v>93920.9</v>
      </c>
      <c r="AJ28" s="449">
        <v>117312.85799999999</v>
      </c>
      <c r="AK28" s="449">
        <v>152677.78700000001</v>
      </c>
      <c r="AL28" s="449">
        <v>187018.20200000002</v>
      </c>
      <c r="AM28" s="449">
        <v>231541.15400000001</v>
      </c>
      <c r="AN28" s="449">
        <v>266601.51199999999</v>
      </c>
      <c r="AO28" s="449">
        <v>396723.74099999998</v>
      </c>
      <c r="AP28" s="449">
        <v>467821.652</v>
      </c>
      <c r="AQ28" s="449">
        <v>542462.63899999997</v>
      </c>
      <c r="AR28" s="449">
        <v>638902.83600000001</v>
      </c>
      <c r="AS28" s="449">
        <v>766937</v>
      </c>
      <c r="AT28" s="449">
        <v>897025</v>
      </c>
      <c r="AU28" s="449">
        <v>1009896</v>
      </c>
      <c r="AV28" s="449">
        <v>1098985</v>
      </c>
      <c r="AW28" s="449">
        <v>1127492</v>
      </c>
      <c r="AX28" s="450">
        <v>1210185</v>
      </c>
    </row>
    <row r="29" spans="1:50">
      <c r="A29" s="446" t="s">
        <v>803</v>
      </c>
      <c r="B29" s="449">
        <v>455.70625000000001</v>
      </c>
      <c r="C29" s="449">
        <v>573.08299999999997</v>
      </c>
      <c r="D29" s="449">
        <v>618.75762499999996</v>
      </c>
      <c r="E29" s="449">
        <v>766.10024999999996</v>
      </c>
      <c r="F29" s="449">
        <v>787.60725000000002</v>
      </c>
      <c r="G29" s="449">
        <v>820.37699999999995</v>
      </c>
      <c r="H29" s="449">
        <v>834.98974999999996</v>
      </c>
      <c r="I29" s="449">
        <v>869.33775000000003</v>
      </c>
      <c r="J29" s="449">
        <v>1004.919</v>
      </c>
      <c r="K29" s="449">
        <v>1073.0452499999999</v>
      </c>
      <c r="L29" s="449">
        <v>1187.8587500000001</v>
      </c>
      <c r="M29" s="449">
        <v>1263.9907499999999</v>
      </c>
      <c r="N29" s="449">
        <v>1335.8854479175725</v>
      </c>
      <c r="O29" s="449">
        <v>1432.5180401319856</v>
      </c>
      <c r="P29" s="449">
        <v>1686.5129750601561</v>
      </c>
      <c r="Q29" s="449">
        <v>1896.8808290144621</v>
      </c>
      <c r="R29" s="449">
        <v>2185.8411599557148</v>
      </c>
      <c r="S29" s="449">
        <v>2479.2892549710023</v>
      </c>
      <c r="T29" s="449">
        <v>2934.4472729464628</v>
      </c>
      <c r="U29" s="449">
        <v>3447.9012254410759</v>
      </c>
      <c r="V29" s="449">
        <v>3885.9242382281154</v>
      </c>
      <c r="W29" s="449">
        <v>4527.3546340259209</v>
      </c>
      <c r="X29" s="449">
        <v>5254.0418430884902</v>
      </c>
      <c r="Y29" s="449">
        <v>6269.4919341647192</v>
      </c>
      <c r="Z29" s="449">
        <v>7630.3642064066426</v>
      </c>
      <c r="AA29" s="449">
        <v>9567.3090181335083</v>
      </c>
      <c r="AB29" s="449">
        <v>11853.265039493774</v>
      </c>
      <c r="AC29" s="449">
        <v>14766.176793798431</v>
      </c>
      <c r="AD29" s="449">
        <v>22934.644552813272</v>
      </c>
      <c r="AE29" s="449">
        <v>28418.546147836547</v>
      </c>
      <c r="AF29" s="449">
        <v>38740.391378961096</v>
      </c>
      <c r="AG29" s="449">
        <v>44929.987460611446</v>
      </c>
      <c r="AH29" s="449">
        <v>54722.884830474432</v>
      </c>
      <c r="AI29" s="449">
        <v>66987.70631098919</v>
      </c>
      <c r="AJ29" s="449">
        <v>83861.368180925507</v>
      </c>
      <c r="AK29" s="449">
        <v>110942.05998661602</v>
      </c>
      <c r="AL29" s="449">
        <v>131380.28179638553</v>
      </c>
      <c r="AM29" s="449">
        <v>165420.28049274452</v>
      </c>
      <c r="AN29" s="449">
        <v>190585.74370725107</v>
      </c>
      <c r="AO29" s="449">
        <v>302209.88588066091</v>
      </c>
      <c r="AP29" s="449">
        <v>332351.8698427999</v>
      </c>
      <c r="AQ29" s="449">
        <v>362021.88776773372</v>
      </c>
      <c r="AR29" s="449">
        <v>425705.6829002141</v>
      </c>
      <c r="AS29" s="449">
        <v>516351</v>
      </c>
      <c r="AT29" s="449">
        <v>594211</v>
      </c>
      <c r="AU29" s="449">
        <v>667838</v>
      </c>
      <c r="AV29" s="449">
        <v>727853</v>
      </c>
      <c r="AW29" s="449">
        <v>733910</v>
      </c>
      <c r="AX29" s="450">
        <v>765540</v>
      </c>
    </row>
    <row r="30" spans="1:50">
      <c r="A30" s="446" t="s">
        <v>804</v>
      </c>
      <c r="B30" s="449">
        <v>279.83475000000004</v>
      </c>
      <c r="C30" s="449">
        <v>396.464</v>
      </c>
      <c r="D30" s="449">
        <v>437.21587499999998</v>
      </c>
      <c r="E30" s="449">
        <v>291.60475000000002</v>
      </c>
      <c r="F30" s="449">
        <v>302.71075000000002</v>
      </c>
      <c r="G30" s="449">
        <v>314.84500000000003</v>
      </c>
      <c r="H30" s="449">
        <v>317.06025</v>
      </c>
      <c r="I30" s="449">
        <v>330.38125000000002</v>
      </c>
      <c r="J30" s="449">
        <v>375.59199999999998</v>
      </c>
      <c r="K30" s="449">
        <v>407.00275000000005</v>
      </c>
      <c r="L30" s="449">
        <v>448.23225000000002</v>
      </c>
      <c r="M30" s="449">
        <v>467.23624999999998</v>
      </c>
      <c r="N30" s="449">
        <v>488.69655208242756</v>
      </c>
      <c r="O30" s="449">
        <v>528.51595986801442</v>
      </c>
      <c r="P30" s="449">
        <v>612.09893948828267</v>
      </c>
      <c r="Q30" s="449">
        <v>690.15265920067475</v>
      </c>
      <c r="R30" s="449">
        <v>796.25648716251408</v>
      </c>
      <c r="S30" s="449">
        <v>903.50630567186477</v>
      </c>
      <c r="T30" s="449">
        <v>941.44095584258821</v>
      </c>
      <c r="U30" s="449">
        <v>1200.5154261157049</v>
      </c>
      <c r="V30" s="449">
        <v>1335.9985907179414</v>
      </c>
      <c r="W30" s="449">
        <v>1462.9511269309589</v>
      </c>
      <c r="X30" s="449">
        <v>2028.8966045007576</v>
      </c>
      <c r="Y30" s="449">
        <v>2526.7689546784418</v>
      </c>
      <c r="Z30" s="449">
        <v>3116.5268783119782</v>
      </c>
      <c r="AA30" s="449">
        <v>3811.5570170821175</v>
      </c>
      <c r="AB30" s="449">
        <v>4755.0359605062267</v>
      </c>
      <c r="AC30" s="449">
        <v>5936.3842062015683</v>
      </c>
      <c r="AD30" s="449">
        <v>9909.5314471867277</v>
      </c>
      <c r="AE30" s="449">
        <v>11932.216852163454</v>
      </c>
      <c r="AF30" s="449">
        <v>12824.323388744731</v>
      </c>
      <c r="AG30" s="449">
        <v>15663.943926926015</v>
      </c>
      <c r="AH30" s="449">
        <v>17734.305502489282</v>
      </c>
      <c r="AI30" s="449">
        <v>24881.972386801437</v>
      </c>
      <c r="AJ30" s="449">
        <v>31000.020344588396</v>
      </c>
      <c r="AK30" s="449">
        <v>38401.050008484133</v>
      </c>
      <c r="AL30" s="449">
        <v>50935.951444510007</v>
      </c>
      <c r="AM30" s="449">
        <v>60584.130964045049</v>
      </c>
      <c r="AN30" s="449">
        <v>69499.867440061513</v>
      </c>
      <c r="AO30" s="449">
        <v>85365.102142148593</v>
      </c>
      <c r="AP30" s="449">
        <v>119678.07781071131</v>
      </c>
      <c r="AQ30" s="449">
        <v>158234.32070790921</v>
      </c>
      <c r="AR30" s="449">
        <v>187888.69589501436</v>
      </c>
      <c r="AS30" s="449">
        <v>221703</v>
      </c>
      <c r="AT30" s="449">
        <v>267668</v>
      </c>
      <c r="AU30" s="449">
        <v>302869</v>
      </c>
      <c r="AV30" s="449">
        <v>325670</v>
      </c>
      <c r="AW30" s="449">
        <v>330960</v>
      </c>
      <c r="AX30" s="450">
        <v>366593</v>
      </c>
    </row>
    <row r="31" spans="1:50" ht="13.5" thickBot="1">
      <c r="A31" s="452" t="s">
        <v>806</v>
      </c>
      <c r="B31" s="453"/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3"/>
      <c r="AC31" s="453"/>
      <c r="AD31" s="453"/>
      <c r="AE31" s="453"/>
      <c r="AF31" s="453">
        <v>1060.4007916515934</v>
      </c>
      <c r="AG31" s="453">
        <v>1068.9056424625437</v>
      </c>
      <c r="AH31" s="453">
        <v>1376.3447091362855</v>
      </c>
      <c r="AI31" s="453">
        <v>2051.2213022093706</v>
      </c>
      <c r="AJ31" s="453">
        <v>2451.4694744860963</v>
      </c>
      <c r="AK31" s="453">
        <v>3334.6770048998551</v>
      </c>
      <c r="AL31" s="453">
        <v>4701.9687591044676</v>
      </c>
      <c r="AM31" s="453">
        <v>5536.7425432104219</v>
      </c>
      <c r="AN31" s="453">
        <v>6515.9008526874277</v>
      </c>
      <c r="AO31" s="453">
        <v>9148.7529771904956</v>
      </c>
      <c r="AP31" s="453">
        <v>15791.704346488801</v>
      </c>
      <c r="AQ31" s="453">
        <v>22206.430524357023</v>
      </c>
      <c r="AR31" s="453">
        <v>25308.457204771545</v>
      </c>
      <c r="AS31" s="453">
        <v>28883</v>
      </c>
      <c r="AT31" s="453">
        <v>35146</v>
      </c>
      <c r="AU31" s="453">
        <v>39189</v>
      </c>
      <c r="AV31" s="453">
        <v>45462</v>
      </c>
      <c r="AW31" s="453">
        <v>62622</v>
      </c>
      <c r="AX31" s="454">
        <v>78052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2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9A17-0A73-4B9F-87A0-747219B5B83E}">
  <sheetPr>
    <pageSetUpPr fitToPage="1"/>
  </sheetPr>
  <dimension ref="A1:BO2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3" sqref="A13"/>
    </sheetView>
  </sheetViews>
  <sheetFormatPr defaultColWidth="9.1796875" defaultRowHeight="13"/>
  <cols>
    <col min="1" max="1" width="45.81640625" style="395" customWidth="1"/>
    <col min="2" max="256" width="9.1796875" style="395"/>
    <col min="257" max="257" width="45.81640625" style="395" customWidth="1"/>
    <col min="258" max="512" width="9.1796875" style="395"/>
    <col min="513" max="513" width="45.81640625" style="395" customWidth="1"/>
    <col min="514" max="768" width="9.1796875" style="395"/>
    <col min="769" max="769" width="45.81640625" style="395" customWidth="1"/>
    <col min="770" max="1024" width="9.1796875" style="395"/>
    <col min="1025" max="1025" width="45.81640625" style="395" customWidth="1"/>
    <col min="1026" max="1280" width="9.1796875" style="395"/>
    <col min="1281" max="1281" width="45.81640625" style="395" customWidth="1"/>
    <col min="1282" max="1536" width="9.1796875" style="395"/>
    <col min="1537" max="1537" width="45.81640625" style="395" customWidth="1"/>
    <col min="1538" max="1792" width="9.1796875" style="395"/>
    <col min="1793" max="1793" width="45.81640625" style="395" customWidth="1"/>
    <col min="1794" max="2048" width="9.1796875" style="395"/>
    <col min="2049" max="2049" width="45.81640625" style="395" customWidth="1"/>
    <col min="2050" max="2304" width="9.1796875" style="395"/>
    <col min="2305" max="2305" width="45.81640625" style="395" customWidth="1"/>
    <col min="2306" max="2560" width="9.1796875" style="395"/>
    <col min="2561" max="2561" width="45.81640625" style="395" customWidth="1"/>
    <col min="2562" max="2816" width="9.1796875" style="395"/>
    <col min="2817" max="2817" width="45.81640625" style="395" customWidth="1"/>
    <col min="2818" max="3072" width="9.1796875" style="395"/>
    <col min="3073" max="3073" width="45.81640625" style="395" customWidth="1"/>
    <col min="3074" max="3328" width="9.1796875" style="395"/>
    <col min="3329" max="3329" width="45.81640625" style="395" customWidth="1"/>
    <col min="3330" max="3584" width="9.1796875" style="395"/>
    <col min="3585" max="3585" width="45.81640625" style="395" customWidth="1"/>
    <col min="3586" max="3840" width="9.1796875" style="395"/>
    <col min="3841" max="3841" width="45.81640625" style="395" customWidth="1"/>
    <col min="3842" max="4096" width="9.1796875" style="395"/>
    <col min="4097" max="4097" width="45.81640625" style="395" customWidth="1"/>
    <col min="4098" max="4352" width="9.1796875" style="395"/>
    <col min="4353" max="4353" width="45.81640625" style="395" customWidth="1"/>
    <col min="4354" max="4608" width="9.1796875" style="395"/>
    <col min="4609" max="4609" width="45.81640625" style="395" customWidth="1"/>
    <col min="4610" max="4864" width="9.1796875" style="395"/>
    <col min="4865" max="4865" width="45.81640625" style="395" customWidth="1"/>
    <col min="4866" max="5120" width="9.1796875" style="395"/>
    <col min="5121" max="5121" width="45.81640625" style="395" customWidth="1"/>
    <col min="5122" max="5376" width="9.1796875" style="395"/>
    <col min="5377" max="5377" width="45.81640625" style="395" customWidth="1"/>
    <col min="5378" max="5632" width="9.1796875" style="395"/>
    <col min="5633" max="5633" width="45.81640625" style="395" customWidth="1"/>
    <col min="5634" max="5888" width="9.1796875" style="395"/>
    <col min="5889" max="5889" width="45.81640625" style="395" customWidth="1"/>
    <col min="5890" max="6144" width="9.1796875" style="395"/>
    <col min="6145" max="6145" width="45.81640625" style="395" customWidth="1"/>
    <col min="6146" max="6400" width="9.1796875" style="395"/>
    <col min="6401" max="6401" width="45.81640625" style="395" customWidth="1"/>
    <col min="6402" max="6656" width="9.1796875" style="395"/>
    <col min="6657" max="6657" width="45.81640625" style="395" customWidth="1"/>
    <col min="6658" max="6912" width="9.1796875" style="395"/>
    <col min="6913" max="6913" width="45.81640625" style="395" customWidth="1"/>
    <col min="6914" max="7168" width="9.1796875" style="395"/>
    <col min="7169" max="7169" width="45.81640625" style="395" customWidth="1"/>
    <col min="7170" max="7424" width="9.1796875" style="395"/>
    <col min="7425" max="7425" width="45.81640625" style="395" customWidth="1"/>
    <col min="7426" max="7680" width="9.1796875" style="395"/>
    <col min="7681" max="7681" width="45.81640625" style="395" customWidth="1"/>
    <col min="7682" max="7936" width="9.1796875" style="395"/>
    <col min="7937" max="7937" width="45.81640625" style="395" customWidth="1"/>
    <col min="7938" max="8192" width="9.1796875" style="395"/>
    <col min="8193" max="8193" width="45.81640625" style="395" customWidth="1"/>
    <col min="8194" max="8448" width="9.1796875" style="395"/>
    <col min="8449" max="8449" width="45.81640625" style="395" customWidth="1"/>
    <col min="8450" max="8704" width="9.1796875" style="395"/>
    <col min="8705" max="8705" width="45.81640625" style="395" customWidth="1"/>
    <col min="8706" max="8960" width="9.1796875" style="395"/>
    <col min="8961" max="8961" width="45.81640625" style="395" customWidth="1"/>
    <col min="8962" max="9216" width="9.1796875" style="395"/>
    <col min="9217" max="9217" width="45.81640625" style="395" customWidth="1"/>
    <col min="9218" max="9472" width="9.1796875" style="395"/>
    <col min="9473" max="9473" width="45.81640625" style="395" customWidth="1"/>
    <col min="9474" max="9728" width="9.1796875" style="395"/>
    <col min="9729" max="9729" width="45.81640625" style="395" customWidth="1"/>
    <col min="9730" max="9984" width="9.1796875" style="395"/>
    <col min="9985" max="9985" width="45.81640625" style="395" customWidth="1"/>
    <col min="9986" max="10240" width="9.1796875" style="395"/>
    <col min="10241" max="10241" width="45.81640625" style="395" customWidth="1"/>
    <col min="10242" max="10496" width="9.1796875" style="395"/>
    <col min="10497" max="10497" width="45.81640625" style="395" customWidth="1"/>
    <col min="10498" max="10752" width="9.1796875" style="395"/>
    <col min="10753" max="10753" width="45.81640625" style="395" customWidth="1"/>
    <col min="10754" max="11008" width="9.1796875" style="395"/>
    <col min="11009" max="11009" width="45.81640625" style="395" customWidth="1"/>
    <col min="11010" max="11264" width="9.1796875" style="395"/>
    <col min="11265" max="11265" width="45.81640625" style="395" customWidth="1"/>
    <col min="11266" max="11520" width="9.1796875" style="395"/>
    <col min="11521" max="11521" width="45.81640625" style="395" customWidth="1"/>
    <col min="11522" max="11776" width="9.1796875" style="395"/>
    <col min="11777" max="11777" width="45.81640625" style="395" customWidth="1"/>
    <col min="11778" max="12032" width="9.1796875" style="395"/>
    <col min="12033" max="12033" width="45.81640625" style="395" customWidth="1"/>
    <col min="12034" max="12288" width="9.1796875" style="395"/>
    <col min="12289" max="12289" width="45.81640625" style="395" customWidth="1"/>
    <col min="12290" max="12544" width="9.1796875" style="395"/>
    <col min="12545" max="12545" width="45.81640625" style="395" customWidth="1"/>
    <col min="12546" max="12800" width="9.1796875" style="395"/>
    <col min="12801" max="12801" width="45.81640625" style="395" customWidth="1"/>
    <col min="12802" max="13056" width="9.1796875" style="395"/>
    <col min="13057" max="13057" width="45.81640625" style="395" customWidth="1"/>
    <col min="13058" max="13312" width="9.1796875" style="395"/>
    <col min="13313" max="13313" width="45.81640625" style="395" customWidth="1"/>
    <col min="13314" max="13568" width="9.1796875" style="395"/>
    <col min="13569" max="13569" width="45.81640625" style="395" customWidth="1"/>
    <col min="13570" max="13824" width="9.1796875" style="395"/>
    <col min="13825" max="13825" width="45.81640625" style="395" customWidth="1"/>
    <col min="13826" max="14080" width="9.1796875" style="395"/>
    <col min="14081" max="14081" width="45.81640625" style="395" customWidth="1"/>
    <col min="14082" max="14336" width="9.1796875" style="395"/>
    <col min="14337" max="14337" width="45.81640625" style="395" customWidth="1"/>
    <col min="14338" max="14592" width="9.1796875" style="395"/>
    <col min="14593" max="14593" width="45.81640625" style="395" customWidth="1"/>
    <col min="14594" max="14848" width="9.1796875" style="395"/>
    <col min="14849" max="14849" width="45.81640625" style="395" customWidth="1"/>
    <col min="14850" max="15104" width="9.1796875" style="395"/>
    <col min="15105" max="15105" width="45.81640625" style="395" customWidth="1"/>
    <col min="15106" max="15360" width="9.1796875" style="395"/>
    <col min="15361" max="15361" width="45.81640625" style="395" customWidth="1"/>
    <col min="15362" max="15616" width="9.1796875" style="395"/>
    <col min="15617" max="15617" width="45.81640625" style="395" customWidth="1"/>
    <col min="15618" max="15872" width="9.1796875" style="395"/>
    <col min="15873" max="15873" width="45.81640625" style="395" customWidth="1"/>
    <col min="15874" max="16128" width="9.1796875" style="395"/>
    <col min="16129" max="16129" width="45.81640625" style="395" customWidth="1"/>
    <col min="16130" max="16384" width="9.1796875" style="395"/>
  </cols>
  <sheetData>
    <row r="1" spans="1:67">
      <c r="A1" s="440" t="s">
        <v>807</v>
      </c>
    </row>
    <row r="2" spans="1:67">
      <c r="A2" s="395" t="s">
        <v>192</v>
      </c>
      <c r="C2" s="440"/>
    </row>
    <row r="3" spans="1:67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</row>
    <row r="4" spans="1:67" s="462" customFormat="1">
      <c r="A4" s="466"/>
      <c r="B4" s="467">
        <v>1947</v>
      </c>
      <c r="C4" s="467">
        <v>1948</v>
      </c>
      <c r="D4" s="467">
        <v>1949</v>
      </c>
      <c r="E4" s="467">
        <v>1950</v>
      </c>
      <c r="F4" s="467">
        <v>1951</v>
      </c>
      <c r="G4" s="467">
        <v>1952</v>
      </c>
      <c r="H4" s="467">
        <v>1953</v>
      </c>
      <c r="I4" s="467">
        <v>1954</v>
      </c>
      <c r="J4" s="467">
        <v>1955</v>
      </c>
      <c r="K4" s="467">
        <v>1956</v>
      </c>
      <c r="L4" s="467">
        <v>1957</v>
      </c>
      <c r="M4" s="467">
        <v>1958</v>
      </c>
      <c r="N4" s="467">
        <v>1959</v>
      </c>
      <c r="O4" s="467">
        <v>1960</v>
      </c>
      <c r="P4" s="467">
        <v>1961</v>
      </c>
      <c r="Q4" s="467">
        <v>1962</v>
      </c>
      <c r="R4" s="467">
        <v>1963</v>
      </c>
      <c r="S4" s="467">
        <v>1964</v>
      </c>
      <c r="T4" s="467">
        <v>1965</v>
      </c>
      <c r="U4" s="467">
        <v>1966</v>
      </c>
      <c r="V4" s="467">
        <v>1967</v>
      </c>
      <c r="W4" s="467">
        <v>1968</v>
      </c>
      <c r="X4" s="467">
        <v>1969</v>
      </c>
      <c r="Y4" s="467">
        <v>1970</v>
      </c>
      <c r="Z4" s="467">
        <v>1971</v>
      </c>
      <c r="AA4" s="467">
        <v>1972</v>
      </c>
      <c r="AB4" s="467">
        <v>1973</v>
      </c>
      <c r="AC4" s="467">
        <v>1974</v>
      </c>
      <c r="AD4" s="467">
        <v>1975</v>
      </c>
      <c r="AE4" s="467">
        <v>1976</v>
      </c>
      <c r="AF4" s="467">
        <v>1977</v>
      </c>
      <c r="AG4" s="467">
        <v>1978</v>
      </c>
      <c r="AH4" s="467">
        <v>1979</v>
      </c>
      <c r="AI4" s="467">
        <v>1980</v>
      </c>
      <c r="AJ4" s="467">
        <v>1981</v>
      </c>
      <c r="AK4" s="467">
        <v>1982</v>
      </c>
      <c r="AL4" s="467">
        <v>1983</v>
      </c>
      <c r="AM4" s="467">
        <v>1984</v>
      </c>
      <c r="AN4" s="467">
        <v>1985</v>
      </c>
      <c r="AO4" s="467">
        <v>1986</v>
      </c>
      <c r="AP4" s="467">
        <v>1987</v>
      </c>
      <c r="AQ4" s="467">
        <v>1988</v>
      </c>
      <c r="AR4" s="467">
        <v>1989</v>
      </c>
      <c r="AS4" s="467">
        <v>1990</v>
      </c>
      <c r="AT4" s="467">
        <v>1991</v>
      </c>
      <c r="AU4" s="467">
        <v>1992</v>
      </c>
      <c r="AV4" s="467">
        <v>1993</v>
      </c>
      <c r="AW4" s="467">
        <v>1994</v>
      </c>
      <c r="AX4" s="467">
        <v>1995</v>
      </c>
      <c r="AY4" s="395"/>
      <c r="AZ4" s="395"/>
      <c r="BA4" s="395"/>
      <c r="BB4" s="395"/>
      <c r="BC4" s="395"/>
      <c r="BD4" s="395"/>
      <c r="BE4" s="395"/>
      <c r="BF4" s="395"/>
      <c r="BG4" s="395"/>
      <c r="BH4" s="395"/>
      <c r="BI4" s="395"/>
      <c r="BJ4" s="395"/>
      <c r="BK4" s="395"/>
      <c r="BL4" s="395"/>
      <c r="BM4" s="395"/>
      <c r="BN4" s="395"/>
      <c r="BO4" s="395"/>
    </row>
    <row r="5" spans="1:67">
      <c r="A5" s="468"/>
      <c r="B5" s="468"/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468"/>
      <c r="AQ5" s="468"/>
      <c r="AR5" s="468"/>
      <c r="AS5" s="468"/>
      <c r="AT5" s="468"/>
      <c r="AU5" s="468"/>
      <c r="AV5" s="468"/>
      <c r="AW5" s="468"/>
      <c r="AX5" s="469"/>
    </row>
    <row r="6" spans="1:67">
      <c r="A6" s="468" t="s">
        <v>808</v>
      </c>
      <c r="B6" s="470">
        <v>1163.4549993480277</v>
      </c>
      <c r="C6" s="470">
        <v>1303.563379959752</v>
      </c>
      <c r="D6" s="470">
        <v>1711.0924961709816</v>
      </c>
      <c r="E6" s="470">
        <v>1733.6046650265532</v>
      </c>
      <c r="F6" s="470">
        <v>1858.5940901622243</v>
      </c>
      <c r="G6" s="470">
        <v>1896.3337583915118</v>
      </c>
      <c r="H6" s="470">
        <v>1906.9692860559651</v>
      </c>
      <c r="I6" s="470">
        <v>1829.2576839434157</v>
      </c>
      <c r="J6" s="470">
        <v>1826.812106260149</v>
      </c>
      <c r="K6" s="470">
        <v>2136.8914691267146</v>
      </c>
      <c r="L6" s="470">
        <v>2420.6658621253969</v>
      </c>
      <c r="M6" s="470">
        <v>2536.588121088942</v>
      </c>
      <c r="N6" s="470">
        <v>2642.6761109075655</v>
      </c>
      <c r="O6" s="470">
        <v>2748.2308544350308</v>
      </c>
      <c r="P6" s="470">
        <v>3396.306403006703</v>
      </c>
      <c r="Q6" s="470">
        <v>3968.4753258257429</v>
      </c>
      <c r="R6" s="470">
        <v>4117.4447964088622</v>
      </c>
      <c r="S6" s="470">
        <v>4937.9178121495406</v>
      </c>
      <c r="T6" s="470">
        <v>5471.2131840000347</v>
      </c>
      <c r="U6" s="470">
        <v>6168.9549182186338</v>
      </c>
      <c r="V6" s="470">
        <v>8414.3784811208443</v>
      </c>
      <c r="W6" s="470">
        <v>9517.7832579304431</v>
      </c>
      <c r="X6" s="470">
        <v>10474.597390792398</v>
      </c>
      <c r="Y6" s="470">
        <v>13315.261631583515</v>
      </c>
      <c r="Z6" s="470">
        <v>13689.057851875456</v>
      </c>
      <c r="AA6" s="470">
        <v>15628.582327992603</v>
      </c>
      <c r="AB6" s="470">
        <v>19288.887134117649</v>
      </c>
      <c r="AC6" s="470">
        <v>24055.260430588241</v>
      </c>
      <c r="AD6" s="470">
        <v>27933.970837058823</v>
      </c>
      <c r="AE6" s="470">
        <v>40297.023323529414</v>
      </c>
      <c r="AF6" s="470">
        <v>54933.337641025639</v>
      </c>
      <c r="AG6" s="470">
        <v>68146.982959623507</v>
      </c>
      <c r="AH6" s="470">
        <v>87467.397058678645</v>
      </c>
      <c r="AI6" s="470">
        <v>136688.01276265382</v>
      </c>
      <c r="AJ6" s="470">
        <v>166875.99851228725</v>
      </c>
      <c r="AK6" s="470">
        <v>218385.1110038239</v>
      </c>
      <c r="AL6" s="470">
        <v>293191.29452262085</v>
      </c>
      <c r="AM6" s="470">
        <v>342257.30657108908</v>
      </c>
      <c r="AN6" s="470">
        <v>433154.00293729175</v>
      </c>
      <c r="AO6" s="470">
        <v>370621</v>
      </c>
      <c r="AP6" s="470">
        <v>384993</v>
      </c>
      <c r="AQ6" s="470">
        <v>482126</v>
      </c>
      <c r="AR6" s="470">
        <v>514946</v>
      </c>
      <c r="AS6" s="470">
        <v>613428</v>
      </c>
      <c r="AT6" s="470">
        <v>735104</v>
      </c>
      <c r="AU6" s="470">
        <v>835888</v>
      </c>
      <c r="AV6" s="470">
        <v>850092</v>
      </c>
      <c r="AW6" s="470">
        <v>886888</v>
      </c>
      <c r="AX6" s="408">
        <v>894260</v>
      </c>
    </row>
    <row r="7" spans="1:67" ht="12.75" customHeight="1">
      <c r="A7" s="468" t="s">
        <v>809</v>
      </c>
      <c r="B7" s="470">
        <v>547.05667009434853</v>
      </c>
      <c r="C7" s="470">
        <v>559.85030054851813</v>
      </c>
      <c r="D7" s="470">
        <v>611.67133374741479</v>
      </c>
      <c r="E7" s="470">
        <v>639.9618231967097</v>
      </c>
      <c r="F7" s="470">
        <v>673.67204959317291</v>
      </c>
      <c r="G7" s="470">
        <v>710.2072434308966</v>
      </c>
      <c r="H7" s="470">
        <v>739.31716882778699</v>
      </c>
      <c r="I7" s="470">
        <v>772.07152269528331</v>
      </c>
      <c r="J7" s="470">
        <v>846.99418715823379</v>
      </c>
      <c r="K7" s="470">
        <v>916.73219082804349</v>
      </c>
      <c r="L7" s="470">
        <v>984.29481605453793</v>
      </c>
      <c r="M7" s="470">
        <v>1041.4359251571577</v>
      </c>
      <c r="N7" s="470">
        <v>1085.3065925185554</v>
      </c>
      <c r="O7" s="470">
        <v>1129.5530296650581</v>
      </c>
      <c r="P7" s="470">
        <v>1218.5014442393408</v>
      </c>
      <c r="Q7" s="470">
        <v>1331.5833985301608</v>
      </c>
      <c r="R7" s="470">
        <v>1396.7920697461116</v>
      </c>
      <c r="S7" s="470">
        <v>1566.4863419471894</v>
      </c>
      <c r="T7" s="470">
        <v>1894.4402349916643</v>
      </c>
      <c r="U7" s="470">
        <v>2276.3716309534589</v>
      </c>
      <c r="V7" s="470">
        <v>2576.6797223459716</v>
      </c>
      <c r="W7" s="470">
        <v>2931.8331112543542</v>
      </c>
      <c r="X7" s="470">
        <v>3182.1118916716014</v>
      </c>
      <c r="Y7" s="470">
        <v>3623.5636352941169</v>
      </c>
      <c r="Z7" s="470">
        <v>4210.3361088235297</v>
      </c>
      <c r="AA7" s="470">
        <v>4606.8444823529417</v>
      </c>
      <c r="AB7" s="470">
        <v>5577.6510558823529</v>
      </c>
      <c r="AC7" s="470">
        <v>6630.3615294117644</v>
      </c>
      <c r="AD7" s="470">
        <v>7800.5077029411759</v>
      </c>
      <c r="AE7" s="470">
        <v>10843.615776470589</v>
      </c>
      <c r="AF7" s="470">
        <v>13306.68135897436</v>
      </c>
      <c r="AG7" s="470">
        <v>16433.181046153844</v>
      </c>
      <c r="AH7" s="470">
        <v>21651.834144081327</v>
      </c>
      <c r="AI7" s="470">
        <v>29211.185404012867</v>
      </c>
      <c r="AJ7" s="470">
        <v>35563.367209934986</v>
      </c>
      <c r="AK7" s="470">
        <v>45258.440773953895</v>
      </c>
      <c r="AL7" s="470">
        <v>56172.9989107125</v>
      </c>
      <c r="AM7" s="470">
        <v>79979.43281779984</v>
      </c>
      <c r="AN7" s="470">
        <v>100375.05000715271</v>
      </c>
      <c r="AO7" s="470">
        <v>63954</v>
      </c>
      <c r="AP7" s="470">
        <v>65087</v>
      </c>
      <c r="AQ7" s="470">
        <v>78242</v>
      </c>
      <c r="AR7" s="470">
        <v>84743</v>
      </c>
      <c r="AS7" s="470">
        <v>101576</v>
      </c>
      <c r="AT7" s="470">
        <v>104684</v>
      </c>
      <c r="AU7" s="470">
        <v>115706</v>
      </c>
      <c r="AV7" s="470">
        <v>136543</v>
      </c>
      <c r="AW7" s="470">
        <v>150066</v>
      </c>
      <c r="AX7" s="408">
        <v>156711</v>
      </c>
    </row>
    <row r="8" spans="1:67">
      <c r="A8" s="468" t="s">
        <v>810</v>
      </c>
      <c r="B8" s="470">
        <v>1130.963</v>
      </c>
      <c r="C8" s="470">
        <v>1020.537</v>
      </c>
      <c r="D8" s="470">
        <v>1017.7059999999999</v>
      </c>
      <c r="E8" s="470">
        <v>1038.1790000000001</v>
      </c>
      <c r="F8" s="470">
        <v>1241.2</v>
      </c>
      <c r="G8" s="470">
        <v>1377.1589000000001</v>
      </c>
      <c r="H8" s="470">
        <v>1262.143</v>
      </c>
      <c r="I8" s="470">
        <v>1421.75</v>
      </c>
      <c r="J8" s="470">
        <v>1583.1559999999999</v>
      </c>
      <c r="K8" s="470">
        <v>1676.3530000000001</v>
      </c>
      <c r="L8" s="470">
        <v>1788.4769999999999</v>
      </c>
      <c r="M8" s="470">
        <v>1818.432</v>
      </c>
      <c r="N8" s="470">
        <v>1937.3209999999999</v>
      </c>
      <c r="O8" s="470">
        <v>2222.598</v>
      </c>
      <c r="P8" s="470">
        <v>2499.1060000000002</v>
      </c>
      <c r="Q8" s="470">
        <v>2259.3370000000004</v>
      </c>
      <c r="R8" s="470">
        <v>2364.56</v>
      </c>
      <c r="S8" s="470">
        <v>2186.0970000000002</v>
      </c>
      <c r="T8" s="470">
        <v>2837.5310000000004</v>
      </c>
      <c r="U8" s="470">
        <v>2832.19076</v>
      </c>
      <c r="V8" s="470">
        <v>3124.0868399999999</v>
      </c>
      <c r="W8" s="470">
        <v>3253.5894399999997</v>
      </c>
      <c r="X8" s="470">
        <v>3711.4851600000002</v>
      </c>
      <c r="Y8" s="470">
        <v>4365.7491599999994</v>
      </c>
      <c r="Z8" s="470">
        <v>4490.5950800000001</v>
      </c>
      <c r="AA8" s="470">
        <v>5024.0851600000005</v>
      </c>
      <c r="AB8" s="470">
        <v>5325.9317600000004</v>
      </c>
      <c r="AC8" s="470">
        <v>5919.3806400000003</v>
      </c>
      <c r="AD8" s="470">
        <v>6493.2745599999998</v>
      </c>
      <c r="AE8" s="470">
        <v>10219.92</v>
      </c>
      <c r="AF8" s="470">
        <v>14826.4</v>
      </c>
      <c r="AG8" s="470">
        <v>13849.344444444447</v>
      </c>
      <c r="AH8" s="470">
        <v>12642.888888888889</v>
      </c>
      <c r="AI8" s="470">
        <v>16253.333333333334</v>
      </c>
      <c r="AJ8" s="470">
        <v>21749.177777777779</v>
      </c>
      <c r="AK8" s="470">
        <v>25062.022222222222</v>
      </c>
      <c r="AL8" s="470">
        <v>35126.866666666661</v>
      </c>
      <c r="AM8" s="470">
        <v>29381.711111111108</v>
      </c>
      <c r="AN8" s="470">
        <v>39061.555555555555</v>
      </c>
      <c r="AO8" s="470">
        <v>28817</v>
      </c>
      <c r="AP8" s="470">
        <v>39924</v>
      </c>
      <c r="AQ8" s="470">
        <v>48630</v>
      </c>
      <c r="AR8" s="470">
        <v>51533</v>
      </c>
      <c r="AS8" s="470">
        <v>64924</v>
      </c>
      <c r="AT8" s="470">
        <v>40697</v>
      </c>
      <c r="AU8" s="470">
        <v>41695</v>
      </c>
      <c r="AV8" s="470">
        <v>26629</v>
      </c>
      <c r="AW8" s="470">
        <v>34341</v>
      </c>
      <c r="AX8" s="408">
        <v>45237</v>
      </c>
    </row>
    <row r="9" spans="1:67">
      <c r="A9" s="468" t="s">
        <v>811</v>
      </c>
      <c r="B9" s="470"/>
      <c r="C9" s="470"/>
      <c r="D9" s="470"/>
      <c r="E9" s="470"/>
      <c r="F9" s="470"/>
      <c r="G9" s="470"/>
      <c r="H9" s="470"/>
      <c r="I9" s="470"/>
      <c r="J9" s="470"/>
      <c r="K9" s="470"/>
      <c r="L9" s="470"/>
      <c r="M9" s="470"/>
      <c r="N9" s="470"/>
      <c r="O9" s="470"/>
      <c r="P9" s="470"/>
      <c r="Q9" s="470"/>
      <c r="R9" s="470"/>
      <c r="S9" s="470"/>
      <c r="T9" s="470"/>
      <c r="U9" s="470"/>
      <c r="V9" s="470"/>
      <c r="W9" s="470"/>
      <c r="X9" s="470"/>
      <c r="Y9" s="470"/>
      <c r="Z9" s="470"/>
      <c r="AA9" s="470"/>
      <c r="AB9" s="470"/>
      <c r="AC9" s="470"/>
      <c r="AD9" s="470"/>
      <c r="AE9" s="470"/>
      <c r="AF9" s="470"/>
      <c r="AG9" s="470"/>
      <c r="AH9" s="470"/>
      <c r="AI9" s="470"/>
      <c r="AJ9" s="470"/>
      <c r="AK9" s="470"/>
      <c r="AL9" s="470"/>
      <c r="AM9" s="470"/>
      <c r="AN9" s="470"/>
      <c r="AO9" s="470">
        <v>289147</v>
      </c>
      <c r="AP9" s="470">
        <v>354215</v>
      </c>
      <c r="AQ9" s="470">
        <v>408019</v>
      </c>
      <c r="AR9" s="470">
        <v>476852</v>
      </c>
      <c r="AS9" s="470">
        <v>543197</v>
      </c>
      <c r="AT9" s="470">
        <v>627690</v>
      </c>
      <c r="AU9" s="470">
        <v>810982</v>
      </c>
      <c r="AV9" s="470">
        <v>781128</v>
      </c>
      <c r="AW9" s="470">
        <v>944461</v>
      </c>
      <c r="AX9" s="408">
        <v>1109422</v>
      </c>
    </row>
    <row r="10" spans="1:67">
      <c r="A10" s="468"/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70"/>
      <c r="P10" s="470"/>
      <c r="Q10" s="470"/>
      <c r="R10" s="470"/>
      <c r="S10" s="470"/>
      <c r="T10" s="470"/>
      <c r="U10" s="470"/>
      <c r="V10" s="470"/>
      <c r="W10" s="470"/>
      <c r="X10" s="470"/>
      <c r="Y10" s="470"/>
      <c r="Z10" s="470"/>
      <c r="AA10" s="470"/>
      <c r="AB10" s="470"/>
      <c r="AC10" s="470"/>
      <c r="AD10" s="470"/>
      <c r="AE10" s="470"/>
      <c r="AF10" s="470"/>
      <c r="AG10" s="470"/>
      <c r="AH10" s="470"/>
      <c r="AI10" s="470"/>
      <c r="AJ10" s="470"/>
      <c r="AK10" s="470"/>
      <c r="AL10" s="470"/>
      <c r="AM10" s="470"/>
      <c r="AN10" s="470"/>
      <c r="AO10" s="470"/>
      <c r="AP10" s="470"/>
      <c r="AQ10" s="470"/>
      <c r="AR10" s="470"/>
      <c r="AS10" s="470"/>
      <c r="AT10" s="470"/>
      <c r="AU10" s="470"/>
      <c r="AV10" s="470"/>
      <c r="AW10" s="470"/>
      <c r="AX10" s="408"/>
    </row>
    <row r="11" spans="1:67" ht="13.5" thickBot="1">
      <c r="A11" s="471" t="s">
        <v>32</v>
      </c>
      <c r="B11" s="472">
        <v>2841.4746694423766</v>
      </c>
      <c r="C11" s="472">
        <v>2883.9506805082701</v>
      </c>
      <c r="D11" s="472">
        <v>3340.4698299183965</v>
      </c>
      <c r="E11" s="472">
        <v>3411.7454882232632</v>
      </c>
      <c r="F11" s="472">
        <v>3773.4661397553973</v>
      </c>
      <c r="G11" s="472">
        <v>3983.6999018224087</v>
      </c>
      <c r="H11" s="472">
        <v>3908.429454883752</v>
      </c>
      <c r="I11" s="472">
        <v>4023.0792066386989</v>
      </c>
      <c r="J11" s="472">
        <v>4256.9622934183826</v>
      </c>
      <c r="K11" s="472">
        <v>4729.9766599547584</v>
      </c>
      <c r="L11" s="472">
        <v>5193.4376781799347</v>
      </c>
      <c r="M11" s="472">
        <v>5396.4560462460995</v>
      </c>
      <c r="N11" s="472">
        <v>5665.3037034261206</v>
      </c>
      <c r="O11" s="472">
        <v>6100.3818841000884</v>
      </c>
      <c r="P11" s="472">
        <v>7113.9138472460436</v>
      </c>
      <c r="Q11" s="472">
        <v>7559.3957243559043</v>
      </c>
      <c r="R11" s="472">
        <v>7878.796866154973</v>
      </c>
      <c r="S11" s="472">
        <v>8690.5011540967298</v>
      </c>
      <c r="T11" s="472">
        <v>10203.184418991699</v>
      </c>
      <c r="U11" s="472">
        <v>11277.517309172092</v>
      </c>
      <c r="V11" s="472">
        <v>14115.145043466815</v>
      </c>
      <c r="W11" s="472">
        <v>15703.205809184798</v>
      </c>
      <c r="X11" s="472">
        <v>17368.194442463999</v>
      </c>
      <c r="Y11" s="472">
        <v>21304.574426877633</v>
      </c>
      <c r="Z11" s="472">
        <v>22389.989040698983</v>
      </c>
      <c r="AA11" s="472">
        <v>25259.511970345542</v>
      </c>
      <c r="AB11" s="472">
        <v>30192.469950000002</v>
      </c>
      <c r="AC11" s="472">
        <v>36605.002600000007</v>
      </c>
      <c r="AD11" s="472">
        <v>42227.753099999994</v>
      </c>
      <c r="AE11" s="472">
        <v>61360.559099999999</v>
      </c>
      <c r="AF11" s="472">
        <v>83066.418999999994</v>
      </c>
      <c r="AG11" s="472">
        <v>98429.508450221794</v>
      </c>
      <c r="AH11" s="472">
        <v>121762.12009164886</v>
      </c>
      <c r="AI11" s="472">
        <v>182152.53150000001</v>
      </c>
      <c r="AJ11" s="472">
        <v>224188.5435</v>
      </c>
      <c r="AK11" s="472">
        <v>288705.57400000002</v>
      </c>
      <c r="AL11" s="472">
        <v>384491.16009999998</v>
      </c>
      <c r="AM11" s="472">
        <v>451618.45050000004</v>
      </c>
      <c r="AN11" s="472">
        <v>572590.60849999997</v>
      </c>
      <c r="AO11" s="472">
        <v>752539</v>
      </c>
      <c r="AP11" s="472">
        <v>844219</v>
      </c>
      <c r="AQ11" s="472">
        <v>1017017</v>
      </c>
      <c r="AR11" s="472">
        <v>1128074</v>
      </c>
      <c r="AS11" s="472">
        <v>1323125</v>
      </c>
      <c r="AT11" s="472">
        <v>1508175</v>
      </c>
      <c r="AU11" s="472">
        <v>1804271</v>
      </c>
      <c r="AV11" s="472">
        <v>1794392</v>
      </c>
      <c r="AW11" s="472">
        <v>2015756</v>
      </c>
      <c r="AX11" s="473">
        <v>2205630</v>
      </c>
    </row>
    <row r="13" spans="1:67">
      <c r="A13" s="440" t="s">
        <v>812</v>
      </c>
    </row>
    <row r="14" spans="1:67">
      <c r="A14" s="395" t="s">
        <v>192</v>
      </c>
      <c r="D14" s="440"/>
    </row>
    <row r="16" spans="1:67">
      <c r="A16" s="440" t="s">
        <v>813</v>
      </c>
      <c r="D16" s="440"/>
    </row>
    <row r="17" spans="1:50" ht="13.5" thickBot="1">
      <c r="A17" s="442"/>
      <c r="B17" s="442"/>
      <c r="C17" s="442"/>
      <c r="D17" s="442"/>
      <c r="E17" s="442"/>
      <c r="F17" s="442"/>
      <c r="G17" s="442"/>
      <c r="H17" s="442"/>
      <c r="I17" s="442"/>
      <c r="J17" s="442"/>
      <c r="K17" s="442"/>
      <c r="L17" s="442"/>
      <c r="M17" s="442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</row>
    <row r="18" spans="1:50">
      <c r="A18" s="443"/>
      <c r="B18" s="444">
        <v>1947</v>
      </c>
      <c r="C18" s="444">
        <v>1948</v>
      </c>
      <c r="D18" s="444">
        <v>1949</v>
      </c>
      <c r="E18" s="444">
        <v>1950</v>
      </c>
      <c r="F18" s="444">
        <v>1951</v>
      </c>
      <c r="G18" s="444">
        <v>1952</v>
      </c>
      <c r="H18" s="444">
        <v>1953</v>
      </c>
      <c r="I18" s="444">
        <v>1954</v>
      </c>
      <c r="J18" s="444">
        <v>1955</v>
      </c>
      <c r="K18" s="444">
        <v>1956</v>
      </c>
      <c r="L18" s="444">
        <v>1957</v>
      </c>
      <c r="M18" s="444">
        <v>1958</v>
      </c>
      <c r="N18" s="444">
        <v>1959</v>
      </c>
      <c r="O18" s="444">
        <v>1960</v>
      </c>
      <c r="P18" s="444">
        <v>1961</v>
      </c>
      <c r="Q18" s="444">
        <v>1962</v>
      </c>
      <c r="R18" s="444">
        <v>1963</v>
      </c>
      <c r="S18" s="444">
        <v>1964</v>
      </c>
      <c r="T18" s="444">
        <v>1965</v>
      </c>
      <c r="U18" s="444">
        <v>1966</v>
      </c>
      <c r="V18" s="444">
        <v>1967</v>
      </c>
      <c r="W18" s="444">
        <v>1968</v>
      </c>
      <c r="X18" s="444">
        <v>1969</v>
      </c>
      <c r="Y18" s="444">
        <v>1970</v>
      </c>
      <c r="Z18" s="444">
        <v>1971</v>
      </c>
      <c r="AA18" s="444">
        <v>1972</v>
      </c>
      <c r="AB18" s="444">
        <v>1973</v>
      </c>
      <c r="AC18" s="444">
        <v>1974</v>
      </c>
      <c r="AD18" s="444">
        <v>1975</v>
      </c>
      <c r="AE18" s="444">
        <v>1976</v>
      </c>
      <c r="AF18" s="444">
        <v>1977</v>
      </c>
      <c r="AG18" s="444">
        <v>1978</v>
      </c>
      <c r="AH18" s="444">
        <v>1979</v>
      </c>
      <c r="AI18" s="444">
        <v>1980</v>
      </c>
      <c r="AJ18" s="444">
        <v>1981</v>
      </c>
      <c r="AK18" s="444">
        <v>1982</v>
      </c>
      <c r="AL18" s="444">
        <v>1983</v>
      </c>
      <c r="AM18" s="444">
        <v>1984</v>
      </c>
      <c r="AN18" s="444">
        <v>1985</v>
      </c>
      <c r="AO18" s="444">
        <v>1986</v>
      </c>
      <c r="AP18" s="444">
        <v>1987</v>
      </c>
      <c r="AQ18" s="444">
        <v>1988</v>
      </c>
      <c r="AR18" s="444">
        <v>1989</v>
      </c>
      <c r="AS18" s="444">
        <v>1990</v>
      </c>
      <c r="AT18" s="444">
        <v>1991</v>
      </c>
      <c r="AU18" s="444">
        <v>1992</v>
      </c>
      <c r="AV18" s="444">
        <v>1993</v>
      </c>
      <c r="AW18" s="444">
        <v>1994</v>
      </c>
      <c r="AX18" s="445">
        <v>1995</v>
      </c>
    </row>
    <row r="19" spans="1:50">
      <c r="A19" s="446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8"/>
    </row>
    <row r="20" spans="1:50">
      <c r="A20" s="446" t="s">
        <v>814</v>
      </c>
      <c r="B20" s="449">
        <v>1768.9737573816162</v>
      </c>
      <c r="C20" s="449">
        <v>1920.9592914370496</v>
      </c>
      <c r="D20" s="449">
        <v>2245.8508005108984</v>
      </c>
      <c r="E20" s="449">
        <v>2264.6296091244863</v>
      </c>
      <c r="F20" s="449">
        <v>2331.7585102733401</v>
      </c>
      <c r="G20" s="449">
        <v>2487.5043015707738</v>
      </c>
      <c r="H20" s="449">
        <v>2577.244301024205</v>
      </c>
      <c r="I20" s="449">
        <v>2712.2611584311016</v>
      </c>
      <c r="J20" s="449">
        <v>2939.7719745970626</v>
      </c>
      <c r="K20" s="449">
        <v>3034.4146901092117</v>
      </c>
      <c r="L20" s="449">
        <v>3152.8809616484295</v>
      </c>
      <c r="M20" s="449">
        <v>3289.8406166005361</v>
      </c>
      <c r="N20" s="449">
        <v>4235.2964308646287</v>
      </c>
      <c r="O20" s="449">
        <v>4431.428152273751</v>
      </c>
      <c r="P20" s="449">
        <v>5458.2738663940281</v>
      </c>
      <c r="Q20" s="449">
        <v>6120.1508895702036</v>
      </c>
      <c r="R20" s="449">
        <v>6462.887784416881</v>
      </c>
      <c r="S20" s="449">
        <v>6862.4299878803276</v>
      </c>
      <c r="T20" s="449">
        <v>7175.9865453683224</v>
      </c>
      <c r="U20" s="449">
        <v>8119.0781044728883</v>
      </c>
      <c r="V20" s="449">
        <v>9842.9401608920798</v>
      </c>
      <c r="W20" s="449">
        <v>10642.391821209771</v>
      </c>
      <c r="X20" s="449">
        <v>11394.043822837581</v>
      </c>
      <c r="Y20" s="449">
        <v>13954.279475393992</v>
      </c>
      <c r="Z20" s="449">
        <v>15046.129755916405</v>
      </c>
      <c r="AA20" s="449">
        <v>18715.812062831701</v>
      </c>
      <c r="AB20" s="449">
        <v>21427.548584563894</v>
      </c>
      <c r="AC20" s="449">
        <v>26312.748810103389</v>
      </c>
      <c r="AD20" s="449">
        <v>37856.950319989148</v>
      </c>
      <c r="AE20" s="449">
        <v>48756.140837288061</v>
      </c>
      <c r="AF20" s="449">
        <v>64273.506517839007</v>
      </c>
      <c r="AG20" s="449">
        <v>81287.747480819729</v>
      </c>
      <c r="AH20" s="449">
        <v>100761.83648294765</v>
      </c>
      <c r="AI20" s="449">
        <v>134386.30625420192</v>
      </c>
      <c r="AJ20" s="449">
        <v>162050.15753175074</v>
      </c>
      <c r="AK20" s="449">
        <v>192516.83419277001</v>
      </c>
      <c r="AL20" s="449">
        <v>237631.25611342443</v>
      </c>
      <c r="AM20" s="449">
        <v>290887.75686998962</v>
      </c>
      <c r="AN20" s="449">
        <v>365914.57397977333</v>
      </c>
      <c r="AO20" s="449">
        <v>450878</v>
      </c>
      <c r="AP20" s="449">
        <v>529527</v>
      </c>
      <c r="AQ20" s="449">
        <v>667208</v>
      </c>
      <c r="AR20" s="449">
        <v>843186.5</v>
      </c>
      <c r="AS20" s="449">
        <v>1035597</v>
      </c>
      <c r="AT20" s="449">
        <v>1301215</v>
      </c>
      <c r="AU20" s="449">
        <v>1510048</v>
      </c>
      <c r="AV20" s="449">
        <v>1578129</v>
      </c>
      <c r="AW20" s="449">
        <v>1644946</v>
      </c>
      <c r="AX20" s="450">
        <v>1754219</v>
      </c>
    </row>
    <row r="21" spans="1:50">
      <c r="A21" s="446" t="s">
        <v>815</v>
      </c>
      <c r="B21" s="449">
        <v>237.46838938522563</v>
      </c>
      <c r="C21" s="449">
        <v>252.6362342364977</v>
      </c>
      <c r="D21" s="449">
        <v>278.52658071413441</v>
      </c>
      <c r="E21" s="449">
        <v>299.78837299927176</v>
      </c>
      <c r="F21" s="449">
        <v>299.46724231880165</v>
      </c>
      <c r="G21" s="449">
        <v>325.02934072144046</v>
      </c>
      <c r="H21" s="449">
        <v>335.66271686800599</v>
      </c>
      <c r="I21" s="449">
        <v>327.20332504862836</v>
      </c>
      <c r="J21" s="449">
        <v>326.88230372809858</v>
      </c>
      <c r="K21" s="449">
        <v>330.1604398377122</v>
      </c>
      <c r="L21" s="449">
        <v>329.2574872294316</v>
      </c>
      <c r="M21" s="449">
        <v>337.50932230798207</v>
      </c>
      <c r="N21" s="449">
        <v>334.62799999999999</v>
      </c>
      <c r="O21" s="449">
        <v>337.38463507221758</v>
      </c>
      <c r="P21" s="449">
        <v>340.87618520311429</v>
      </c>
      <c r="Q21" s="449">
        <v>340.57618354750787</v>
      </c>
      <c r="R21" s="449">
        <v>354.56710087227117</v>
      </c>
      <c r="S21" s="449">
        <v>368.49186020085875</v>
      </c>
      <c r="T21" s="449">
        <v>362.54266949999999</v>
      </c>
      <c r="U21" s="449">
        <v>376.89052150000003</v>
      </c>
      <c r="V21" s="449">
        <v>404.21156150000002</v>
      </c>
      <c r="W21" s="449">
        <v>526.34135400000002</v>
      </c>
      <c r="X21" s="449">
        <v>553.68968599999994</v>
      </c>
      <c r="Y21" s="449">
        <v>676.11305624673389</v>
      </c>
      <c r="Z21" s="449">
        <v>858.22295079434411</v>
      </c>
      <c r="AA21" s="449">
        <v>946.84487814031786</v>
      </c>
      <c r="AB21" s="449">
        <v>1372.5811093346992</v>
      </c>
      <c r="AC21" s="449">
        <v>1632.0124168758857</v>
      </c>
      <c r="AD21" s="449">
        <v>1768.119501967624</v>
      </c>
      <c r="AE21" s="449">
        <v>2269.880575000001</v>
      </c>
      <c r="AF21" s="449">
        <v>4797.5269683806391</v>
      </c>
      <c r="AG21" s="449">
        <v>5912.8662301501772</v>
      </c>
      <c r="AH21" s="449">
        <v>7783.9321546114625</v>
      </c>
      <c r="AI21" s="449">
        <v>10445.984216247834</v>
      </c>
      <c r="AJ21" s="449">
        <v>13561.471366923382</v>
      </c>
      <c r="AK21" s="449">
        <v>18439.098036920921</v>
      </c>
      <c r="AL21" s="449">
        <v>26567.820213896739</v>
      </c>
      <c r="AM21" s="449">
        <v>30186.911074995067</v>
      </c>
      <c r="AN21" s="449">
        <v>39028.206342563448</v>
      </c>
      <c r="AO21" s="449">
        <v>48101</v>
      </c>
      <c r="AP21" s="449">
        <v>55637</v>
      </c>
      <c r="AQ21" s="449">
        <v>62823</v>
      </c>
      <c r="AR21" s="449">
        <v>72077</v>
      </c>
      <c r="AS21" s="449">
        <v>85127</v>
      </c>
      <c r="AT21" s="449">
        <v>101809</v>
      </c>
      <c r="AU21" s="449">
        <v>164163</v>
      </c>
      <c r="AV21" s="449">
        <v>223029</v>
      </c>
      <c r="AW21" s="449">
        <v>258944</v>
      </c>
      <c r="AX21" s="450">
        <v>343550</v>
      </c>
    </row>
    <row r="22" spans="1:50">
      <c r="A22" s="446" t="s">
        <v>816</v>
      </c>
      <c r="B22" s="449">
        <v>139.42774586372735</v>
      </c>
      <c r="C22" s="449">
        <v>146.80646372920947</v>
      </c>
      <c r="D22" s="449">
        <v>180.38194794301091</v>
      </c>
      <c r="E22" s="449">
        <v>181.11718970203847</v>
      </c>
      <c r="F22" s="449">
        <v>177.34442532603376</v>
      </c>
      <c r="G22" s="449">
        <v>193.84921062479401</v>
      </c>
      <c r="H22" s="449">
        <v>195.85608181721142</v>
      </c>
      <c r="I22" s="449">
        <v>202.69873897072557</v>
      </c>
      <c r="J22" s="449">
        <v>231.79208793260869</v>
      </c>
      <c r="K22" s="449">
        <v>237.78421550333877</v>
      </c>
      <c r="L22" s="449">
        <v>250.98192030673312</v>
      </c>
      <c r="M22" s="449">
        <v>287.51409192024346</v>
      </c>
      <c r="N22" s="449">
        <v>321.35969057814651</v>
      </c>
      <c r="O22" s="449">
        <v>341.93236641446543</v>
      </c>
      <c r="P22" s="449">
        <v>411.50794266359082</v>
      </c>
      <c r="Q22" s="449">
        <v>439.40446181208893</v>
      </c>
      <c r="R22" s="449">
        <v>450.36454590340429</v>
      </c>
      <c r="S22" s="449">
        <v>474.08718648780751</v>
      </c>
      <c r="T22" s="449">
        <v>490.03252215224944</v>
      </c>
      <c r="U22" s="449">
        <v>503.43464077483964</v>
      </c>
      <c r="V22" s="449">
        <v>539.29574684761508</v>
      </c>
      <c r="W22" s="449">
        <v>558.99218084021766</v>
      </c>
      <c r="X22" s="449">
        <v>569.17079323354767</v>
      </c>
      <c r="Y22" s="449">
        <v>674.80757781205091</v>
      </c>
      <c r="Z22" s="449">
        <v>771.91076383603013</v>
      </c>
      <c r="AA22" s="449">
        <v>1173.0793293670215</v>
      </c>
      <c r="AB22" s="449">
        <v>1443.067165245295</v>
      </c>
      <c r="AC22" s="449">
        <v>1516.8051443814361</v>
      </c>
      <c r="AD22" s="449">
        <v>1792.1314447786317</v>
      </c>
      <c r="AE22" s="449">
        <v>2284.5250852757258</v>
      </c>
      <c r="AF22" s="449">
        <v>3058.0959873610996</v>
      </c>
      <c r="AG22" s="449">
        <v>3619.1162668255897</v>
      </c>
      <c r="AH22" s="449">
        <v>4890.6614141869713</v>
      </c>
      <c r="AI22" s="449">
        <v>7298.1885992015314</v>
      </c>
      <c r="AJ22" s="449">
        <v>8863.2879415455318</v>
      </c>
      <c r="AK22" s="449">
        <v>13229.028547132848</v>
      </c>
      <c r="AL22" s="449">
        <v>16920.740400067116</v>
      </c>
      <c r="AM22" s="449">
        <v>20723.824927958154</v>
      </c>
      <c r="AN22" s="449">
        <v>23813.166948988586</v>
      </c>
      <c r="AO22" s="449">
        <v>31263</v>
      </c>
      <c r="AP22" s="449">
        <v>43831</v>
      </c>
      <c r="AQ22" s="449">
        <v>52118</v>
      </c>
      <c r="AR22" s="449">
        <v>63586</v>
      </c>
      <c r="AS22" s="449">
        <v>74668</v>
      </c>
      <c r="AT22" s="449">
        <v>91927</v>
      </c>
      <c r="AU22" s="449">
        <v>118544</v>
      </c>
      <c r="AV22" s="449">
        <v>143006</v>
      </c>
      <c r="AW22" s="449">
        <v>124483</v>
      </c>
      <c r="AX22" s="450">
        <v>103640</v>
      </c>
    </row>
    <row r="23" spans="1:50">
      <c r="A23" s="446"/>
      <c r="B23" s="449"/>
      <c r="C23" s="449"/>
      <c r="D23" s="449"/>
      <c r="E23" s="449"/>
      <c r="F23" s="449"/>
      <c r="G23" s="449"/>
      <c r="H23" s="449"/>
      <c r="I23" s="449"/>
      <c r="J23" s="449"/>
      <c r="K23" s="449"/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  <c r="AA23" s="449"/>
      <c r="AB23" s="449"/>
      <c r="AC23" s="449"/>
      <c r="AD23" s="449"/>
      <c r="AE23" s="449"/>
      <c r="AF23" s="449"/>
      <c r="AG23" s="449"/>
      <c r="AH23" s="449"/>
      <c r="AI23" s="449"/>
      <c r="AJ23" s="449"/>
      <c r="AK23" s="449"/>
      <c r="AL23" s="449"/>
      <c r="AM23" s="449"/>
      <c r="AN23" s="449"/>
      <c r="AO23" s="449"/>
      <c r="AP23" s="449"/>
      <c r="AQ23" s="449"/>
      <c r="AR23" s="449"/>
      <c r="AS23" s="449"/>
      <c r="AT23" s="449"/>
      <c r="AU23" s="449"/>
      <c r="AV23" s="449"/>
      <c r="AW23" s="449"/>
      <c r="AX23" s="450"/>
    </row>
    <row r="24" spans="1:50" ht="13.5" thickBot="1">
      <c r="A24" s="452" t="s">
        <v>32</v>
      </c>
      <c r="B24" s="453">
        <v>2145.8698926305692</v>
      </c>
      <c r="C24" s="453">
        <v>2320.401989402757</v>
      </c>
      <c r="D24" s="453">
        <v>2704.7593291680437</v>
      </c>
      <c r="E24" s="453">
        <v>2745.5351718257966</v>
      </c>
      <c r="F24" s="453">
        <v>2808.5701779181754</v>
      </c>
      <c r="G24" s="453">
        <v>3006.3828529170082</v>
      </c>
      <c r="H24" s="453">
        <v>3108.7630997094225</v>
      </c>
      <c r="I24" s="453">
        <v>3242.1632224504556</v>
      </c>
      <c r="J24" s="453">
        <v>3498.44636625777</v>
      </c>
      <c r="K24" s="453">
        <v>3602.3593454502625</v>
      </c>
      <c r="L24" s="453">
        <v>3733.1203691845944</v>
      </c>
      <c r="M24" s="453">
        <v>3914.8640308287618</v>
      </c>
      <c r="N24" s="453">
        <v>4891.2841214427754</v>
      </c>
      <c r="O24" s="453">
        <v>5110.7451537604347</v>
      </c>
      <c r="P24" s="453">
        <v>6210.6579942607332</v>
      </c>
      <c r="Q24" s="453">
        <v>6900.1315349298002</v>
      </c>
      <c r="R24" s="453">
        <v>7267.8194311925563</v>
      </c>
      <c r="S24" s="453">
        <v>7705.0090345689932</v>
      </c>
      <c r="T24" s="453">
        <v>8028.5617370205719</v>
      </c>
      <c r="U24" s="453">
        <v>8999.4032667477277</v>
      </c>
      <c r="V24" s="453">
        <v>10786.447469239694</v>
      </c>
      <c r="W24" s="453">
        <v>11727.725356049988</v>
      </c>
      <c r="X24" s="453">
        <v>12516.904302071129</v>
      </c>
      <c r="Y24" s="453">
        <v>15305.200109452777</v>
      </c>
      <c r="Z24" s="453">
        <v>16676.263470546779</v>
      </c>
      <c r="AA24" s="453">
        <v>20835.736270339039</v>
      </c>
      <c r="AB24" s="453">
        <v>24243.196859143889</v>
      </c>
      <c r="AC24" s="453">
        <v>29461.56637136071</v>
      </c>
      <c r="AD24" s="453">
        <v>41417.201266735407</v>
      </c>
      <c r="AE24" s="453">
        <v>53310.546497563788</v>
      </c>
      <c r="AF24" s="453">
        <v>72129.129473580746</v>
      </c>
      <c r="AG24" s="453">
        <v>90819.72997779549</v>
      </c>
      <c r="AH24" s="453">
        <v>113436.43005174608</v>
      </c>
      <c r="AI24" s="453">
        <v>152130.47906965128</v>
      </c>
      <c r="AJ24" s="453">
        <v>184474.91684021967</v>
      </c>
      <c r="AK24" s="453">
        <v>224184.96077682378</v>
      </c>
      <c r="AL24" s="453">
        <v>281119.8167273883</v>
      </c>
      <c r="AM24" s="453">
        <v>341798.49287294282</v>
      </c>
      <c r="AN24" s="453">
        <v>428755.94727132533</v>
      </c>
      <c r="AO24" s="453">
        <v>530242</v>
      </c>
      <c r="AP24" s="453">
        <v>628995</v>
      </c>
      <c r="AQ24" s="453">
        <v>782149</v>
      </c>
      <c r="AR24" s="453">
        <v>978849.5</v>
      </c>
      <c r="AS24" s="453">
        <v>1195392</v>
      </c>
      <c r="AT24" s="453">
        <v>1494951</v>
      </c>
      <c r="AU24" s="453">
        <v>1792755</v>
      </c>
      <c r="AV24" s="453">
        <v>1944164</v>
      </c>
      <c r="AW24" s="453">
        <v>2028373</v>
      </c>
      <c r="AX24" s="454">
        <v>2201409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85A7-BC22-4473-8BE0-969E26828237}">
  <sheetPr>
    <pageSetUpPr fitToPage="1"/>
  </sheetPr>
  <dimension ref="A1:BA31"/>
  <sheetViews>
    <sheetView showGridLines="0" workbookViewId="0">
      <pane xSplit="1" ySplit="4" topLeftCell="B5" activePane="bottomRight" state="frozen"/>
      <selection activeCell="A20" sqref="A20"/>
      <selection pane="topRight" activeCell="A20" sqref="A20"/>
      <selection pane="bottomLeft" activeCell="A20" sqref="A20"/>
      <selection pane="bottomRight" activeCell="A16" sqref="A16"/>
    </sheetView>
  </sheetViews>
  <sheetFormatPr defaultColWidth="9.1796875" defaultRowHeight="13"/>
  <cols>
    <col min="1" max="1" width="37.81640625" style="395" customWidth="1"/>
    <col min="2" max="47" width="9.1796875" style="395"/>
    <col min="48" max="50" width="10.7265625" style="395" customWidth="1"/>
    <col min="51" max="256" width="9.1796875" style="395"/>
    <col min="257" max="257" width="37.81640625" style="395" customWidth="1"/>
    <col min="258" max="303" width="9.1796875" style="395"/>
    <col min="304" max="306" width="10.7265625" style="395" customWidth="1"/>
    <col min="307" max="512" width="9.1796875" style="395"/>
    <col min="513" max="513" width="37.81640625" style="395" customWidth="1"/>
    <col min="514" max="559" width="9.1796875" style="395"/>
    <col min="560" max="562" width="10.7265625" style="395" customWidth="1"/>
    <col min="563" max="768" width="9.1796875" style="395"/>
    <col min="769" max="769" width="37.81640625" style="395" customWidth="1"/>
    <col min="770" max="815" width="9.1796875" style="395"/>
    <col min="816" max="818" width="10.7265625" style="395" customWidth="1"/>
    <col min="819" max="1024" width="9.1796875" style="395"/>
    <col min="1025" max="1025" width="37.81640625" style="395" customWidth="1"/>
    <col min="1026" max="1071" width="9.1796875" style="395"/>
    <col min="1072" max="1074" width="10.7265625" style="395" customWidth="1"/>
    <col min="1075" max="1280" width="9.1796875" style="395"/>
    <col min="1281" max="1281" width="37.81640625" style="395" customWidth="1"/>
    <col min="1282" max="1327" width="9.1796875" style="395"/>
    <col min="1328" max="1330" width="10.7265625" style="395" customWidth="1"/>
    <col min="1331" max="1536" width="9.1796875" style="395"/>
    <col min="1537" max="1537" width="37.81640625" style="395" customWidth="1"/>
    <col min="1538" max="1583" width="9.1796875" style="395"/>
    <col min="1584" max="1586" width="10.7265625" style="395" customWidth="1"/>
    <col min="1587" max="1792" width="9.1796875" style="395"/>
    <col min="1793" max="1793" width="37.81640625" style="395" customWidth="1"/>
    <col min="1794" max="1839" width="9.1796875" style="395"/>
    <col min="1840" max="1842" width="10.7265625" style="395" customWidth="1"/>
    <col min="1843" max="2048" width="9.1796875" style="395"/>
    <col min="2049" max="2049" width="37.81640625" style="395" customWidth="1"/>
    <col min="2050" max="2095" width="9.1796875" style="395"/>
    <col min="2096" max="2098" width="10.7265625" style="395" customWidth="1"/>
    <col min="2099" max="2304" width="9.1796875" style="395"/>
    <col min="2305" max="2305" width="37.81640625" style="395" customWidth="1"/>
    <col min="2306" max="2351" width="9.1796875" style="395"/>
    <col min="2352" max="2354" width="10.7265625" style="395" customWidth="1"/>
    <col min="2355" max="2560" width="9.1796875" style="395"/>
    <col min="2561" max="2561" width="37.81640625" style="395" customWidth="1"/>
    <col min="2562" max="2607" width="9.1796875" style="395"/>
    <col min="2608" max="2610" width="10.7265625" style="395" customWidth="1"/>
    <col min="2611" max="2816" width="9.1796875" style="395"/>
    <col min="2817" max="2817" width="37.81640625" style="395" customWidth="1"/>
    <col min="2818" max="2863" width="9.1796875" style="395"/>
    <col min="2864" max="2866" width="10.7265625" style="395" customWidth="1"/>
    <col min="2867" max="3072" width="9.1796875" style="395"/>
    <col min="3073" max="3073" width="37.81640625" style="395" customWidth="1"/>
    <col min="3074" max="3119" width="9.1796875" style="395"/>
    <col min="3120" max="3122" width="10.7265625" style="395" customWidth="1"/>
    <col min="3123" max="3328" width="9.1796875" style="395"/>
    <col min="3329" max="3329" width="37.81640625" style="395" customWidth="1"/>
    <col min="3330" max="3375" width="9.1796875" style="395"/>
    <col min="3376" max="3378" width="10.7265625" style="395" customWidth="1"/>
    <col min="3379" max="3584" width="9.1796875" style="395"/>
    <col min="3585" max="3585" width="37.81640625" style="395" customWidth="1"/>
    <col min="3586" max="3631" width="9.1796875" style="395"/>
    <col min="3632" max="3634" width="10.7265625" style="395" customWidth="1"/>
    <col min="3635" max="3840" width="9.1796875" style="395"/>
    <col min="3841" max="3841" width="37.81640625" style="395" customWidth="1"/>
    <col min="3842" max="3887" width="9.1796875" style="395"/>
    <col min="3888" max="3890" width="10.7265625" style="395" customWidth="1"/>
    <col min="3891" max="4096" width="9.1796875" style="395"/>
    <col min="4097" max="4097" width="37.81640625" style="395" customWidth="1"/>
    <col min="4098" max="4143" width="9.1796875" style="395"/>
    <col min="4144" max="4146" width="10.7265625" style="395" customWidth="1"/>
    <col min="4147" max="4352" width="9.1796875" style="395"/>
    <col min="4353" max="4353" width="37.81640625" style="395" customWidth="1"/>
    <col min="4354" max="4399" width="9.1796875" style="395"/>
    <col min="4400" max="4402" width="10.7265625" style="395" customWidth="1"/>
    <col min="4403" max="4608" width="9.1796875" style="395"/>
    <col min="4609" max="4609" width="37.81640625" style="395" customWidth="1"/>
    <col min="4610" max="4655" width="9.1796875" style="395"/>
    <col min="4656" max="4658" width="10.7265625" style="395" customWidth="1"/>
    <col min="4659" max="4864" width="9.1796875" style="395"/>
    <col min="4865" max="4865" width="37.81640625" style="395" customWidth="1"/>
    <col min="4866" max="4911" width="9.1796875" style="395"/>
    <col min="4912" max="4914" width="10.7265625" style="395" customWidth="1"/>
    <col min="4915" max="5120" width="9.1796875" style="395"/>
    <col min="5121" max="5121" width="37.81640625" style="395" customWidth="1"/>
    <col min="5122" max="5167" width="9.1796875" style="395"/>
    <col min="5168" max="5170" width="10.7265625" style="395" customWidth="1"/>
    <col min="5171" max="5376" width="9.1796875" style="395"/>
    <col min="5377" max="5377" width="37.81640625" style="395" customWidth="1"/>
    <col min="5378" max="5423" width="9.1796875" style="395"/>
    <col min="5424" max="5426" width="10.7265625" style="395" customWidth="1"/>
    <col min="5427" max="5632" width="9.1796875" style="395"/>
    <col min="5633" max="5633" width="37.81640625" style="395" customWidth="1"/>
    <col min="5634" max="5679" width="9.1796875" style="395"/>
    <col min="5680" max="5682" width="10.7265625" style="395" customWidth="1"/>
    <col min="5683" max="5888" width="9.1796875" style="395"/>
    <col min="5889" max="5889" width="37.81640625" style="395" customWidth="1"/>
    <col min="5890" max="5935" width="9.1796875" style="395"/>
    <col min="5936" max="5938" width="10.7265625" style="395" customWidth="1"/>
    <col min="5939" max="6144" width="9.1796875" style="395"/>
    <col min="6145" max="6145" width="37.81640625" style="395" customWidth="1"/>
    <col min="6146" max="6191" width="9.1796875" style="395"/>
    <col min="6192" max="6194" width="10.7265625" style="395" customWidth="1"/>
    <col min="6195" max="6400" width="9.1796875" style="395"/>
    <col min="6401" max="6401" width="37.81640625" style="395" customWidth="1"/>
    <col min="6402" max="6447" width="9.1796875" style="395"/>
    <col min="6448" max="6450" width="10.7265625" style="395" customWidth="1"/>
    <col min="6451" max="6656" width="9.1796875" style="395"/>
    <col min="6657" max="6657" width="37.81640625" style="395" customWidth="1"/>
    <col min="6658" max="6703" width="9.1796875" style="395"/>
    <col min="6704" max="6706" width="10.7265625" style="395" customWidth="1"/>
    <col min="6707" max="6912" width="9.1796875" style="395"/>
    <col min="6913" max="6913" width="37.81640625" style="395" customWidth="1"/>
    <col min="6914" max="6959" width="9.1796875" style="395"/>
    <col min="6960" max="6962" width="10.7265625" style="395" customWidth="1"/>
    <col min="6963" max="7168" width="9.1796875" style="395"/>
    <col min="7169" max="7169" width="37.81640625" style="395" customWidth="1"/>
    <col min="7170" max="7215" width="9.1796875" style="395"/>
    <col min="7216" max="7218" width="10.7265625" style="395" customWidth="1"/>
    <col min="7219" max="7424" width="9.1796875" style="395"/>
    <col min="7425" max="7425" width="37.81640625" style="395" customWidth="1"/>
    <col min="7426" max="7471" width="9.1796875" style="395"/>
    <col min="7472" max="7474" width="10.7265625" style="395" customWidth="1"/>
    <col min="7475" max="7680" width="9.1796875" style="395"/>
    <col min="7681" max="7681" width="37.81640625" style="395" customWidth="1"/>
    <col min="7682" max="7727" width="9.1796875" style="395"/>
    <col min="7728" max="7730" width="10.7265625" style="395" customWidth="1"/>
    <col min="7731" max="7936" width="9.1796875" style="395"/>
    <col min="7937" max="7937" width="37.81640625" style="395" customWidth="1"/>
    <col min="7938" max="7983" width="9.1796875" style="395"/>
    <col min="7984" max="7986" width="10.7265625" style="395" customWidth="1"/>
    <col min="7987" max="8192" width="9.1796875" style="395"/>
    <col min="8193" max="8193" width="37.81640625" style="395" customWidth="1"/>
    <col min="8194" max="8239" width="9.1796875" style="395"/>
    <col min="8240" max="8242" width="10.7265625" style="395" customWidth="1"/>
    <col min="8243" max="8448" width="9.1796875" style="395"/>
    <col min="8449" max="8449" width="37.81640625" style="395" customWidth="1"/>
    <col min="8450" max="8495" width="9.1796875" style="395"/>
    <col min="8496" max="8498" width="10.7265625" style="395" customWidth="1"/>
    <col min="8499" max="8704" width="9.1796875" style="395"/>
    <col min="8705" max="8705" width="37.81640625" style="395" customWidth="1"/>
    <col min="8706" max="8751" width="9.1796875" style="395"/>
    <col min="8752" max="8754" width="10.7265625" style="395" customWidth="1"/>
    <col min="8755" max="8960" width="9.1796875" style="395"/>
    <col min="8961" max="8961" width="37.81640625" style="395" customWidth="1"/>
    <col min="8962" max="9007" width="9.1796875" style="395"/>
    <col min="9008" max="9010" width="10.7265625" style="395" customWidth="1"/>
    <col min="9011" max="9216" width="9.1796875" style="395"/>
    <col min="9217" max="9217" width="37.81640625" style="395" customWidth="1"/>
    <col min="9218" max="9263" width="9.1796875" style="395"/>
    <col min="9264" max="9266" width="10.7265625" style="395" customWidth="1"/>
    <col min="9267" max="9472" width="9.1796875" style="395"/>
    <col min="9473" max="9473" width="37.81640625" style="395" customWidth="1"/>
    <col min="9474" max="9519" width="9.1796875" style="395"/>
    <col min="9520" max="9522" width="10.7265625" style="395" customWidth="1"/>
    <col min="9523" max="9728" width="9.1796875" style="395"/>
    <col min="9729" max="9729" width="37.81640625" style="395" customWidth="1"/>
    <col min="9730" max="9775" width="9.1796875" style="395"/>
    <col min="9776" max="9778" width="10.7265625" style="395" customWidth="1"/>
    <col min="9779" max="9984" width="9.1796875" style="395"/>
    <col min="9985" max="9985" width="37.81640625" style="395" customWidth="1"/>
    <col min="9986" max="10031" width="9.1796875" style="395"/>
    <col min="10032" max="10034" width="10.7265625" style="395" customWidth="1"/>
    <col min="10035" max="10240" width="9.1796875" style="395"/>
    <col min="10241" max="10241" width="37.81640625" style="395" customWidth="1"/>
    <col min="10242" max="10287" width="9.1796875" style="395"/>
    <col min="10288" max="10290" width="10.7265625" style="395" customWidth="1"/>
    <col min="10291" max="10496" width="9.1796875" style="395"/>
    <col min="10497" max="10497" width="37.81640625" style="395" customWidth="1"/>
    <col min="10498" max="10543" width="9.1796875" style="395"/>
    <col min="10544" max="10546" width="10.7265625" style="395" customWidth="1"/>
    <col min="10547" max="10752" width="9.1796875" style="395"/>
    <col min="10753" max="10753" width="37.81640625" style="395" customWidth="1"/>
    <col min="10754" max="10799" width="9.1796875" style="395"/>
    <col min="10800" max="10802" width="10.7265625" style="395" customWidth="1"/>
    <col min="10803" max="11008" width="9.1796875" style="395"/>
    <col min="11009" max="11009" width="37.81640625" style="395" customWidth="1"/>
    <col min="11010" max="11055" width="9.1796875" style="395"/>
    <col min="11056" max="11058" width="10.7265625" style="395" customWidth="1"/>
    <col min="11059" max="11264" width="9.1796875" style="395"/>
    <col min="11265" max="11265" width="37.81640625" style="395" customWidth="1"/>
    <col min="11266" max="11311" width="9.1796875" style="395"/>
    <col min="11312" max="11314" width="10.7265625" style="395" customWidth="1"/>
    <col min="11315" max="11520" width="9.1796875" style="395"/>
    <col min="11521" max="11521" width="37.81640625" style="395" customWidth="1"/>
    <col min="11522" max="11567" width="9.1796875" style="395"/>
    <col min="11568" max="11570" width="10.7265625" style="395" customWidth="1"/>
    <col min="11571" max="11776" width="9.1796875" style="395"/>
    <col min="11777" max="11777" width="37.81640625" style="395" customWidth="1"/>
    <col min="11778" max="11823" width="9.1796875" style="395"/>
    <col min="11824" max="11826" width="10.7265625" style="395" customWidth="1"/>
    <col min="11827" max="12032" width="9.1796875" style="395"/>
    <col min="12033" max="12033" width="37.81640625" style="395" customWidth="1"/>
    <col min="12034" max="12079" width="9.1796875" style="395"/>
    <col min="12080" max="12082" width="10.7265625" style="395" customWidth="1"/>
    <col min="12083" max="12288" width="9.1796875" style="395"/>
    <col min="12289" max="12289" width="37.81640625" style="395" customWidth="1"/>
    <col min="12290" max="12335" width="9.1796875" style="395"/>
    <col min="12336" max="12338" width="10.7265625" style="395" customWidth="1"/>
    <col min="12339" max="12544" width="9.1796875" style="395"/>
    <col min="12545" max="12545" width="37.81640625" style="395" customWidth="1"/>
    <col min="12546" max="12591" width="9.1796875" style="395"/>
    <col min="12592" max="12594" width="10.7265625" style="395" customWidth="1"/>
    <col min="12595" max="12800" width="9.1796875" style="395"/>
    <col min="12801" max="12801" width="37.81640625" style="395" customWidth="1"/>
    <col min="12802" max="12847" width="9.1796875" style="395"/>
    <col min="12848" max="12850" width="10.7265625" style="395" customWidth="1"/>
    <col min="12851" max="13056" width="9.1796875" style="395"/>
    <col min="13057" max="13057" width="37.81640625" style="395" customWidth="1"/>
    <col min="13058" max="13103" width="9.1796875" style="395"/>
    <col min="13104" max="13106" width="10.7265625" style="395" customWidth="1"/>
    <col min="13107" max="13312" width="9.1796875" style="395"/>
    <col min="13313" max="13313" width="37.81640625" style="395" customWidth="1"/>
    <col min="13314" max="13359" width="9.1796875" style="395"/>
    <col min="13360" max="13362" width="10.7265625" style="395" customWidth="1"/>
    <col min="13363" max="13568" width="9.1796875" style="395"/>
    <col min="13569" max="13569" width="37.81640625" style="395" customWidth="1"/>
    <col min="13570" max="13615" width="9.1796875" style="395"/>
    <col min="13616" max="13618" width="10.7265625" style="395" customWidth="1"/>
    <col min="13619" max="13824" width="9.1796875" style="395"/>
    <col min="13825" max="13825" width="37.81640625" style="395" customWidth="1"/>
    <col min="13826" max="13871" width="9.1796875" style="395"/>
    <col min="13872" max="13874" width="10.7265625" style="395" customWidth="1"/>
    <col min="13875" max="14080" width="9.1796875" style="395"/>
    <col min="14081" max="14081" width="37.81640625" style="395" customWidth="1"/>
    <col min="14082" max="14127" width="9.1796875" style="395"/>
    <col min="14128" max="14130" width="10.7265625" style="395" customWidth="1"/>
    <col min="14131" max="14336" width="9.1796875" style="395"/>
    <col min="14337" max="14337" width="37.81640625" style="395" customWidth="1"/>
    <col min="14338" max="14383" width="9.1796875" style="395"/>
    <col min="14384" max="14386" width="10.7265625" style="395" customWidth="1"/>
    <col min="14387" max="14592" width="9.1796875" style="395"/>
    <col min="14593" max="14593" width="37.81640625" style="395" customWidth="1"/>
    <col min="14594" max="14639" width="9.1796875" style="395"/>
    <col min="14640" max="14642" width="10.7265625" style="395" customWidth="1"/>
    <col min="14643" max="14848" width="9.1796875" style="395"/>
    <col min="14849" max="14849" width="37.81640625" style="395" customWidth="1"/>
    <col min="14850" max="14895" width="9.1796875" style="395"/>
    <col min="14896" max="14898" width="10.7265625" style="395" customWidth="1"/>
    <col min="14899" max="15104" width="9.1796875" style="395"/>
    <col min="15105" max="15105" width="37.81640625" style="395" customWidth="1"/>
    <col min="15106" max="15151" width="9.1796875" style="395"/>
    <col min="15152" max="15154" width="10.7265625" style="395" customWidth="1"/>
    <col min="15155" max="15360" width="9.1796875" style="395"/>
    <col min="15361" max="15361" width="37.81640625" style="395" customWidth="1"/>
    <col min="15362" max="15407" width="9.1796875" style="395"/>
    <col min="15408" max="15410" width="10.7265625" style="395" customWidth="1"/>
    <col min="15411" max="15616" width="9.1796875" style="395"/>
    <col min="15617" max="15617" width="37.81640625" style="395" customWidth="1"/>
    <col min="15618" max="15663" width="9.1796875" style="395"/>
    <col min="15664" max="15666" width="10.7265625" style="395" customWidth="1"/>
    <col min="15667" max="15872" width="9.1796875" style="395"/>
    <col min="15873" max="15873" width="37.81640625" style="395" customWidth="1"/>
    <col min="15874" max="15919" width="9.1796875" style="395"/>
    <col min="15920" max="15922" width="10.7265625" style="395" customWidth="1"/>
    <col min="15923" max="16128" width="9.1796875" style="395"/>
    <col min="16129" max="16129" width="37.81640625" style="395" customWidth="1"/>
    <col min="16130" max="16175" width="9.1796875" style="395"/>
    <col min="16176" max="16178" width="10.7265625" style="395" customWidth="1"/>
    <col min="16179" max="16384" width="9.1796875" style="395"/>
  </cols>
  <sheetData>
    <row r="1" spans="1:53">
      <c r="A1" s="414" t="s">
        <v>817</v>
      </c>
    </row>
    <row r="2" spans="1:53">
      <c r="A2" s="395" t="s">
        <v>192</v>
      </c>
      <c r="D2" s="414"/>
    </row>
    <row r="3" spans="1:53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</row>
    <row r="4" spans="1:53">
      <c r="A4" s="443"/>
      <c r="B4" s="444">
        <v>1947</v>
      </c>
      <c r="C4" s="444">
        <v>1948</v>
      </c>
      <c r="D4" s="444">
        <v>1949</v>
      </c>
      <c r="E4" s="444">
        <v>1950</v>
      </c>
      <c r="F4" s="444">
        <v>1951</v>
      </c>
      <c r="G4" s="444">
        <v>1952</v>
      </c>
      <c r="H4" s="444">
        <v>1953</v>
      </c>
      <c r="I4" s="444">
        <v>1954</v>
      </c>
      <c r="J4" s="444">
        <v>1955</v>
      </c>
      <c r="K4" s="444">
        <v>1956</v>
      </c>
      <c r="L4" s="444">
        <v>1957</v>
      </c>
      <c r="M4" s="444">
        <v>1958</v>
      </c>
      <c r="N4" s="444">
        <v>1959</v>
      </c>
      <c r="O4" s="444">
        <v>1960</v>
      </c>
      <c r="P4" s="444">
        <v>1961</v>
      </c>
      <c r="Q4" s="444">
        <v>1962</v>
      </c>
      <c r="R4" s="444">
        <v>1963</v>
      </c>
      <c r="S4" s="444">
        <v>1964</v>
      </c>
      <c r="T4" s="444">
        <v>1965</v>
      </c>
      <c r="U4" s="444">
        <v>1966</v>
      </c>
      <c r="V4" s="444">
        <v>1967</v>
      </c>
      <c r="W4" s="444">
        <v>1968</v>
      </c>
      <c r="X4" s="444">
        <v>1969</v>
      </c>
      <c r="Y4" s="444">
        <v>1970</v>
      </c>
      <c r="Z4" s="444">
        <v>1971</v>
      </c>
      <c r="AA4" s="444">
        <v>1972</v>
      </c>
      <c r="AB4" s="444">
        <v>1973</v>
      </c>
      <c r="AC4" s="444">
        <v>1974</v>
      </c>
      <c r="AD4" s="444">
        <v>1975</v>
      </c>
      <c r="AE4" s="444">
        <v>1976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  <c r="AY4" s="396"/>
      <c r="AZ4" s="396"/>
      <c r="BA4" s="396"/>
    </row>
    <row r="5" spans="1:53">
      <c r="A5" s="446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8"/>
      <c r="AY5" s="396"/>
      <c r="AZ5" s="396"/>
      <c r="BA5" s="396"/>
    </row>
    <row r="6" spans="1:53">
      <c r="A6" s="446" t="s">
        <v>818</v>
      </c>
      <c r="B6" s="449">
        <v>124.69399999999999</v>
      </c>
      <c r="C6" s="449">
        <v>130.53800000000001</v>
      </c>
      <c r="D6" s="449">
        <v>160.55799999999999</v>
      </c>
      <c r="E6" s="449">
        <v>160.846</v>
      </c>
      <c r="F6" s="449">
        <v>155.791</v>
      </c>
      <c r="G6" s="449">
        <v>172.714</v>
      </c>
      <c r="H6" s="449">
        <v>174.547</v>
      </c>
      <c r="I6" s="449">
        <v>179.76</v>
      </c>
      <c r="J6" s="449">
        <v>201.744</v>
      </c>
      <c r="K6" s="449">
        <v>205.24800000000002</v>
      </c>
      <c r="L6" s="449">
        <v>215.226</v>
      </c>
      <c r="M6" s="449">
        <v>241.33799999999997</v>
      </c>
      <c r="N6" s="449">
        <v>269.25799999999998</v>
      </c>
      <c r="O6" s="449">
        <v>285.39999999999998</v>
      </c>
      <c r="P6" s="449">
        <v>351.08534999999995</v>
      </c>
      <c r="Q6" s="449">
        <v>375.99360000000001</v>
      </c>
      <c r="R6" s="449">
        <v>382.76285999999999</v>
      </c>
      <c r="S6" s="449">
        <v>404.70939600000008</v>
      </c>
      <c r="T6" s="449">
        <v>419.25734999999997</v>
      </c>
      <c r="U6" s="449">
        <v>430.07952999999998</v>
      </c>
      <c r="V6" s="449">
        <v>459.28169999999994</v>
      </c>
      <c r="W6" s="449">
        <v>474.01899999999995</v>
      </c>
      <c r="X6" s="449">
        <v>479.06899999999996</v>
      </c>
      <c r="Y6" s="449">
        <v>568.49039400000004</v>
      </c>
      <c r="Z6" s="449">
        <v>649.213708</v>
      </c>
      <c r="AA6" s="449">
        <v>1017.4974999999999</v>
      </c>
      <c r="AB6" s="449">
        <v>1256.2439999999999</v>
      </c>
      <c r="AC6" s="449">
        <v>1296.2629999999999</v>
      </c>
      <c r="AD6" s="449">
        <v>1545.4830000000002</v>
      </c>
      <c r="AE6" s="449">
        <v>1968.3620000000001</v>
      </c>
      <c r="AF6" s="449">
        <v>2827</v>
      </c>
      <c r="AG6" s="449">
        <v>3221</v>
      </c>
      <c r="AH6" s="449">
        <v>4289</v>
      </c>
      <c r="AI6" s="449">
        <v>5637</v>
      </c>
      <c r="AJ6" s="449">
        <v>7147</v>
      </c>
      <c r="AK6" s="449">
        <v>10888</v>
      </c>
      <c r="AL6" s="449">
        <v>14545</v>
      </c>
      <c r="AM6" s="449">
        <v>17383</v>
      </c>
      <c r="AN6" s="449">
        <v>19591</v>
      </c>
      <c r="AO6" s="449">
        <v>23988</v>
      </c>
      <c r="AP6" s="449">
        <v>32913</v>
      </c>
      <c r="AQ6" s="449">
        <v>40844</v>
      </c>
      <c r="AR6" s="449">
        <v>49765</v>
      </c>
      <c r="AS6" s="449">
        <v>56634</v>
      </c>
      <c r="AT6" s="449">
        <v>69460</v>
      </c>
      <c r="AU6" s="449">
        <v>90251</v>
      </c>
      <c r="AV6" s="449">
        <v>112095</v>
      </c>
      <c r="AW6" s="449">
        <v>90261</v>
      </c>
      <c r="AX6" s="450">
        <v>68980</v>
      </c>
      <c r="AY6" s="396"/>
      <c r="AZ6" s="396"/>
      <c r="BA6" s="396"/>
    </row>
    <row r="7" spans="1:53">
      <c r="A7" s="446" t="s">
        <v>819</v>
      </c>
      <c r="B7" s="449">
        <v>2.4787422497785654</v>
      </c>
      <c r="C7" s="449">
        <v>2.4743084609447985</v>
      </c>
      <c r="D7" s="449">
        <v>2.8992885911364152</v>
      </c>
      <c r="E7" s="449">
        <v>2.92521664705253</v>
      </c>
      <c r="F7" s="449">
        <v>3.0607336602634301</v>
      </c>
      <c r="G7" s="449">
        <v>3.1648682854272407</v>
      </c>
      <c r="H7" s="449">
        <v>2.9672305866217954</v>
      </c>
      <c r="I7" s="449">
        <v>2.8955166899797531</v>
      </c>
      <c r="J7" s="449">
        <v>4.1688053302829875</v>
      </c>
      <c r="K7" s="449">
        <v>4.6184369360217046</v>
      </c>
      <c r="L7" s="449">
        <v>5.8679961012618218</v>
      </c>
      <c r="M7" s="449">
        <v>7.1313008679639749</v>
      </c>
      <c r="N7" s="449">
        <v>8.9316552481802347</v>
      </c>
      <c r="O7" s="449">
        <v>9.8926408671722221</v>
      </c>
      <c r="P7" s="449">
        <v>10.648780450797547</v>
      </c>
      <c r="Q7" s="449">
        <v>11.428020143492439</v>
      </c>
      <c r="R7" s="449">
        <v>13.276004864992293</v>
      </c>
      <c r="S7" s="449">
        <v>12.936995740456325</v>
      </c>
      <c r="T7" s="449">
        <v>12.807836059321929</v>
      </c>
      <c r="U7" s="449">
        <v>13.855567640802622</v>
      </c>
      <c r="V7" s="449">
        <v>15.915597913480015</v>
      </c>
      <c r="W7" s="449">
        <v>16.352174970550422</v>
      </c>
      <c r="X7" s="449">
        <v>15.75231614366084</v>
      </c>
      <c r="Y7" s="449">
        <v>18.225763981435179</v>
      </c>
      <c r="Z7" s="449">
        <v>17.793006535408523</v>
      </c>
      <c r="AA7" s="449">
        <v>18.471922404389232</v>
      </c>
      <c r="AB7" s="449">
        <v>20.470585301152319</v>
      </c>
      <c r="AC7" s="449">
        <v>25.333743694941806</v>
      </c>
      <c r="AD7" s="449">
        <v>33.269723584193265</v>
      </c>
      <c r="AE7" s="449">
        <v>40.22055137119267</v>
      </c>
      <c r="AF7" s="449">
        <v>53.9</v>
      </c>
      <c r="AG7" s="449">
        <v>90</v>
      </c>
      <c r="AH7" s="449">
        <v>179.9</v>
      </c>
      <c r="AI7" s="449">
        <v>680.5</v>
      </c>
      <c r="AJ7" s="449">
        <v>789.3</v>
      </c>
      <c r="AK7" s="449">
        <v>1146.5999999999999</v>
      </c>
      <c r="AL7" s="449">
        <v>1049.7</v>
      </c>
      <c r="AM7" s="449">
        <v>1619.9</v>
      </c>
      <c r="AN7" s="449">
        <v>2156.6999999999998</v>
      </c>
      <c r="AO7" s="449">
        <v>3607</v>
      </c>
      <c r="AP7" s="449">
        <v>5758</v>
      </c>
      <c r="AQ7" s="449">
        <v>6465</v>
      </c>
      <c r="AR7" s="449">
        <v>6459</v>
      </c>
      <c r="AS7" s="449">
        <v>8657</v>
      </c>
      <c r="AT7" s="449">
        <v>10509</v>
      </c>
      <c r="AU7" s="449">
        <v>14280</v>
      </c>
      <c r="AV7" s="449">
        <v>16680</v>
      </c>
      <c r="AW7" s="449">
        <v>18475</v>
      </c>
      <c r="AX7" s="450">
        <v>18488</v>
      </c>
      <c r="AY7" s="396"/>
      <c r="AZ7" s="396"/>
      <c r="BA7" s="396"/>
    </row>
    <row r="8" spans="1:53">
      <c r="A8" s="446" t="s">
        <v>820</v>
      </c>
      <c r="B8" s="449">
        <v>0</v>
      </c>
      <c r="C8" s="449">
        <v>0</v>
      </c>
      <c r="D8" s="449">
        <v>1.3919999999999999</v>
      </c>
      <c r="E8" s="449">
        <v>1.028</v>
      </c>
      <c r="F8" s="449">
        <v>1.484</v>
      </c>
      <c r="G8" s="449">
        <v>1.6</v>
      </c>
      <c r="H8" s="449">
        <v>1.6159999999999999</v>
      </c>
      <c r="I8" s="449">
        <v>1.6880000000000002</v>
      </c>
      <c r="J8" s="449">
        <v>1.8</v>
      </c>
      <c r="K8" s="449">
        <v>1.8240000000000001</v>
      </c>
      <c r="L8" s="449">
        <v>1.952</v>
      </c>
      <c r="M8" s="449">
        <v>2.1760000000000002</v>
      </c>
      <c r="N8" s="449">
        <v>2.6261868381366811</v>
      </c>
      <c r="O8" s="449">
        <v>2.8316813508790428</v>
      </c>
      <c r="P8" s="449">
        <v>2.9644530931357362</v>
      </c>
      <c r="Q8" s="449">
        <v>2.8188450377547754</v>
      </c>
      <c r="R8" s="449">
        <v>2.6942946338598803</v>
      </c>
      <c r="S8" s="449">
        <v>2.2387371045331288</v>
      </c>
      <c r="T8" s="449">
        <v>2.5228124139291035</v>
      </c>
      <c r="U8" s="449">
        <v>2.8780316033635267</v>
      </c>
      <c r="V8" s="449">
        <v>3.9519147142616431</v>
      </c>
      <c r="W8" s="449">
        <v>3.9883400097386987</v>
      </c>
      <c r="X8" s="449">
        <v>3.8030546450275438</v>
      </c>
      <c r="Y8" s="449">
        <v>6.5212151997369556</v>
      </c>
      <c r="Z8" s="449">
        <v>4.7412173426491329</v>
      </c>
      <c r="AA8" s="449">
        <v>5.001895977893712</v>
      </c>
      <c r="AB8" s="449">
        <v>6.4889126771059411</v>
      </c>
      <c r="AC8" s="449">
        <v>7.4451521611101903</v>
      </c>
      <c r="AD8" s="449">
        <v>9.5002954996499263</v>
      </c>
      <c r="AE8" s="449">
        <v>11.364679778878079</v>
      </c>
      <c r="AF8" s="449">
        <v>27</v>
      </c>
      <c r="AG8" s="449">
        <v>40</v>
      </c>
      <c r="AH8" s="449">
        <v>25</v>
      </c>
      <c r="AI8" s="449">
        <v>50</v>
      </c>
      <c r="AJ8" s="449">
        <v>54</v>
      </c>
      <c r="AK8" s="449">
        <v>38</v>
      </c>
      <c r="AL8" s="449">
        <v>44</v>
      </c>
      <c r="AM8" s="449">
        <v>49</v>
      </c>
      <c r="AN8" s="449">
        <v>55</v>
      </c>
      <c r="AO8" s="449">
        <v>33</v>
      </c>
      <c r="AP8" s="449">
        <v>1</v>
      </c>
      <c r="AQ8" s="449">
        <v>1</v>
      </c>
      <c r="AR8" s="449">
        <v>1</v>
      </c>
      <c r="AS8" s="449">
        <v>2</v>
      </c>
      <c r="AT8" s="449">
        <v>3</v>
      </c>
      <c r="AU8" s="449">
        <v>4</v>
      </c>
      <c r="AV8" s="449">
        <v>4</v>
      </c>
      <c r="AW8" s="449">
        <v>7</v>
      </c>
      <c r="AX8" s="450">
        <v>4</v>
      </c>
      <c r="AY8" s="396"/>
      <c r="AZ8" s="396"/>
      <c r="BA8" s="396"/>
    </row>
    <row r="9" spans="1:53">
      <c r="A9" s="446" t="s">
        <v>821</v>
      </c>
      <c r="B9" s="449"/>
      <c r="C9" s="449"/>
      <c r="D9" s="449"/>
      <c r="E9" s="449"/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  <c r="AA9" s="449"/>
      <c r="AB9" s="449"/>
      <c r="AC9" s="449"/>
      <c r="AD9" s="449"/>
      <c r="AE9" s="449"/>
      <c r="AF9" s="449">
        <v>1.1000000000000001</v>
      </c>
      <c r="AG9" s="449">
        <v>2</v>
      </c>
      <c r="AH9" s="449">
        <v>2.1</v>
      </c>
      <c r="AI9" s="449">
        <v>3.5</v>
      </c>
      <c r="AJ9" s="449">
        <v>3.7</v>
      </c>
      <c r="AK9" s="449">
        <v>5.4</v>
      </c>
      <c r="AL9" s="449">
        <v>4.3</v>
      </c>
      <c r="AM9" s="449">
        <v>4.0999999999999996</v>
      </c>
      <c r="AN9" s="449">
        <v>8.3000000000000007</v>
      </c>
      <c r="AO9" s="449">
        <v>2</v>
      </c>
      <c r="AP9" s="449">
        <v>13</v>
      </c>
      <c r="AQ9" s="449">
        <v>4</v>
      </c>
      <c r="AR9" s="449">
        <v>4</v>
      </c>
      <c r="AS9" s="449">
        <v>13</v>
      </c>
      <c r="AT9" s="449">
        <v>123</v>
      </c>
      <c r="AU9" s="449">
        <v>25</v>
      </c>
      <c r="AV9" s="449">
        <v>978</v>
      </c>
      <c r="AW9" s="449">
        <v>1019</v>
      </c>
      <c r="AX9" s="450">
        <v>1053</v>
      </c>
      <c r="AY9" s="396"/>
      <c r="AZ9" s="396"/>
      <c r="BA9" s="396"/>
    </row>
    <row r="10" spans="1:53">
      <c r="A10" s="446" t="s">
        <v>822</v>
      </c>
      <c r="B10" s="449"/>
      <c r="C10" s="449"/>
      <c r="D10" s="449"/>
      <c r="E10" s="449"/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/>
      <c r="W10" s="449"/>
      <c r="X10" s="449"/>
      <c r="Y10" s="449"/>
      <c r="Z10" s="449"/>
      <c r="AA10" s="449"/>
      <c r="AB10" s="449"/>
      <c r="AC10" s="449"/>
      <c r="AD10" s="449"/>
      <c r="AE10" s="449"/>
      <c r="AF10" s="449">
        <v>33.895987361099671</v>
      </c>
      <c r="AG10" s="449">
        <v>42.894266825589739</v>
      </c>
      <c r="AH10" s="449">
        <v>77.550414186971324</v>
      </c>
      <c r="AI10" s="449">
        <v>136.56109920153196</v>
      </c>
      <c r="AJ10" s="449">
        <v>135.98794154553246</v>
      </c>
      <c r="AK10" s="449">
        <v>206.39654713284804</v>
      </c>
      <c r="AL10" s="449">
        <v>270.58340006711802</v>
      </c>
      <c r="AM10" s="449">
        <v>327.1539279581549</v>
      </c>
      <c r="AN10" s="449">
        <v>392.1729489885887</v>
      </c>
      <c r="AO10" s="449">
        <v>353</v>
      </c>
      <c r="AP10" s="449">
        <v>611</v>
      </c>
      <c r="AQ10" s="449">
        <v>433</v>
      </c>
      <c r="AR10" s="449">
        <v>1122</v>
      </c>
      <c r="AS10" s="449">
        <v>679</v>
      </c>
      <c r="AT10" s="449">
        <v>1543</v>
      </c>
      <c r="AU10" s="449">
        <v>1297</v>
      </c>
      <c r="AV10" s="449">
        <v>1809</v>
      </c>
      <c r="AW10" s="449">
        <v>1426</v>
      </c>
      <c r="AX10" s="450">
        <v>1223</v>
      </c>
      <c r="AY10" s="396"/>
      <c r="AZ10" s="396"/>
      <c r="BA10" s="396"/>
    </row>
    <row r="11" spans="1:53">
      <c r="A11" s="446" t="s">
        <v>823</v>
      </c>
      <c r="B11" s="449">
        <v>10.199999999999999</v>
      </c>
      <c r="C11" s="449">
        <v>10.4</v>
      </c>
      <c r="D11" s="449">
        <v>10.9</v>
      </c>
      <c r="E11" s="449">
        <v>11.1</v>
      </c>
      <c r="F11" s="449">
        <v>12.1</v>
      </c>
      <c r="G11" s="449">
        <v>11.4</v>
      </c>
      <c r="H11" s="449">
        <v>11.6</v>
      </c>
      <c r="I11" s="449">
        <v>13.3</v>
      </c>
      <c r="J11" s="449">
        <v>18.8</v>
      </c>
      <c r="K11" s="449">
        <v>20.8</v>
      </c>
      <c r="L11" s="449">
        <v>22.4</v>
      </c>
      <c r="M11" s="449">
        <v>30.5</v>
      </c>
      <c r="N11" s="449">
        <v>33.9</v>
      </c>
      <c r="O11" s="449">
        <v>36.6</v>
      </c>
      <c r="P11" s="449">
        <v>39.299999999999997</v>
      </c>
      <c r="Q11" s="449">
        <v>41.7</v>
      </c>
      <c r="R11" s="449">
        <v>44</v>
      </c>
      <c r="S11" s="449">
        <v>45.5</v>
      </c>
      <c r="T11" s="449">
        <v>46.1</v>
      </c>
      <c r="U11" s="449">
        <v>45.7</v>
      </c>
      <c r="V11" s="449">
        <v>46.1</v>
      </c>
      <c r="W11" s="449">
        <v>47.2</v>
      </c>
      <c r="X11" s="449">
        <v>52.12202592213999</v>
      </c>
      <c r="Y11" s="449">
        <v>57.709799775036245</v>
      </c>
      <c r="Z11" s="449">
        <v>63.878280341832166</v>
      </c>
      <c r="AA11" s="449">
        <v>70.70817433642739</v>
      </c>
      <c r="AB11" s="449">
        <v>78.172579520855393</v>
      </c>
      <c r="AC11" s="449">
        <v>86.525300371049269</v>
      </c>
      <c r="AD11" s="449">
        <v>95.82014136294211</v>
      </c>
      <c r="AE11" s="449">
        <v>106.04949354466773</v>
      </c>
      <c r="AF11" s="449">
        <v>105.2</v>
      </c>
      <c r="AG11" s="449">
        <v>197.22200000000001</v>
      </c>
      <c r="AH11" s="449">
        <v>310.11099999999999</v>
      </c>
      <c r="AI11" s="449">
        <v>691.62750000000005</v>
      </c>
      <c r="AJ11" s="449">
        <v>604.29999999999995</v>
      </c>
      <c r="AK11" s="449">
        <v>757.63200000000006</v>
      </c>
      <c r="AL11" s="449">
        <v>865.15700000000004</v>
      </c>
      <c r="AM11" s="449">
        <v>1116.671</v>
      </c>
      <c r="AN11" s="449">
        <v>1233.9939999999999</v>
      </c>
      <c r="AO11" s="449">
        <v>2744</v>
      </c>
      <c r="AP11" s="449">
        <v>3720</v>
      </c>
      <c r="AQ11" s="449">
        <v>3943</v>
      </c>
      <c r="AR11" s="449">
        <v>5118</v>
      </c>
      <c r="AS11" s="449">
        <v>7146</v>
      </c>
      <c r="AT11" s="449">
        <v>8564</v>
      </c>
      <c r="AU11" s="449">
        <v>10139</v>
      </c>
      <c r="AV11" s="449">
        <v>9481</v>
      </c>
      <c r="AW11" s="449">
        <v>11277</v>
      </c>
      <c r="AX11" s="450">
        <v>12102</v>
      </c>
      <c r="AY11" s="396"/>
      <c r="AZ11" s="396"/>
      <c r="BA11" s="396"/>
    </row>
    <row r="12" spans="1:53">
      <c r="A12" s="446" t="s">
        <v>824</v>
      </c>
      <c r="B12" s="449">
        <v>2.0550036139487928</v>
      </c>
      <c r="C12" s="449">
        <v>3.3941552682646492</v>
      </c>
      <c r="D12" s="449">
        <v>4.6326593518744987</v>
      </c>
      <c r="E12" s="449">
        <v>5.2179730549859338</v>
      </c>
      <c r="F12" s="449">
        <v>4.9086916657703243</v>
      </c>
      <c r="G12" s="449">
        <v>4.9703423393667556</v>
      </c>
      <c r="H12" s="449">
        <v>5.1258512305896131</v>
      </c>
      <c r="I12" s="449">
        <v>5.0552222807458147</v>
      </c>
      <c r="J12" s="449">
        <v>5.2792826023256785</v>
      </c>
      <c r="K12" s="449">
        <v>5.2937785673170241</v>
      </c>
      <c r="L12" s="449">
        <v>5.5359242054713045</v>
      </c>
      <c r="M12" s="449">
        <v>6.3687910522795468</v>
      </c>
      <c r="N12" s="449">
        <v>6.6438484918296483</v>
      </c>
      <c r="O12" s="449">
        <v>7.2080441964141597</v>
      </c>
      <c r="P12" s="449">
        <v>7.5093591196576011</v>
      </c>
      <c r="Q12" s="449">
        <v>7.4639966308416543</v>
      </c>
      <c r="R12" s="449">
        <v>7.6313864045521296</v>
      </c>
      <c r="S12" s="449">
        <v>8.7020576428179677</v>
      </c>
      <c r="T12" s="449">
        <v>9.344523678998403</v>
      </c>
      <c r="U12" s="449">
        <v>10.921511530673502</v>
      </c>
      <c r="V12" s="449">
        <v>14.046534219873489</v>
      </c>
      <c r="W12" s="449">
        <v>17.432665859928498</v>
      </c>
      <c r="X12" s="449">
        <v>18.424396522719359</v>
      </c>
      <c r="Y12" s="449">
        <v>23.860404855842493</v>
      </c>
      <c r="Z12" s="449">
        <v>36.284551616140384</v>
      </c>
      <c r="AA12" s="449">
        <v>61.399836648310973</v>
      </c>
      <c r="AB12" s="449">
        <v>81.69108774618141</v>
      </c>
      <c r="AC12" s="449">
        <v>101.23794815433489</v>
      </c>
      <c r="AD12" s="449">
        <v>108.05828433184621</v>
      </c>
      <c r="AE12" s="449">
        <v>158.5283605809872</v>
      </c>
      <c r="AF12" s="449">
        <v>28</v>
      </c>
      <c r="AG12" s="449">
        <v>39</v>
      </c>
      <c r="AH12" s="449">
        <v>18</v>
      </c>
      <c r="AI12" s="449">
        <v>115</v>
      </c>
      <c r="AJ12" s="449">
        <v>164</v>
      </c>
      <c r="AK12" s="449">
        <v>228</v>
      </c>
      <c r="AL12" s="449">
        <v>191</v>
      </c>
      <c r="AM12" s="449">
        <v>289</v>
      </c>
      <c r="AN12" s="449">
        <v>443</v>
      </c>
      <c r="AO12" s="449">
        <v>647</v>
      </c>
      <c r="AP12" s="449">
        <v>957</v>
      </c>
      <c r="AQ12" s="449">
        <v>608</v>
      </c>
      <c r="AR12" s="449">
        <v>1309</v>
      </c>
      <c r="AS12" s="449">
        <v>1934</v>
      </c>
      <c r="AT12" s="449">
        <v>2197</v>
      </c>
      <c r="AU12" s="449">
        <v>3092</v>
      </c>
      <c r="AV12" s="449">
        <v>2492</v>
      </c>
      <c r="AW12" s="449">
        <v>2710</v>
      </c>
      <c r="AX12" s="450">
        <v>2308</v>
      </c>
      <c r="AY12" s="396"/>
      <c r="AZ12" s="396"/>
      <c r="BA12" s="396"/>
    </row>
    <row r="13" spans="1:53">
      <c r="A13" s="446"/>
      <c r="B13" s="449"/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/>
      <c r="AA13" s="449"/>
      <c r="AB13" s="449"/>
      <c r="AC13" s="449"/>
      <c r="AD13" s="449"/>
      <c r="AE13" s="449"/>
      <c r="AF13" s="449"/>
      <c r="AG13" s="449"/>
      <c r="AH13" s="449"/>
      <c r="AI13" s="449"/>
      <c r="AJ13" s="449"/>
      <c r="AK13" s="449"/>
      <c r="AL13" s="449"/>
      <c r="AM13" s="449"/>
      <c r="AN13" s="449"/>
      <c r="AO13" s="449"/>
      <c r="AP13" s="449"/>
      <c r="AQ13" s="449"/>
      <c r="AR13" s="449"/>
      <c r="AS13" s="449"/>
      <c r="AT13" s="449"/>
      <c r="AU13" s="449"/>
      <c r="AV13" s="449"/>
      <c r="AW13" s="449"/>
      <c r="AX13" s="450"/>
      <c r="AY13" s="396"/>
      <c r="AZ13" s="396"/>
      <c r="BA13" s="396"/>
    </row>
    <row r="14" spans="1:53" ht="13.5" thickBot="1">
      <c r="A14" s="452" t="s">
        <v>32</v>
      </c>
      <c r="B14" s="453">
        <v>139.42774586372735</v>
      </c>
      <c r="C14" s="453">
        <v>146.80646372920947</v>
      </c>
      <c r="D14" s="453">
        <v>180.38194794301091</v>
      </c>
      <c r="E14" s="453">
        <v>181.11718970203847</v>
      </c>
      <c r="F14" s="453">
        <v>177.34442532603376</v>
      </c>
      <c r="G14" s="453">
        <v>193.84921062479401</v>
      </c>
      <c r="H14" s="453">
        <v>195.85608181721142</v>
      </c>
      <c r="I14" s="453">
        <v>202.69873897072557</v>
      </c>
      <c r="J14" s="453">
        <v>231.79208793260869</v>
      </c>
      <c r="K14" s="453">
        <v>237.78421550333877</v>
      </c>
      <c r="L14" s="453">
        <v>250.98192030673312</v>
      </c>
      <c r="M14" s="453">
        <v>287.51409192024346</v>
      </c>
      <c r="N14" s="453">
        <v>321.35969057814651</v>
      </c>
      <c r="O14" s="453">
        <v>341.93236641446543</v>
      </c>
      <c r="P14" s="453">
        <v>411.50794266359082</v>
      </c>
      <c r="Q14" s="453">
        <v>439.40446181208893</v>
      </c>
      <c r="R14" s="453">
        <v>450.36454590340429</v>
      </c>
      <c r="S14" s="453">
        <v>474.08718648780751</v>
      </c>
      <c r="T14" s="453">
        <v>490.03252215224944</v>
      </c>
      <c r="U14" s="453">
        <v>503.43464077483964</v>
      </c>
      <c r="V14" s="453">
        <v>539.29574684761508</v>
      </c>
      <c r="W14" s="453">
        <v>558.99218084021766</v>
      </c>
      <c r="X14" s="453">
        <v>569.17079323354767</v>
      </c>
      <c r="Y14" s="453">
        <v>674.80757781205091</v>
      </c>
      <c r="Z14" s="453">
        <v>771.91076383603013</v>
      </c>
      <c r="AA14" s="453">
        <v>1173.0793293670215</v>
      </c>
      <c r="AB14" s="453">
        <v>1443.067165245295</v>
      </c>
      <c r="AC14" s="453">
        <v>1516.8051443814361</v>
      </c>
      <c r="AD14" s="453">
        <v>1792.1314447786317</v>
      </c>
      <c r="AE14" s="453">
        <v>2284.5250852757258</v>
      </c>
      <c r="AF14" s="453">
        <v>3076.0959873610996</v>
      </c>
      <c r="AG14" s="453">
        <v>3632.1162668255897</v>
      </c>
      <c r="AH14" s="453">
        <v>4901.6614141869713</v>
      </c>
      <c r="AI14" s="453">
        <v>7314.1885992015323</v>
      </c>
      <c r="AJ14" s="453">
        <v>8898.2879415455318</v>
      </c>
      <c r="AK14" s="453">
        <v>13270.028547132848</v>
      </c>
      <c r="AL14" s="453">
        <v>16969.740400067119</v>
      </c>
      <c r="AM14" s="453">
        <v>20788.824927958154</v>
      </c>
      <c r="AN14" s="453">
        <v>23880.166948988586</v>
      </c>
      <c r="AO14" s="453">
        <v>31374</v>
      </c>
      <c r="AP14" s="453">
        <v>43973</v>
      </c>
      <c r="AQ14" s="453">
        <v>52298</v>
      </c>
      <c r="AR14" s="453">
        <v>63778</v>
      </c>
      <c r="AS14" s="453">
        <v>75065</v>
      </c>
      <c r="AT14" s="453">
        <v>92399</v>
      </c>
      <c r="AU14" s="453">
        <v>119088</v>
      </c>
      <c r="AV14" s="453">
        <v>143539</v>
      </c>
      <c r="AW14" s="453">
        <v>125175</v>
      </c>
      <c r="AX14" s="454">
        <v>104158</v>
      </c>
      <c r="AY14" s="396"/>
      <c r="AZ14" s="396"/>
      <c r="BA14" s="396"/>
    </row>
    <row r="15" spans="1:53">
      <c r="B15" s="464"/>
      <c r="C15" s="464"/>
      <c r="D15" s="464"/>
      <c r="E15" s="464"/>
      <c r="F15" s="464"/>
      <c r="G15" s="464"/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  <c r="AA15" s="464"/>
      <c r="AB15" s="464"/>
      <c r="AC15" s="464"/>
      <c r="AD15" s="464"/>
      <c r="AE15" s="464"/>
      <c r="AF15" s="464"/>
      <c r="AG15" s="464"/>
      <c r="AH15" s="464"/>
      <c r="AI15" s="464"/>
      <c r="AJ15" s="464"/>
      <c r="AK15" s="464"/>
      <c r="AL15" s="464"/>
      <c r="AM15" s="464"/>
      <c r="AN15" s="464"/>
      <c r="AO15" s="464"/>
      <c r="AP15" s="464"/>
      <c r="AQ15" s="464"/>
      <c r="AR15" s="464"/>
      <c r="AS15" s="464"/>
      <c r="AT15" s="464"/>
      <c r="AU15" s="464"/>
      <c r="AV15" s="464"/>
      <c r="AW15" s="464"/>
      <c r="AX15" s="464"/>
      <c r="AY15" s="396"/>
      <c r="AZ15" s="396"/>
      <c r="BA15" s="396"/>
    </row>
    <row r="16" spans="1:53">
      <c r="A16" s="440" t="s">
        <v>825</v>
      </c>
    </row>
    <row r="17" spans="1:50">
      <c r="A17" s="395" t="s">
        <v>192</v>
      </c>
      <c r="D17" s="440"/>
    </row>
    <row r="18" spans="1:50" ht="13.5" thickBot="1">
      <c r="A18" s="442"/>
      <c r="B18" s="442"/>
      <c r="C18" s="442"/>
      <c r="D18" s="442"/>
      <c r="E18" s="442"/>
      <c r="F18" s="442"/>
      <c r="G18" s="442"/>
      <c r="H18" s="442"/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</row>
    <row r="19" spans="1:50">
      <c r="A19" s="443"/>
      <c r="B19" s="444">
        <v>1947</v>
      </c>
      <c r="C19" s="444">
        <v>1948</v>
      </c>
      <c r="D19" s="444">
        <v>1949</v>
      </c>
      <c r="E19" s="444">
        <v>1950</v>
      </c>
      <c r="F19" s="444">
        <v>1951</v>
      </c>
      <c r="G19" s="444">
        <v>1952</v>
      </c>
      <c r="H19" s="444">
        <v>1953</v>
      </c>
      <c r="I19" s="444">
        <v>1954</v>
      </c>
      <c r="J19" s="444">
        <v>1955</v>
      </c>
      <c r="K19" s="444">
        <v>1956</v>
      </c>
      <c r="L19" s="444">
        <v>1957</v>
      </c>
      <c r="M19" s="444">
        <v>1958</v>
      </c>
      <c r="N19" s="444">
        <v>1959</v>
      </c>
      <c r="O19" s="444">
        <v>1960</v>
      </c>
      <c r="P19" s="444">
        <v>1961</v>
      </c>
      <c r="Q19" s="444">
        <v>1962</v>
      </c>
      <c r="R19" s="444">
        <v>1963</v>
      </c>
      <c r="S19" s="444">
        <v>1964</v>
      </c>
      <c r="T19" s="444">
        <v>1965</v>
      </c>
      <c r="U19" s="444">
        <v>1966</v>
      </c>
      <c r="V19" s="444">
        <v>1967</v>
      </c>
      <c r="W19" s="444">
        <v>1968</v>
      </c>
      <c r="X19" s="444">
        <v>1969</v>
      </c>
      <c r="Y19" s="444">
        <v>1970</v>
      </c>
      <c r="Z19" s="444">
        <v>1971</v>
      </c>
      <c r="AA19" s="444">
        <v>1972</v>
      </c>
      <c r="AB19" s="444">
        <v>1973</v>
      </c>
      <c r="AC19" s="444">
        <v>1974</v>
      </c>
      <c r="AD19" s="444">
        <v>1975</v>
      </c>
      <c r="AE19" s="444">
        <v>1976</v>
      </c>
      <c r="AF19" s="444">
        <v>1977</v>
      </c>
      <c r="AG19" s="444">
        <v>1978</v>
      </c>
      <c r="AH19" s="444">
        <v>1979</v>
      </c>
      <c r="AI19" s="444">
        <v>1980</v>
      </c>
      <c r="AJ19" s="444">
        <v>1981</v>
      </c>
      <c r="AK19" s="444">
        <v>1982</v>
      </c>
      <c r="AL19" s="444">
        <v>1983</v>
      </c>
      <c r="AM19" s="444">
        <v>1984</v>
      </c>
      <c r="AN19" s="444">
        <v>1985</v>
      </c>
      <c r="AO19" s="444">
        <v>1986</v>
      </c>
      <c r="AP19" s="444">
        <v>1987</v>
      </c>
      <c r="AQ19" s="444">
        <v>1988</v>
      </c>
      <c r="AR19" s="444">
        <v>1989</v>
      </c>
      <c r="AS19" s="444">
        <v>1990</v>
      </c>
      <c r="AT19" s="444">
        <v>1991</v>
      </c>
      <c r="AU19" s="444">
        <v>1992</v>
      </c>
      <c r="AV19" s="444">
        <v>1993</v>
      </c>
      <c r="AW19" s="444">
        <v>1994</v>
      </c>
      <c r="AX19" s="445">
        <v>1995</v>
      </c>
    </row>
    <row r="20" spans="1:50">
      <c r="A20" s="446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8"/>
    </row>
    <row r="21" spans="1:50">
      <c r="A21" s="446" t="s">
        <v>826</v>
      </c>
      <c r="B21" s="449">
        <v>430.67226952311427</v>
      </c>
      <c r="C21" s="449">
        <v>459.80799052505012</v>
      </c>
      <c r="D21" s="449">
        <v>509.12325610008526</v>
      </c>
      <c r="E21" s="449">
        <v>548.84559122253881</v>
      </c>
      <c r="F21" s="449">
        <v>552.88698056581529</v>
      </c>
      <c r="G21" s="449">
        <v>593.68616528940834</v>
      </c>
      <c r="H21" s="449">
        <v>616.08822679750028</v>
      </c>
      <c r="I21" s="449">
        <v>639.87467795951864</v>
      </c>
      <c r="J21" s="449">
        <v>689.81477751112516</v>
      </c>
      <c r="K21" s="449">
        <v>717.63213398409096</v>
      </c>
      <c r="L21" s="449">
        <v>774.95598142496624</v>
      </c>
      <c r="M21" s="449">
        <v>805.52377611969928</v>
      </c>
      <c r="N21" s="449">
        <v>862.83945090922384</v>
      </c>
      <c r="O21" s="449">
        <v>934.3899300909668</v>
      </c>
      <c r="P21" s="449">
        <v>1056.8281713674871</v>
      </c>
      <c r="Q21" s="449">
        <v>1499.5840298010091</v>
      </c>
      <c r="R21" s="449">
        <v>1396.7734035250032</v>
      </c>
      <c r="S21" s="449">
        <v>1476.3558106331584</v>
      </c>
      <c r="T21" s="449">
        <v>1852.5277124628574</v>
      </c>
      <c r="U21" s="449">
        <v>1893.2854801047031</v>
      </c>
      <c r="V21" s="449">
        <v>1615.4257344885127</v>
      </c>
      <c r="W21" s="449">
        <v>1850.125765078632</v>
      </c>
      <c r="X21" s="449">
        <v>2157.5950117282669</v>
      </c>
      <c r="Y21" s="449">
        <v>2361.0788168163058</v>
      </c>
      <c r="Z21" s="449">
        <v>2583.2224930162197</v>
      </c>
      <c r="AA21" s="449">
        <v>3514.0803401883563</v>
      </c>
      <c r="AB21" s="449">
        <v>4622.2837198415737</v>
      </c>
      <c r="AC21" s="449">
        <v>5396.3151793163061</v>
      </c>
      <c r="AD21" s="449">
        <v>5950.510875198921</v>
      </c>
      <c r="AE21" s="449">
        <v>8731.9468800086979</v>
      </c>
      <c r="AF21" s="449">
        <v>8164.272968361096</v>
      </c>
      <c r="AG21" s="449">
        <v>8502.96235948106</v>
      </c>
      <c r="AH21" s="449">
        <v>10428.334180704434</v>
      </c>
      <c r="AI21" s="449">
        <v>14645.405599201529</v>
      </c>
      <c r="AJ21" s="449">
        <v>17296.758441545528</v>
      </c>
      <c r="AK21" s="449">
        <v>24745.412547132859</v>
      </c>
      <c r="AL21" s="449">
        <v>30684.364900067136</v>
      </c>
      <c r="AM21" s="449">
        <v>38303.285427958173</v>
      </c>
      <c r="AN21" s="449">
        <v>45867.111448988595</v>
      </c>
      <c r="AO21" s="449">
        <v>100769.32099999997</v>
      </c>
      <c r="AP21" s="449">
        <v>132302.20199999999</v>
      </c>
      <c r="AQ21" s="449">
        <v>151116.75099999999</v>
      </c>
      <c r="AR21" s="449">
        <v>183559.783</v>
      </c>
      <c r="AS21" s="449">
        <v>168229</v>
      </c>
      <c r="AT21" s="449">
        <v>223713</v>
      </c>
      <c r="AU21" s="449">
        <v>339156</v>
      </c>
      <c r="AV21" s="449">
        <v>434021</v>
      </c>
      <c r="AW21" s="449">
        <v>296070</v>
      </c>
      <c r="AX21" s="450">
        <v>306399</v>
      </c>
    </row>
    <row r="22" spans="1:50">
      <c r="A22" s="446" t="s">
        <v>827</v>
      </c>
      <c r="B22" s="449">
        <v>139.42774586372735</v>
      </c>
      <c r="C22" s="449">
        <v>146.80646372920947</v>
      </c>
      <c r="D22" s="449">
        <v>180.38194794301091</v>
      </c>
      <c r="E22" s="449">
        <v>181.11718970203847</v>
      </c>
      <c r="F22" s="449">
        <v>177.34442532603376</v>
      </c>
      <c r="G22" s="449">
        <v>193.84921062479401</v>
      </c>
      <c r="H22" s="449">
        <v>195.85608181721142</v>
      </c>
      <c r="I22" s="449">
        <v>202.69873897072557</v>
      </c>
      <c r="J22" s="449">
        <v>231.79208793260869</v>
      </c>
      <c r="K22" s="449">
        <v>237.78421550333877</v>
      </c>
      <c r="L22" s="449">
        <v>250.98192030673312</v>
      </c>
      <c r="M22" s="449">
        <v>287.51409192024346</v>
      </c>
      <c r="N22" s="449">
        <v>321.35969057814651</v>
      </c>
      <c r="O22" s="449">
        <v>341.93236641446543</v>
      </c>
      <c r="P22" s="449">
        <v>411.50794266359082</v>
      </c>
      <c r="Q22" s="449">
        <v>439.40446181208893</v>
      </c>
      <c r="R22" s="449">
        <v>450.36454590340429</v>
      </c>
      <c r="S22" s="449">
        <v>474.08718648780751</v>
      </c>
      <c r="T22" s="449">
        <v>490.03252215224944</v>
      </c>
      <c r="U22" s="449">
        <v>503.43464077483964</v>
      </c>
      <c r="V22" s="449">
        <v>539.29574684761508</v>
      </c>
      <c r="W22" s="449">
        <v>558.99218084021766</v>
      </c>
      <c r="X22" s="449">
        <v>569.17079323354767</v>
      </c>
      <c r="Y22" s="449">
        <v>674.80757781205091</v>
      </c>
      <c r="Z22" s="449">
        <v>771.91076383603013</v>
      </c>
      <c r="AA22" s="449">
        <v>1173.0793293670215</v>
      </c>
      <c r="AB22" s="449">
        <v>1443.067165245295</v>
      </c>
      <c r="AC22" s="449">
        <v>1516.8051443814361</v>
      </c>
      <c r="AD22" s="449">
        <v>1792.1314447786317</v>
      </c>
      <c r="AE22" s="449">
        <v>2284.5250852757258</v>
      </c>
      <c r="AF22" s="449">
        <v>3076.0959873610996</v>
      </c>
      <c r="AG22" s="449">
        <v>3632.1162668255897</v>
      </c>
      <c r="AH22" s="449">
        <v>4901.6614141869713</v>
      </c>
      <c r="AI22" s="449">
        <v>7314.1885992015323</v>
      </c>
      <c r="AJ22" s="449">
        <v>8898.2879415455318</v>
      </c>
      <c r="AK22" s="449">
        <v>13270.028547132848</v>
      </c>
      <c r="AL22" s="449">
        <v>16969.740400067119</v>
      </c>
      <c r="AM22" s="449">
        <v>20788.824927958154</v>
      </c>
      <c r="AN22" s="449">
        <v>23880.166948988586</v>
      </c>
      <c r="AO22" s="449">
        <v>31374</v>
      </c>
      <c r="AP22" s="449">
        <v>43973</v>
      </c>
      <c r="AQ22" s="449">
        <v>52298</v>
      </c>
      <c r="AR22" s="449">
        <v>63778</v>
      </c>
      <c r="AS22" s="449">
        <v>75065</v>
      </c>
      <c r="AT22" s="449">
        <v>92399</v>
      </c>
      <c r="AU22" s="449">
        <v>119088</v>
      </c>
      <c r="AV22" s="449">
        <v>143539</v>
      </c>
      <c r="AW22" s="449">
        <v>125175</v>
      </c>
      <c r="AX22" s="450">
        <v>104158</v>
      </c>
    </row>
    <row r="23" spans="1:50">
      <c r="A23" s="446" t="s">
        <v>828</v>
      </c>
      <c r="B23" s="449">
        <v>17</v>
      </c>
      <c r="C23" s="449">
        <v>22</v>
      </c>
      <c r="D23" s="449">
        <v>24.824999999999999</v>
      </c>
      <c r="E23" s="449">
        <v>26.283000000000001</v>
      </c>
      <c r="F23" s="449">
        <v>28.61</v>
      </c>
      <c r="G23" s="449">
        <v>30.491</v>
      </c>
      <c r="H23" s="449">
        <v>29.742000000000001</v>
      </c>
      <c r="I23" s="449">
        <v>36.833999999999996</v>
      </c>
      <c r="J23" s="449">
        <v>29.283999999999999</v>
      </c>
      <c r="K23" s="449">
        <v>31.8</v>
      </c>
      <c r="L23" s="449">
        <v>36.4</v>
      </c>
      <c r="M23" s="449">
        <v>35.5</v>
      </c>
      <c r="N23" s="449">
        <v>34.299999999999997</v>
      </c>
      <c r="O23" s="449">
        <v>40.299999999999997</v>
      </c>
      <c r="P23" s="449">
        <v>29.670999999999999</v>
      </c>
      <c r="Q23" s="449">
        <v>412</v>
      </c>
      <c r="R23" s="449">
        <v>237.08100000000002</v>
      </c>
      <c r="S23" s="449">
        <v>259.38200000000001</v>
      </c>
      <c r="T23" s="449">
        <v>359.09299999999996</v>
      </c>
      <c r="U23" s="449">
        <v>274.637</v>
      </c>
      <c r="V23" s="449">
        <v>66.055999999999997</v>
      </c>
      <c r="W23" s="449">
        <v>119.458</v>
      </c>
      <c r="X23" s="449">
        <v>275.60300000000001</v>
      </c>
      <c r="Y23" s="449">
        <v>84.37299999999999</v>
      </c>
      <c r="Z23" s="449">
        <v>31.262</v>
      </c>
      <c r="AA23" s="449">
        <v>117.563</v>
      </c>
      <c r="AB23" s="449">
        <v>239.238</v>
      </c>
      <c r="AC23" s="449">
        <v>179.77200000000002</v>
      </c>
      <c r="AD23" s="449">
        <v>65.599999999999994</v>
      </c>
      <c r="AE23" s="449">
        <v>245.09799999999998</v>
      </c>
      <c r="AF23" s="449">
        <v>1979.7040000000002</v>
      </c>
      <c r="AG23" s="449">
        <v>710.6</v>
      </c>
      <c r="AH23" s="449">
        <v>891.78200000000004</v>
      </c>
      <c r="AI23" s="449">
        <v>527.96199999999999</v>
      </c>
      <c r="AJ23" s="449">
        <v>1142.2330000000002</v>
      </c>
      <c r="AK23" s="449">
        <v>891.36900000000003</v>
      </c>
      <c r="AL23" s="449">
        <v>791.48299999999995</v>
      </c>
      <c r="AM23" s="449">
        <v>1292.3690000000001</v>
      </c>
      <c r="AN23" s="449">
        <v>2654.2529999999997</v>
      </c>
      <c r="AO23" s="449">
        <v>47887</v>
      </c>
      <c r="AP23" s="449">
        <v>57286</v>
      </c>
      <c r="AQ23" s="449">
        <v>62839</v>
      </c>
      <c r="AR23" s="449">
        <v>78017</v>
      </c>
      <c r="AS23" s="449">
        <v>50166</v>
      </c>
      <c r="AT23" s="449">
        <v>79998</v>
      </c>
      <c r="AU23" s="449">
        <v>167115</v>
      </c>
      <c r="AV23" s="449">
        <v>186868</v>
      </c>
      <c r="AW23" s="449">
        <v>92086</v>
      </c>
      <c r="AX23" s="450">
        <v>122065</v>
      </c>
    </row>
    <row r="24" spans="1:50">
      <c r="A24" s="446" t="s">
        <v>829</v>
      </c>
      <c r="B24" s="449">
        <v>274.24452365938691</v>
      </c>
      <c r="C24" s="449">
        <v>291.00152679584062</v>
      </c>
      <c r="D24" s="449">
        <v>303.91630815707435</v>
      </c>
      <c r="E24" s="449">
        <v>341.44540152050035</v>
      </c>
      <c r="F24" s="449">
        <v>346.93255523978155</v>
      </c>
      <c r="G24" s="449">
        <v>369.34595466461434</v>
      </c>
      <c r="H24" s="449">
        <v>390.49014498028885</v>
      </c>
      <c r="I24" s="449">
        <v>400.34193898879306</v>
      </c>
      <c r="J24" s="449">
        <v>428.73868957851647</v>
      </c>
      <c r="K24" s="449">
        <v>448.04791848075217</v>
      </c>
      <c r="L24" s="449">
        <v>487.57406111823309</v>
      </c>
      <c r="M24" s="449">
        <v>482.50968419945582</v>
      </c>
      <c r="N24" s="449">
        <v>507.17976033107738</v>
      </c>
      <c r="O24" s="449">
        <v>552.15756367650147</v>
      </c>
      <c r="P24" s="449">
        <v>615.64922870389626</v>
      </c>
      <c r="Q24" s="449">
        <v>648.1795679889201</v>
      </c>
      <c r="R24" s="449">
        <v>709.32785762159892</v>
      </c>
      <c r="S24" s="449">
        <v>742.88662414535088</v>
      </c>
      <c r="T24" s="449">
        <v>1003.402190310608</v>
      </c>
      <c r="U24" s="449">
        <v>1115.2138393298635</v>
      </c>
      <c r="V24" s="449">
        <v>1010.0739876408975</v>
      </c>
      <c r="W24" s="449">
        <v>1171.6755842384141</v>
      </c>
      <c r="X24" s="449">
        <v>1312.8212184947192</v>
      </c>
      <c r="Y24" s="449">
        <v>1601.8982390042547</v>
      </c>
      <c r="Z24" s="449">
        <v>1780.0497291801896</v>
      </c>
      <c r="AA24" s="449">
        <v>2223.4380108213345</v>
      </c>
      <c r="AB24" s="449">
        <v>2939.9785545962791</v>
      </c>
      <c r="AC24" s="449">
        <v>3699.73803493487</v>
      </c>
      <c r="AD24" s="449">
        <v>4092.7794304202894</v>
      </c>
      <c r="AE24" s="449">
        <v>6202.3237947329726</v>
      </c>
      <c r="AF24" s="449">
        <v>3108.4729809999967</v>
      </c>
      <c r="AG24" s="449">
        <v>4160.2460926554704</v>
      </c>
      <c r="AH24" s="449">
        <v>4634.8907665174629</v>
      </c>
      <c r="AI24" s="449">
        <v>6803.2549999999974</v>
      </c>
      <c r="AJ24" s="449">
        <v>7256.2374999999956</v>
      </c>
      <c r="AK24" s="449">
        <v>10584.01500000001</v>
      </c>
      <c r="AL24" s="449">
        <v>12923.141500000016</v>
      </c>
      <c r="AM24" s="449">
        <v>16222.091500000019</v>
      </c>
      <c r="AN24" s="449">
        <v>19332.691500000008</v>
      </c>
      <c r="AO24" s="449">
        <v>21508.320999999967</v>
      </c>
      <c r="AP24" s="449">
        <v>31043.20199999999</v>
      </c>
      <c r="AQ24" s="449">
        <v>35979.750999999989</v>
      </c>
      <c r="AR24" s="449">
        <v>41764.782999999996</v>
      </c>
      <c r="AS24" s="449">
        <v>42998</v>
      </c>
      <c r="AT24" s="449">
        <v>51316</v>
      </c>
      <c r="AU24" s="449">
        <v>52953</v>
      </c>
      <c r="AV24" s="449">
        <v>103614</v>
      </c>
      <c r="AW24" s="449">
        <v>78809</v>
      </c>
      <c r="AX24" s="450">
        <v>80176</v>
      </c>
    </row>
    <row r="25" spans="1:50">
      <c r="A25" s="446"/>
      <c r="B25" s="449"/>
      <c r="C25" s="449"/>
      <c r="D25" s="449"/>
      <c r="E25" s="449"/>
      <c r="F25" s="449"/>
      <c r="G25" s="449"/>
      <c r="H25" s="449"/>
      <c r="I25" s="449"/>
      <c r="J25" s="449"/>
      <c r="K25" s="449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50"/>
    </row>
    <row r="26" spans="1:50">
      <c r="A26" s="446"/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  <c r="M26" s="474"/>
      <c r="N26" s="474"/>
      <c r="O26" s="474"/>
      <c r="P26" s="474"/>
      <c r="Q26" s="474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  <c r="AL26" s="474"/>
      <c r="AM26" s="474"/>
      <c r="AN26" s="474"/>
      <c r="AO26" s="474"/>
      <c r="AP26" s="474"/>
      <c r="AQ26" s="474"/>
      <c r="AR26" s="474"/>
      <c r="AS26" s="474"/>
      <c r="AT26" s="474"/>
      <c r="AU26" s="474"/>
      <c r="AV26" s="474"/>
      <c r="AW26" s="474"/>
      <c r="AX26" s="475"/>
    </row>
    <row r="27" spans="1:50">
      <c r="A27" s="446" t="s">
        <v>830</v>
      </c>
      <c r="B27" s="449">
        <v>954.52286137918384</v>
      </c>
      <c r="C27" s="449">
        <v>1096.489347648255</v>
      </c>
      <c r="D27" s="449">
        <v>1246.2667424901294</v>
      </c>
      <c r="E27" s="449">
        <v>1170.9239258925356</v>
      </c>
      <c r="F27" s="449">
        <v>1208.0697662859798</v>
      </c>
      <c r="G27" s="449">
        <v>1264.2075672955234</v>
      </c>
      <c r="H27" s="449">
        <v>1289.2770035901547</v>
      </c>
      <c r="I27" s="449">
        <v>1352.8372977786034</v>
      </c>
      <c r="J27" s="449">
        <v>1558.559165294809</v>
      </c>
      <c r="K27" s="449">
        <v>1651.8245462693399</v>
      </c>
      <c r="L27" s="449">
        <v>1825.8649278116068</v>
      </c>
      <c r="M27" s="449">
        <v>1996.9823472372275</v>
      </c>
      <c r="N27" s="449">
        <v>2234.36138702068</v>
      </c>
      <c r="O27" s="449">
        <v>2529.7680906160417</v>
      </c>
      <c r="P27" s="449">
        <v>2836.3140872008148</v>
      </c>
      <c r="Q27" s="449">
        <v>2977.8128845061892</v>
      </c>
      <c r="R27" s="449">
        <v>3365.3643529729579</v>
      </c>
      <c r="S27" s="449">
        <v>3785.3594219603565</v>
      </c>
      <c r="T27" s="449">
        <v>4272.7854704151396</v>
      </c>
      <c r="U27" s="449">
        <v>4741.2629151129531</v>
      </c>
      <c r="V27" s="449">
        <v>5318.8920799994567</v>
      </c>
      <c r="W27" s="449">
        <v>5958.159204038865</v>
      </c>
      <c r="X27" s="449">
        <v>6879.1649621972283</v>
      </c>
      <c r="Y27" s="449">
        <v>7769.9269994088563</v>
      </c>
      <c r="Z27" s="449">
        <v>8982.9780304971846</v>
      </c>
      <c r="AA27" s="449">
        <v>13518.87066670123</v>
      </c>
      <c r="AB27" s="449">
        <v>17984.801306167454</v>
      </c>
      <c r="AC27" s="449">
        <v>23690.473754966224</v>
      </c>
      <c r="AD27" s="449">
        <v>40472.736232211471</v>
      </c>
      <c r="AE27" s="449">
        <v>63903.766988331452</v>
      </c>
      <c r="AF27" s="449">
        <v>72594.368341801455</v>
      </c>
      <c r="AG27" s="449">
        <v>84930.867718633031</v>
      </c>
      <c r="AH27" s="449">
        <v>101581.83969008556</v>
      </c>
      <c r="AI27" s="449">
        <v>140899.73859920152</v>
      </c>
      <c r="AJ27" s="449">
        <v>187114.39894154551</v>
      </c>
      <c r="AK27" s="449">
        <v>231133.93854713283</v>
      </c>
      <c r="AL27" s="449">
        <v>285190.92940006714</v>
      </c>
      <c r="AM27" s="449">
        <v>353839.86692795827</v>
      </c>
      <c r="AN27" s="449">
        <v>439904.18294898857</v>
      </c>
      <c r="AO27" s="449">
        <v>586477</v>
      </c>
      <c r="AP27" s="449">
        <v>731573.8</v>
      </c>
      <c r="AQ27" s="449">
        <v>808791.76500000001</v>
      </c>
      <c r="AR27" s="449">
        <v>952124</v>
      </c>
      <c r="AS27" s="449">
        <v>1162701</v>
      </c>
      <c r="AT27" s="449">
        <v>1488976</v>
      </c>
      <c r="AU27" s="449">
        <v>1795678</v>
      </c>
      <c r="AV27" s="449">
        <v>2131580</v>
      </c>
      <c r="AW27" s="449">
        <v>2282507</v>
      </c>
      <c r="AX27" s="450">
        <v>2525744</v>
      </c>
    </row>
    <row r="28" spans="1:50">
      <c r="A28" s="446" t="s">
        <v>831</v>
      </c>
      <c r="B28" s="449">
        <v>139.42774586372735</v>
      </c>
      <c r="C28" s="449">
        <v>146.80646372920947</v>
      </c>
      <c r="D28" s="449">
        <v>180.38194794301091</v>
      </c>
      <c r="E28" s="449">
        <v>181.11718970203847</v>
      </c>
      <c r="F28" s="449">
        <v>177.34442532603376</v>
      </c>
      <c r="G28" s="449">
        <v>193.84921062479401</v>
      </c>
      <c r="H28" s="449">
        <v>195.85608181721142</v>
      </c>
      <c r="I28" s="449">
        <v>202.69873897072557</v>
      </c>
      <c r="J28" s="449">
        <v>231.79208793260869</v>
      </c>
      <c r="K28" s="449">
        <v>237.78421550333877</v>
      </c>
      <c r="L28" s="449">
        <v>250.98192030673312</v>
      </c>
      <c r="M28" s="449">
        <v>287.51409192024346</v>
      </c>
      <c r="N28" s="449">
        <v>321.35969057814651</v>
      </c>
      <c r="O28" s="449">
        <v>341.93236641446543</v>
      </c>
      <c r="P28" s="449">
        <v>411.50794266359082</v>
      </c>
      <c r="Q28" s="449">
        <v>439.40446181208893</v>
      </c>
      <c r="R28" s="449">
        <v>450.36454590340429</v>
      </c>
      <c r="S28" s="449">
        <v>474.08718648780751</v>
      </c>
      <c r="T28" s="449">
        <v>490.03252215224944</v>
      </c>
      <c r="U28" s="449">
        <v>503.43464077483964</v>
      </c>
      <c r="V28" s="449">
        <v>539.29574684761508</v>
      </c>
      <c r="W28" s="449">
        <v>558.99218084021766</v>
      </c>
      <c r="X28" s="449">
        <v>569.17079323354767</v>
      </c>
      <c r="Y28" s="449">
        <v>674.80757781205091</v>
      </c>
      <c r="Z28" s="449">
        <v>771.91076383603013</v>
      </c>
      <c r="AA28" s="449">
        <v>1173.0793293670215</v>
      </c>
      <c r="AB28" s="449">
        <v>1443.067165245295</v>
      </c>
      <c r="AC28" s="449">
        <v>1516.8051443814361</v>
      </c>
      <c r="AD28" s="449">
        <v>1792.1314447786317</v>
      </c>
      <c r="AE28" s="449">
        <v>2284.5250852757258</v>
      </c>
      <c r="AF28" s="449">
        <v>3076.0959873610996</v>
      </c>
      <c r="AG28" s="449">
        <v>3632.1162668255897</v>
      </c>
      <c r="AH28" s="449">
        <v>4901.6614141869713</v>
      </c>
      <c r="AI28" s="449">
        <v>7314.1885992015323</v>
      </c>
      <c r="AJ28" s="449">
        <v>8898.2879415455318</v>
      </c>
      <c r="AK28" s="449">
        <v>13270.028547132848</v>
      </c>
      <c r="AL28" s="449">
        <v>16969.740400067119</v>
      </c>
      <c r="AM28" s="449">
        <v>20788.824927958154</v>
      </c>
      <c r="AN28" s="449">
        <v>23880.166948988586</v>
      </c>
      <c r="AO28" s="449">
        <v>31374</v>
      </c>
      <c r="AP28" s="449">
        <v>43973</v>
      </c>
      <c r="AQ28" s="449">
        <v>52298</v>
      </c>
      <c r="AR28" s="449">
        <v>63778</v>
      </c>
      <c r="AS28" s="449">
        <v>75065</v>
      </c>
      <c r="AT28" s="449">
        <v>92399</v>
      </c>
      <c r="AU28" s="449">
        <v>119088</v>
      </c>
      <c r="AV28" s="449">
        <v>143539</v>
      </c>
      <c r="AW28" s="449">
        <v>125175</v>
      </c>
      <c r="AX28" s="450">
        <v>104158</v>
      </c>
    </row>
    <row r="29" spans="1:50">
      <c r="A29" s="446" t="s">
        <v>832</v>
      </c>
      <c r="B29" s="449">
        <v>74.105999999999995</v>
      </c>
      <c r="C29" s="449">
        <v>17.612000000000002</v>
      </c>
      <c r="D29" s="449">
        <v>14.528</v>
      </c>
      <c r="E29" s="449">
        <v>15.47</v>
      </c>
      <c r="F29" s="449">
        <v>28.187000000000001</v>
      </c>
      <c r="G29" s="449">
        <v>18.893000000000001</v>
      </c>
      <c r="H29" s="449">
        <v>16.433000000000007</v>
      </c>
      <c r="I29" s="449">
        <v>19.059000000000005</v>
      </c>
      <c r="J29" s="449">
        <v>20.015999999999995</v>
      </c>
      <c r="K29" s="449">
        <v>25.847000000000008</v>
      </c>
      <c r="L29" s="449">
        <v>44.229000000000006</v>
      </c>
      <c r="M29" s="449">
        <v>41.534000000000006</v>
      </c>
      <c r="N29" s="449">
        <v>43.262999999999991</v>
      </c>
      <c r="O29" s="449">
        <v>46.015999999999998</v>
      </c>
      <c r="P29" s="449">
        <v>46.495999999999995</v>
      </c>
      <c r="Q29" s="449">
        <v>27.228000000000005</v>
      </c>
      <c r="R29" s="449">
        <v>42.075999999999993</v>
      </c>
      <c r="S29" s="449">
        <v>44.287000000000013</v>
      </c>
      <c r="T29" s="449">
        <v>63.262999999999998</v>
      </c>
      <c r="U29" s="449">
        <v>51.715000000000003</v>
      </c>
      <c r="V29" s="449">
        <v>36.256</v>
      </c>
      <c r="W29" s="449">
        <v>60.919000000000004</v>
      </c>
      <c r="X29" s="449">
        <v>59.302000000000007</v>
      </c>
      <c r="Y29" s="449">
        <v>139.065</v>
      </c>
      <c r="Z29" s="449">
        <v>212.649</v>
      </c>
      <c r="AA29" s="449">
        <v>255.9</v>
      </c>
      <c r="AB29" s="449">
        <v>430.7</v>
      </c>
      <c r="AC29" s="449">
        <v>157.30000000000001</v>
      </c>
      <c r="AD29" s="449">
        <v>982.52699999999993</v>
      </c>
      <c r="AE29" s="449">
        <v>723.8</v>
      </c>
      <c r="AF29" s="449">
        <v>533.39799999999991</v>
      </c>
      <c r="AG29" s="449">
        <v>1519.0240000000003</v>
      </c>
      <c r="AH29" s="449">
        <v>1223.6010000000003</v>
      </c>
      <c r="AI29" s="449">
        <v>1252.3679999999999</v>
      </c>
      <c r="AJ29" s="449">
        <v>2397.6419999999998</v>
      </c>
      <c r="AK29" s="449">
        <v>2998.2440000000001</v>
      </c>
      <c r="AL29" s="449">
        <v>2877.7649999999999</v>
      </c>
      <c r="AM29" s="449">
        <v>4381.5369999999994</v>
      </c>
      <c r="AN29" s="449">
        <v>4160.1279999999997</v>
      </c>
      <c r="AO29" s="449">
        <v>34017</v>
      </c>
      <c r="AP29" s="449">
        <v>39450</v>
      </c>
      <c r="AQ29" s="449">
        <v>14234</v>
      </c>
      <c r="AR29" s="449">
        <v>16891</v>
      </c>
      <c r="AS29" s="449">
        <v>15773</v>
      </c>
      <c r="AT29" s="449">
        <v>37744</v>
      </c>
      <c r="AU29" s="449">
        <v>36666</v>
      </c>
      <c r="AV29" s="449">
        <v>57768</v>
      </c>
      <c r="AW29" s="449">
        <v>70629</v>
      </c>
      <c r="AX29" s="450">
        <v>79722</v>
      </c>
    </row>
    <row r="30" spans="1:50">
      <c r="A30" s="446" t="s">
        <v>833</v>
      </c>
      <c r="B30" s="449">
        <v>604.75452670052914</v>
      </c>
      <c r="C30" s="449">
        <v>812.65123272194967</v>
      </c>
      <c r="D30" s="449">
        <v>908.18078942742159</v>
      </c>
      <c r="E30" s="449">
        <v>836.74945822032271</v>
      </c>
      <c r="F30" s="449">
        <v>864.95628698738471</v>
      </c>
      <c r="G30" s="449">
        <v>906.21099583085174</v>
      </c>
      <c r="H30" s="449">
        <v>926.42199675324673</v>
      </c>
      <c r="I30" s="449">
        <v>978.27296568627457</v>
      </c>
      <c r="J30" s="449">
        <v>1139.1410480132449</v>
      </c>
      <c r="K30" s="449">
        <v>1200.6990964912281</v>
      </c>
      <c r="L30" s="449">
        <v>1323.9970320512821</v>
      </c>
      <c r="M30" s="449">
        <v>1452.441818181818</v>
      </c>
      <c r="N30" s="449">
        <v>1511.8030916824407</v>
      </c>
      <c r="O30" s="449">
        <v>1701.1035947710247</v>
      </c>
      <c r="P30" s="449">
        <v>1903.274051217267</v>
      </c>
      <c r="Q30" s="449">
        <v>2131.7597496509729</v>
      </c>
      <c r="R30" s="449">
        <v>2428.0639368711868</v>
      </c>
      <c r="S30" s="449">
        <v>2771.5117829968985</v>
      </c>
      <c r="T30" s="449">
        <v>3207.541399924532</v>
      </c>
      <c r="U30" s="449">
        <v>3710.2613510344231</v>
      </c>
      <c r="V30" s="449">
        <v>4197.603274787818</v>
      </c>
      <c r="W30" s="449">
        <v>4720.4898698324496</v>
      </c>
      <c r="X30" s="449">
        <v>5488.5371689636804</v>
      </c>
      <c r="Y30" s="449">
        <v>6217.4174215968051</v>
      </c>
      <c r="Z30" s="449">
        <v>7067.3782666611542</v>
      </c>
      <c r="AA30" s="449">
        <v>10859.393305334208</v>
      </c>
      <c r="AB30" s="449">
        <v>14972.731120922161</v>
      </c>
      <c r="AC30" s="449">
        <v>19783.685066584785</v>
      </c>
      <c r="AD30" s="449">
        <v>29049.157239432836</v>
      </c>
      <c r="AE30" s="449">
        <v>40068.21978305572</v>
      </c>
      <c r="AF30" s="449">
        <v>46461.804188829978</v>
      </c>
      <c r="AG30" s="449">
        <v>60790.58</v>
      </c>
      <c r="AH30" s="449">
        <v>74086.399999999994</v>
      </c>
      <c r="AI30" s="449">
        <v>105730.07799999999</v>
      </c>
      <c r="AJ30" s="449">
        <v>141756.05499999999</v>
      </c>
      <c r="AK30" s="449">
        <v>179092.50399999999</v>
      </c>
      <c r="AL30" s="449">
        <v>222215.269</v>
      </c>
      <c r="AM30" s="449">
        <v>270660.41100000002</v>
      </c>
      <c r="AN30" s="449">
        <v>335128.76299999998</v>
      </c>
      <c r="AO30" s="449">
        <v>430043</v>
      </c>
      <c r="AP30" s="449">
        <v>529619</v>
      </c>
      <c r="AQ30" s="449">
        <v>621600</v>
      </c>
      <c r="AR30" s="449">
        <v>706474</v>
      </c>
      <c r="AS30" s="449">
        <v>874039</v>
      </c>
      <c r="AT30" s="449">
        <v>1108654</v>
      </c>
      <c r="AU30" s="449">
        <v>1355725</v>
      </c>
      <c r="AV30" s="449">
        <v>1596466</v>
      </c>
      <c r="AW30" s="449">
        <v>1762119</v>
      </c>
      <c r="AX30" s="450">
        <v>1967254</v>
      </c>
    </row>
    <row r="31" spans="1:50" ht="13.5" thickBot="1">
      <c r="A31" s="452" t="s">
        <v>829</v>
      </c>
      <c r="B31" s="453">
        <v>136.23458881492729</v>
      </c>
      <c r="C31" s="453">
        <v>119.41965119709596</v>
      </c>
      <c r="D31" s="453">
        <v>143.17600511969681</v>
      </c>
      <c r="E31" s="453">
        <v>137.58727797017445</v>
      </c>
      <c r="F31" s="453">
        <v>137.5820539725612</v>
      </c>
      <c r="G31" s="453">
        <v>145.25436083987756</v>
      </c>
      <c r="H31" s="453">
        <v>150.56592501969658</v>
      </c>
      <c r="I31" s="453">
        <v>152.80659312160333</v>
      </c>
      <c r="J31" s="453">
        <v>167.61002934895532</v>
      </c>
      <c r="K31" s="453">
        <v>187.49423427477291</v>
      </c>
      <c r="L31" s="453">
        <v>206.65697545359149</v>
      </c>
      <c r="M31" s="453">
        <v>215.49243713516603</v>
      </c>
      <c r="N31" s="453">
        <v>357.93560476009293</v>
      </c>
      <c r="O31" s="453">
        <v>440.71612943055152</v>
      </c>
      <c r="P31" s="453">
        <v>475.03609331995699</v>
      </c>
      <c r="Q31" s="453">
        <v>379.42067304312741</v>
      </c>
      <c r="R31" s="453">
        <v>444.85987019836693</v>
      </c>
      <c r="S31" s="453">
        <v>495.47345247565045</v>
      </c>
      <c r="T31" s="453">
        <v>511.94854833835825</v>
      </c>
      <c r="U31" s="453">
        <v>475.85192330369</v>
      </c>
      <c r="V31" s="453">
        <v>545.73705836402314</v>
      </c>
      <c r="W31" s="453">
        <v>617.7581533661978</v>
      </c>
      <c r="X31" s="453">
        <v>762.15500000000065</v>
      </c>
      <c r="Y31" s="453">
        <v>738.63700000000063</v>
      </c>
      <c r="Z31" s="453">
        <v>931.03999999999905</v>
      </c>
      <c r="AA31" s="453">
        <v>1230.4980320000013</v>
      </c>
      <c r="AB31" s="453">
        <v>1138.3030199999976</v>
      </c>
      <c r="AC31" s="453">
        <v>2232.6835440000032</v>
      </c>
      <c r="AD31" s="453">
        <v>8648.9205479999982</v>
      </c>
      <c r="AE31" s="453">
        <v>20827.222120000006</v>
      </c>
      <c r="AF31" s="453">
        <v>22523.070165610377</v>
      </c>
      <c r="AG31" s="453">
        <v>18989.147451807439</v>
      </c>
      <c r="AH31" s="453">
        <v>21370.177275898604</v>
      </c>
      <c r="AI31" s="453">
        <v>26603.104000000007</v>
      </c>
      <c r="AJ31" s="453">
        <v>34062.41399999999</v>
      </c>
      <c r="AK31" s="453">
        <v>35773.161999999982</v>
      </c>
      <c r="AL31" s="453">
        <v>43128.154999999999</v>
      </c>
      <c r="AM31" s="453">
        <v>58009.094000000099</v>
      </c>
      <c r="AN31" s="453">
        <v>76735.125</v>
      </c>
      <c r="AO31" s="453">
        <v>91043</v>
      </c>
      <c r="AP31" s="453">
        <v>118531.8</v>
      </c>
      <c r="AQ31" s="453">
        <v>120659.76500000001</v>
      </c>
      <c r="AR31" s="453">
        <v>164981</v>
      </c>
      <c r="AS31" s="453">
        <v>197824</v>
      </c>
      <c r="AT31" s="453"/>
      <c r="AU31" s="453">
        <v>284199</v>
      </c>
      <c r="AV31" s="453">
        <v>333807</v>
      </c>
      <c r="AW31" s="453">
        <v>324584</v>
      </c>
      <c r="AX31" s="454">
        <v>374610</v>
      </c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6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3084-E09F-4CE9-AEA0-78E3D8AAD5CB}">
  <sheetPr>
    <pageSetUpPr fitToPage="1"/>
  </sheetPr>
  <dimension ref="A1:BG28"/>
  <sheetViews>
    <sheetView showGridLines="0" workbookViewId="0">
      <selection activeCell="T33" sqref="T33"/>
    </sheetView>
  </sheetViews>
  <sheetFormatPr defaultColWidth="9.1796875" defaultRowHeight="13"/>
  <cols>
    <col min="1" max="1" width="30.7265625" style="395" customWidth="1"/>
    <col min="2" max="32" width="4.453125" style="395" customWidth="1"/>
    <col min="33" max="35" width="5.26953125" style="395" customWidth="1"/>
    <col min="36" max="36" width="4.453125" style="395" customWidth="1"/>
    <col min="37" max="43" width="5.26953125" style="395" customWidth="1"/>
    <col min="44" max="47" width="6.1796875" style="395" customWidth="1"/>
    <col min="48" max="50" width="10.7265625" style="395" customWidth="1"/>
    <col min="51" max="256" width="9.1796875" style="395"/>
    <col min="257" max="257" width="30.7265625" style="395" customWidth="1"/>
    <col min="258" max="288" width="4.453125" style="395" customWidth="1"/>
    <col min="289" max="291" width="5.26953125" style="395" customWidth="1"/>
    <col min="292" max="292" width="4.453125" style="395" customWidth="1"/>
    <col min="293" max="299" width="5.26953125" style="395" customWidth="1"/>
    <col min="300" max="303" width="6.1796875" style="395" customWidth="1"/>
    <col min="304" max="306" width="10.7265625" style="395" customWidth="1"/>
    <col min="307" max="512" width="9.1796875" style="395"/>
    <col min="513" max="513" width="30.7265625" style="395" customWidth="1"/>
    <col min="514" max="544" width="4.453125" style="395" customWidth="1"/>
    <col min="545" max="547" width="5.26953125" style="395" customWidth="1"/>
    <col min="548" max="548" width="4.453125" style="395" customWidth="1"/>
    <col min="549" max="555" width="5.26953125" style="395" customWidth="1"/>
    <col min="556" max="559" width="6.1796875" style="395" customWidth="1"/>
    <col min="560" max="562" width="10.7265625" style="395" customWidth="1"/>
    <col min="563" max="768" width="9.1796875" style="395"/>
    <col min="769" max="769" width="30.7265625" style="395" customWidth="1"/>
    <col min="770" max="800" width="4.453125" style="395" customWidth="1"/>
    <col min="801" max="803" width="5.26953125" style="395" customWidth="1"/>
    <col min="804" max="804" width="4.453125" style="395" customWidth="1"/>
    <col min="805" max="811" width="5.26953125" style="395" customWidth="1"/>
    <col min="812" max="815" width="6.1796875" style="395" customWidth="1"/>
    <col min="816" max="818" width="10.7265625" style="395" customWidth="1"/>
    <col min="819" max="1024" width="9.1796875" style="395"/>
    <col min="1025" max="1025" width="30.7265625" style="395" customWidth="1"/>
    <col min="1026" max="1056" width="4.453125" style="395" customWidth="1"/>
    <col min="1057" max="1059" width="5.26953125" style="395" customWidth="1"/>
    <col min="1060" max="1060" width="4.453125" style="395" customWidth="1"/>
    <col min="1061" max="1067" width="5.26953125" style="395" customWidth="1"/>
    <col min="1068" max="1071" width="6.1796875" style="395" customWidth="1"/>
    <col min="1072" max="1074" width="10.7265625" style="395" customWidth="1"/>
    <col min="1075" max="1280" width="9.1796875" style="395"/>
    <col min="1281" max="1281" width="30.7265625" style="395" customWidth="1"/>
    <col min="1282" max="1312" width="4.453125" style="395" customWidth="1"/>
    <col min="1313" max="1315" width="5.26953125" style="395" customWidth="1"/>
    <col min="1316" max="1316" width="4.453125" style="395" customWidth="1"/>
    <col min="1317" max="1323" width="5.26953125" style="395" customWidth="1"/>
    <col min="1324" max="1327" width="6.1796875" style="395" customWidth="1"/>
    <col min="1328" max="1330" width="10.7265625" style="395" customWidth="1"/>
    <col min="1331" max="1536" width="9.1796875" style="395"/>
    <col min="1537" max="1537" width="30.7265625" style="395" customWidth="1"/>
    <col min="1538" max="1568" width="4.453125" style="395" customWidth="1"/>
    <col min="1569" max="1571" width="5.26953125" style="395" customWidth="1"/>
    <col min="1572" max="1572" width="4.453125" style="395" customWidth="1"/>
    <col min="1573" max="1579" width="5.26953125" style="395" customWidth="1"/>
    <col min="1580" max="1583" width="6.1796875" style="395" customWidth="1"/>
    <col min="1584" max="1586" width="10.7265625" style="395" customWidth="1"/>
    <col min="1587" max="1792" width="9.1796875" style="395"/>
    <col min="1793" max="1793" width="30.7265625" style="395" customWidth="1"/>
    <col min="1794" max="1824" width="4.453125" style="395" customWidth="1"/>
    <col min="1825" max="1827" width="5.26953125" style="395" customWidth="1"/>
    <col min="1828" max="1828" width="4.453125" style="395" customWidth="1"/>
    <col min="1829" max="1835" width="5.26953125" style="395" customWidth="1"/>
    <col min="1836" max="1839" width="6.1796875" style="395" customWidth="1"/>
    <col min="1840" max="1842" width="10.7265625" style="395" customWidth="1"/>
    <col min="1843" max="2048" width="9.1796875" style="395"/>
    <col min="2049" max="2049" width="30.7265625" style="395" customWidth="1"/>
    <col min="2050" max="2080" width="4.453125" style="395" customWidth="1"/>
    <col min="2081" max="2083" width="5.26953125" style="395" customWidth="1"/>
    <col min="2084" max="2084" width="4.453125" style="395" customWidth="1"/>
    <col min="2085" max="2091" width="5.26953125" style="395" customWidth="1"/>
    <col min="2092" max="2095" width="6.1796875" style="395" customWidth="1"/>
    <col min="2096" max="2098" width="10.7265625" style="395" customWidth="1"/>
    <col min="2099" max="2304" width="9.1796875" style="395"/>
    <col min="2305" max="2305" width="30.7265625" style="395" customWidth="1"/>
    <col min="2306" max="2336" width="4.453125" style="395" customWidth="1"/>
    <col min="2337" max="2339" width="5.26953125" style="395" customWidth="1"/>
    <col min="2340" max="2340" width="4.453125" style="395" customWidth="1"/>
    <col min="2341" max="2347" width="5.26953125" style="395" customWidth="1"/>
    <col min="2348" max="2351" width="6.1796875" style="395" customWidth="1"/>
    <col min="2352" max="2354" width="10.7265625" style="395" customWidth="1"/>
    <col min="2355" max="2560" width="9.1796875" style="395"/>
    <col min="2561" max="2561" width="30.7265625" style="395" customWidth="1"/>
    <col min="2562" max="2592" width="4.453125" style="395" customWidth="1"/>
    <col min="2593" max="2595" width="5.26953125" style="395" customWidth="1"/>
    <col min="2596" max="2596" width="4.453125" style="395" customWidth="1"/>
    <col min="2597" max="2603" width="5.26953125" style="395" customWidth="1"/>
    <col min="2604" max="2607" width="6.1796875" style="395" customWidth="1"/>
    <col min="2608" max="2610" width="10.7265625" style="395" customWidth="1"/>
    <col min="2611" max="2816" width="9.1796875" style="395"/>
    <col min="2817" max="2817" width="30.7265625" style="395" customWidth="1"/>
    <col min="2818" max="2848" width="4.453125" style="395" customWidth="1"/>
    <col min="2849" max="2851" width="5.26953125" style="395" customWidth="1"/>
    <col min="2852" max="2852" width="4.453125" style="395" customWidth="1"/>
    <col min="2853" max="2859" width="5.26953125" style="395" customWidth="1"/>
    <col min="2860" max="2863" width="6.1796875" style="395" customWidth="1"/>
    <col min="2864" max="2866" width="10.7265625" style="395" customWidth="1"/>
    <col min="2867" max="3072" width="9.1796875" style="395"/>
    <col min="3073" max="3073" width="30.7265625" style="395" customWidth="1"/>
    <col min="3074" max="3104" width="4.453125" style="395" customWidth="1"/>
    <col min="3105" max="3107" width="5.26953125" style="395" customWidth="1"/>
    <col min="3108" max="3108" width="4.453125" style="395" customWidth="1"/>
    <col min="3109" max="3115" width="5.26953125" style="395" customWidth="1"/>
    <col min="3116" max="3119" width="6.1796875" style="395" customWidth="1"/>
    <col min="3120" max="3122" width="10.7265625" style="395" customWidth="1"/>
    <col min="3123" max="3328" width="9.1796875" style="395"/>
    <col min="3329" max="3329" width="30.7265625" style="395" customWidth="1"/>
    <col min="3330" max="3360" width="4.453125" style="395" customWidth="1"/>
    <col min="3361" max="3363" width="5.26953125" style="395" customWidth="1"/>
    <col min="3364" max="3364" width="4.453125" style="395" customWidth="1"/>
    <col min="3365" max="3371" width="5.26953125" style="395" customWidth="1"/>
    <col min="3372" max="3375" width="6.1796875" style="395" customWidth="1"/>
    <col min="3376" max="3378" width="10.7265625" style="395" customWidth="1"/>
    <col min="3379" max="3584" width="9.1796875" style="395"/>
    <col min="3585" max="3585" width="30.7265625" style="395" customWidth="1"/>
    <col min="3586" max="3616" width="4.453125" style="395" customWidth="1"/>
    <col min="3617" max="3619" width="5.26953125" style="395" customWidth="1"/>
    <col min="3620" max="3620" width="4.453125" style="395" customWidth="1"/>
    <col min="3621" max="3627" width="5.26953125" style="395" customWidth="1"/>
    <col min="3628" max="3631" width="6.1796875" style="395" customWidth="1"/>
    <col min="3632" max="3634" width="10.7265625" style="395" customWidth="1"/>
    <col min="3635" max="3840" width="9.1796875" style="395"/>
    <col min="3841" max="3841" width="30.7265625" style="395" customWidth="1"/>
    <col min="3842" max="3872" width="4.453125" style="395" customWidth="1"/>
    <col min="3873" max="3875" width="5.26953125" style="395" customWidth="1"/>
    <col min="3876" max="3876" width="4.453125" style="395" customWidth="1"/>
    <col min="3877" max="3883" width="5.26953125" style="395" customWidth="1"/>
    <col min="3884" max="3887" width="6.1796875" style="395" customWidth="1"/>
    <col min="3888" max="3890" width="10.7265625" style="395" customWidth="1"/>
    <col min="3891" max="4096" width="9.1796875" style="395"/>
    <col min="4097" max="4097" width="30.7265625" style="395" customWidth="1"/>
    <col min="4098" max="4128" width="4.453125" style="395" customWidth="1"/>
    <col min="4129" max="4131" width="5.26953125" style="395" customWidth="1"/>
    <col min="4132" max="4132" width="4.453125" style="395" customWidth="1"/>
    <col min="4133" max="4139" width="5.26953125" style="395" customWidth="1"/>
    <col min="4140" max="4143" width="6.1796875" style="395" customWidth="1"/>
    <col min="4144" max="4146" width="10.7265625" style="395" customWidth="1"/>
    <col min="4147" max="4352" width="9.1796875" style="395"/>
    <col min="4353" max="4353" width="30.7265625" style="395" customWidth="1"/>
    <col min="4354" max="4384" width="4.453125" style="395" customWidth="1"/>
    <col min="4385" max="4387" width="5.26953125" style="395" customWidth="1"/>
    <col min="4388" max="4388" width="4.453125" style="395" customWidth="1"/>
    <col min="4389" max="4395" width="5.26953125" style="395" customWidth="1"/>
    <col min="4396" max="4399" width="6.1796875" style="395" customWidth="1"/>
    <col min="4400" max="4402" width="10.7265625" style="395" customWidth="1"/>
    <col min="4403" max="4608" width="9.1796875" style="395"/>
    <col min="4609" max="4609" width="30.7265625" style="395" customWidth="1"/>
    <col min="4610" max="4640" width="4.453125" style="395" customWidth="1"/>
    <col min="4641" max="4643" width="5.26953125" style="395" customWidth="1"/>
    <col min="4644" max="4644" width="4.453125" style="395" customWidth="1"/>
    <col min="4645" max="4651" width="5.26953125" style="395" customWidth="1"/>
    <col min="4652" max="4655" width="6.1796875" style="395" customWidth="1"/>
    <col min="4656" max="4658" width="10.7265625" style="395" customWidth="1"/>
    <col min="4659" max="4864" width="9.1796875" style="395"/>
    <col min="4865" max="4865" width="30.7265625" style="395" customWidth="1"/>
    <col min="4866" max="4896" width="4.453125" style="395" customWidth="1"/>
    <col min="4897" max="4899" width="5.26953125" style="395" customWidth="1"/>
    <col min="4900" max="4900" width="4.453125" style="395" customWidth="1"/>
    <col min="4901" max="4907" width="5.26953125" style="395" customWidth="1"/>
    <col min="4908" max="4911" width="6.1796875" style="395" customWidth="1"/>
    <col min="4912" max="4914" width="10.7265625" style="395" customWidth="1"/>
    <col min="4915" max="5120" width="9.1796875" style="395"/>
    <col min="5121" max="5121" width="30.7265625" style="395" customWidth="1"/>
    <col min="5122" max="5152" width="4.453125" style="395" customWidth="1"/>
    <col min="5153" max="5155" width="5.26953125" style="395" customWidth="1"/>
    <col min="5156" max="5156" width="4.453125" style="395" customWidth="1"/>
    <col min="5157" max="5163" width="5.26953125" style="395" customWidth="1"/>
    <col min="5164" max="5167" width="6.1796875" style="395" customWidth="1"/>
    <col min="5168" max="5170" width="10.7265625" style="395" customWidth="1"/>
    <col min="5171" max="5376" width="9.1796875" style="395"/>
    <col min="5377" max="5377" width="30.7265625" style="395" customWidth="1"/>
    <col min="5378" max="5408" width="4.453125" style="395" customWidth="1"/>
    <col min="5409" max="5411" width="5.26953125" style="395" customWidth="1"/>
    <col min="5412" max="5412" width="4.453125" style="395" customWidth="1"/>
    <col min="5413" max="5419" width="5.26953125" style="395" customWidth="1"/>
    <col min="5420" max="5423" width="6.1796875" style="395" customWidth="1"/>
    <col min="5424" max="5426" width="10.7265625" style="395" customWidth="1"/>
    <col min="5427" max="5632" width="9.1796875" style="395"/>
    <col min="5633" max="5633" width="30.7265625" style="395" customWidth="1"/>
    <col min="5634" max="5664" width="4.453125" style="395" customWidth="1"/>
    <col min="5665" max="5667" width="5.26953125" style="395" customWidth="1"/>
    <col min="5668" max="5668" width="4.453125" style="395" customWidth="1"/>
    <col min="5669" max="5675" width="5.26953125" style="395" customWidth="1"/>
    <col min="5676" max="5679" width="6.1796875" style="395" customWidth="1"/>
    <col min="5680" max="5682" width="10.7265625" style="395" customWidth="1"/>
    <col min="5683" max="5888" width="9.1796875" style="395"/>
    <col min="5889" max="5889" width="30.7265625" style="395" customWidth="1"/>
    <col min="5890" max="5920" width="4.453125" style="395" customWidth="1"/>
    <col min="5921" max="5923" width="5.26953125" style="395" customWidth="1"/>
    <col min="5924" max="5924" width="4.453125" style="395" customWidth="1"/>
    <col min="5925" max="5931" width="5.26953125" style="395" customWidth="1"/>
    <col min="5932" max="5935" width="6.1796875" style="395" customWidth="1"/>
    <col min="5936" max="5938" width="10.7265625" style="395" customWidth="1"/>
    <col min="5939" max="6144" width="9.1796875" style="395"/>
    <col min="6145" max="6145" width="30.7265625" style="395" customWidth="1"/>
    <col min="6146" max="6176" width="4.453125" style="395" customWidth="1"/>
    <col min="6177" max="6179" width="5.26953125" style="395" customWidth="1"/>
    <col min="6180" max="6180" width="4.453125" style="395" customWidth="1"/>
    <col min="6181" max="6187" width="5.26953125" style="395" customWidth="1"/>
    <col min="6188" max="6191" width="6.1796875" style="395" customWidth="1"/>
    <col min="6192" max="6194" width="10.7265625" style="395" customWidth="1"/>
    <col min="6195" max="6400" width="9.1796875" style="395"/>
    <col min="6401" max="6401" width="30.7265625" style="395" customWidth="1"/>
    <col min="6402" max="6432" width="4.453125" style="395" customWidth="1"/>
    <col min="6433" max="6435" width="5.26953125" style="395" customWidth="1"/>
    <col min="6436" max="6436" width="4.453125" style="395" customWidth="1"/>
    <col min="6437" max="6443" width="5.26953125" style="395" customWidth="1"/>
    <col min="6444" max="6447" width="6.1796875" style="395" customWidth="1"/>
    <col min="6448" max="6450" width="10.7265625" style="395" customWidth="1"/>
    <col min="6451" max="6656" width="9.1796875" style="395"/>
    <col min="6657" max="6657" width="30.7265625" style="395" customWidth="1"/>
    <col min="6658" max="6688" width="4.453125" style="395" customWidth="1"/>
    <col min="6689" max="6691" width="5.26953125" style="395" customWidth="1"/>
    <col min="6692" max="6692" width="4.453125" style="395" customWidth="1"/>
    <col min="6693" max="6699" width="5.26953125" style="395" customWidth="1"/>
    <col min="6700" max="6703" width="6.1796875" style="395" customWidth="1"/>
    <col min="6704" max="6706" width="10.7265625" style="395" customWidth="1"/>
    <col min="6707" max="6912" width="9.1796875" style="395"/>
    <col min="6913" max="6913" width="30.7265625" style="395" customWidth="1"/>
    <col min="6914" max="6944" width="4.453125" style="395" customWidth="1"/>
    <col min="6945" max="6947" width="5.26953125" style="395" customWidth="1"/>
    <col min="6948" max="6948" width="4.453125" style="395" customWidth="1"/>
    <col min="6949" max="6955" width="5.26953125" style="395" customWidth="1"/>
    <col min="6956" max="6959" width="6.1796875" style="395" customWidth="1"/>
    <col min="6960" max="6962" width="10.7265625" style="395" customWidth="1"/>
    <col min="6963" max="7168" width="9.1796875" style="395"/>
    <col min="7169" max="7169" width="30.7265625" style="395" customWidth="1"/>
    <col min="7170" max="7200" width="4.453125" style="395" customWidth="1"/>
    <col min="7201" max="7203" width="5.26953125" style="395" customWidth="1"/>
    <col min="7204" max="7204" width="4.453125" style="395" customWidth="1"/>
    <col min="7205" max="7211" width="5.26953125" style="395" customWidth="1"/>
    <col min="7212" max="7215" width="6.1796875" style="395" customWidth="1"/>
    <col min="7216" max="7218" width="10.7265625" style="395" customWidth="1"/>
    <col min="7219" max="7424" width="9.1796875" style="395"/>
    <col min="7425" max="7425" width="30.7265625" style="395" customWidth="1"/>
    <col min="7426" max="7456" width="4.453125" style="395" customWidth="1"/>
    <col min="7457" max="7459" width="5.26953125" style="395" customWidth="1"/>
    <col min="7460" max="7460" width="4.453125" style="395" customWidth="1"/>
    <col min="7461" max="7467" width="5.26953125" style="395" customWidth="1"/>
    <col min="7468" max="7471" width="6.1796875" style="395" customWidth="1"/>
    <col min="7472" max="7474" width="10.7265625" style="395" customWidth="1"/>
    <col min="7475" max="7680" width="9.1796875" style="395"/>
    <col min="7681" max="7681" width="30.7265625" style="395" customWidth="1"/>
    <col min="7682" max="7712" width="4.453125" style="395" customWidth="1"/>
    <col min="7713" max="7715" width="5.26953125" style="395" customWidth="1"/>
    <col min="7716" max="7716" width="4.453125" style="395" customWidth="1"/>
    <col min="7717" max="7723" width="5.26953125" style="395" customWidth="1"/>
    <col min="7724" max="7727" width="6.1796875" style="395" customWidth="1"/>
    <col min="7728" max="7730" width="10.7265625" style="395" customWidth="1"/>
    <col min="7731" max="7936" width="9.1796875" style="395"/>
    <col min="7937" max="7937" width="30.7265625" style="395" customWidth="1"/>
    <col min="7938" max="7968" width="4.453125" style="395" customWidth="1"/>
    <col min="7969" max="7971" width="5.26953125" style="395" customWidth="1"/>
    <col min="7972" max="7972" width="4.453125" style="395" customWidth="1"/>
    <col min="7973" max="7979" width="5.26953125" style="395" customWidth="1"/>
    <col min="7980" max="7983" width="6.1796875" style="395" customWidth="1"/>
    <col min="7984" max="7986" width="10.7265625" style="395" customWidth="1"/>
    <col min="7987" max="8192" width="9.1796875" style="395"/>
    <col min="8193" max="8193" width="30.7265625" style="395" customWidth="1"/>
    <col min="8194" max="8224" width="4.453125" style="395" customWidth="1"/>
    <col min="8225" max="8227" width="5.26953125" style="395" customWidth="1"/>
    <col min="8228" max="8228" width="4.453125" style="395" customWidth="1"/>
    <col min="8229" max="8235" width="5.26953125" style="395" customWidth="1"/>
    <col min="8236" max="8239" width="6.1796875" style="395" customWidth="1"/>
    <col min="8240" max="8242" width="10.7265625" style="395" customWidth="1"/>
    <col min="8243" max="8448" width="9.1796875" style="395"/>
    <col min="8449" max="8449" width="30.7265625" style="395" customWidth="1"/>
    <col min="8450" max="8480" width="4.453125" style="395" customWidth="1"/>
    <col min="8481" max="8483" width="5.26953125" style="395" customWidth="1"/>
    <col min="8484" max="8484" width="4.453125" style="395" customWidth="1"/>
    <col min="8485" max="8491" width="5.26953125" style="395" customWidth="1"/>
    <col min="8492" max="8495" width="6.1796875" style="395" customWidth="1"/>
    <col min="8496" max="8498" width="10.7265625" style="395" customWidth="1"/>
    <col min="8499" max="8704" width="9.1796875" style="395"/>
    <col min="8705" max="8705" width="30.7265625" style="395" customWidth="1"/>
    <col min="8706" max="8736" width="4.453125" style="395" customWidth="1"/>
    <col min="8737" max="8739" width="5.26953125" style="395" customWidth="1"/>
    <col min="8740" max="8740" width="4.453125" style="395" customWidth="1"/>
    <col min="8741" max="8747" width="5.26953125" style="395" customWidth="1"/>
    <col min="8748" max="8751" width="6.1796875" style="395" customWidth="1"/>
    <col min="8752" max="8754" width="10.7265625" style="395" customWidth="1"/>
    <col min="8755" max="8960" width="9.1796875" style="395"/>
    <col min="8961" max="8961" width="30.7265625" style="395" customWidth="1"/>
    <col min="8962" max="8992" width="4.453125" style="395" customWidth="1"/>
    <col min="8993" max="8995" width="5.26953125" style="395" customWidth="1"/>
    <col min="8996" max="8996" width="4.453125" style="395" customWidth="1"/>
    <col min="8997" max="9003" width="5.26953125" style="395" customWidth="1"/>
    <col min="9004" max="9007" width="6.1796875" style="395" customWidth="1"/>
    <col min="9008" max="9010" width="10.7265625" style="395" customWidth="1"/>
    <col min="9011" max="9216" width="9.1796875" style="395"/>
    <col min="9217" max="9217" width="30.7265625" style="395" customWidth="1"/>
    <col min="9218" max="9248" width="4.453125" style="395" customWidth="1"/>
    <col min="9249" max="9251" width="5.26953125" style="395" customWidth="1"/>
    <col min="9252" max="9252" width="4.453125" style="395" customWidth="1"/>
    <col min="9253" max="9259" width="5.26953125" style="395" customWidth="1"/>
    <col min="9260" max="9263" width="6.1796875" style="395" customWidth="1"/>
    <col min="9264" max="9266" width="10.7265625" style="395" customWidth="1"/>
    <col min="9267" max="9472" width="9.1796875" style="395"/>
    <col min="9473" max="9473" width="30.7265625" style="395" customWidth="1"/>
    <col min="9474" max="9504" width="4.453125" style="395" customWidth="1"/>
    <col min="9505" max="9507" width="5.26953125" style="395" customWidth="1"/>
    <col min="9508" max="9508" width="4.453125" style="395" customWidth="1"/>
    <col min="9509" max="9515" width="5.26953125" style="395" customWidth="1"/>
    <col min="9516" max="9519" width="6.1796875" style="395" customWidth="1"/>
    <col min="9520" max="9522" width="10.7265625" style="395" customWidth="1"/>
    <col min="9523" max="9728" width="9.1796875" style="395"/>
    <col min="9729" max="9729" width="30.7265625" style="395" customWidth="1"/>
    <col min="9730" max="9760" width="4.453125" style="395" customWidth="1"/>
    <col min="9761" max="9763" width="5.26953125" style="395" customWidth="1"/>
    <col min="9764" max="9764" width="4.453125" style="395" customWidth="1"/>
    <col min="9765" max="9771" width="5.26953125" style="395" customWidth="1"/>
    <col min="9772" max="9775" width="6.1796875" style="395" customWidth="1"/>
    <col min="9776" max="9778" width="10.7265625" style="395" customWidth="1"/>
    <col min="9779" max="9984" width="9.1796875" style="395"/>
    <col min="9985" max="9985" width="30.7265625" style="395" customWidth="1"/>
    <col min="9986" max="10016" width="4.453125" style="395" customWidth="1"/>
    <col min="10017" max="10019" width="5.26953125" style="395" customWidth="1"/>
    <col min="10020" max="10020" width="4.453125" style="395" customWidth="1"/>
    <col min="10021" max="10027" width="5.26953125" style="395" customWidth="1"/>
    <col min="10028" max="10031" width="6.1796875" style="395" customWidth="1"/>
    <col min="10032" max="10034" width="10.7265625" style="395" customWidth="1"/>
    <col min="10035" max="10240" width="9.1796875" style="395"/>
    <col min="10241" max="10241" width="30.7265625" style="395" customWidth="1"/>
    <col min="10242" max="10272" width="4.453125" style="395" customWidth="1"/>
    <col min="10273" max="10275" width="5.26953125" style="395" customWidth="1"/>
    <col min="10276" max="10276" width="4.453125" style="395" customWidth="1"/>
    <col min="10277" max="10283" width="5.26953125" style="395" customWidth="1"/>
    <col min="10284" max="10287" width="6.1796875" style="395" customWidth="1"/>
    <col min="10288" max="10290" width="10.7265625" style="395" customWidth="1"/>
    <col min="10291" max="10496" width="9.1796875" style="395"/>
    <col min="10497" max="10497" width="30.7265625" style="395" customWidth="1"/>
    <col min="10498" max="10528" width="4.453125" style="395" customWidth="1"/>
    <col min="10529" max="10531" width="5.26953125" style="395" customWidth="1"/>
    <col min="10532" max="10532" width="4.453125" style="395" customWidth="1"/>
    <col min="10533" max="10539" width="5.26953125" style="395" customWidth="1"/>
    <col min="10540" max="10543" width="6.1796875" style="395" customWidth="1"/>
    <col min="10544" max="10546" width="10.7265625" style="395" customWidth="1"/>
    <col min="10547" max="10752" width="9.1796875" style="395"/>
    <col min="10753" max="10753" width="30.7265625" style="395" customWidth="1"/>
    <col min="10754" max="10784" width="4.453125" style="395" customWidth="1"/>
    <col min="10785" max="10787" width="5.26953125" style="395" customWidth="1"/>
    <col min="10788" max="10788" width="4.453125" style="395" customWidth="1"/>
    <col min="10789" max="10795" width="5.26953125" style="395" customWidth="1"/>
    <col min="10796" max="10799" width="6.1796875" style="395" customWidth="1"/>
    <col min="10800" max="10802" width="10.7265625" style="395" customWidth="1"/>
    <col min="10803" max="11008" width="9.1796875" style="395"/>
    <col min="11009" max="11009" width="30.7265625" style="395" customWidth="1"/>
    <col min="11010" max="11040" width="4.453125" style="395" customWidth="1"/>
    <col min="11041" max="11043" width="5.26953125" style="395" customWidth="1"/>
    <col min="11044" max="11044" width="4.453125" style="395" customWidth="1"/>
    <col min="11045" max="11051" width="5.26953125" style="395" customWidth="1"/>
    <col min="11052" max="11055" width="6.1796875" style="395" customWidth="1"/>
    <col min="11056" max="11058" width="10.7265625" style="395" customWidth="1"/>
    <col min="11059" max="11264" width="9.1796875" style="395"/>
    <col min="11265" max="11265" width="30.7265625" style="395" customWidth="1"/>
    <col min="11266" max="11296" width="4.453125" style="395" customWidth="1"/>
    <col min="11297" max="11299" width="5.26953125" style="395" customWidth="1"/>
    <col min="11300" max="11300" width="4.453125" style="395" customWidth="1"/>
    <col min="11301" max="11307" width="5.26953125" style="395" customWidth="1"/>
    <col min="11308" max="11311" width="6.1796875" style="395" customWidth="1"/>
    <col min="11312" max="11314" width="10.7265625" style="395" customWidth="1"/>
    <col min="11315" max="11520" width="9.1796875" style="395"/>
    <col min="11521" max="11521" width="30.7265625" style="395" customWidth="1"/>
    <col min="11522" max="11552" width="4.453125" style="395" customWidth="1"/>
    <col min="11553" max="11555" width="5.26953125" style="395" customWidth="1"/>
    <col min="11556" max="11556" width="4.453125" style="395" customWidth="1"/>
    <col min="11557" max="11563" width="5.26953125" style="395" customWidth="1"/>
    <col min="11564" max="11567" width="6.1796875" style="395" customWidth="1"/>
    <col min="11568" max="11570" width="10.7265625" style="395" customWidth="1"/>
    <col min="11571" max="11776" width="9.1796875" style="395"/>
    <col min="11777" max="11777" width="30.7265625" style="395" customWidth="1"/>
    <col min="11778" max="11808" width="4.453125" style="395" customWidth="1"/>
    <col min="11809" max="11811" width="5.26953125" style="395" customWidth="1"/>
    <col min="11812" max="11812" width="4.453125" style="395" customWidth="1"/>
    <col min="11813" max="11819" width="5.26953125" style="395" customWidth="1"/>
    <col min="11820" max="11823" width="6.1796875" style="395" customWidth="1"/>
    <col min="11824" max="11826" width="10.7265625" style="395" customWidth="1"/>
    <col min="11827" max="12032" width="9.1796875" style="395"/>
    <col min="12033" max="12033" width="30.7265625" style="395" customWidth="1"/>
    <col min="12034" max="12064" width="4.453125" style="395" customWidth="1"/>
    <col min="12065" max="12067" width="5.26953125" style="395" customWidth="1"/>
    <col min="12068" max="12068" width="4.453125" style="395" customWidth="1"/>
    <col min="12069" max="12075" width="5.26953125" style="395" customWidth="1"/>
    <col min="12076" max="12079" width="6.1796875" style="395" customWidth="1"/>
    <col min="12080" max="12082" width="10.7265625" style="395" customWidth="1"/>
    <col min="12083" max="12288" width="9.1796875" style="395"/>
    <col min="12289" max="12289" width="30.7265625" style="395" customWidth="1"/>
    <col min="12290" max="12320" width="4.453125" style="395" customWidth="1"/>
    <col min="12321" max="12323" width="5.26953125" style="395" customWidth="1"/>
    <col min="12324" max="12324" width="4.453125" style="395" customWidth="1"/>
    <col min="12325" max="12331" width="5.26953125" style="395" customWidth="1"/>
    <col min="12332" max="12335" width="6.1796875" style="395" customWidth="1"/>
    <col min="12336" max="12338" width="10.7265625" style="395" customWidth="1"/>
    <col min="12339" max="12544" width="9.1796875" style="395"/>
    <col min="12545" max="12545" width="30.7265625" style="395" customWidth="1"/>
    <col min="12546" max="12576" width="4.453125" style="395" customWidth="1"/>
    <col min="12577" max="12579" width="5.26953125" style="395" customWidth="1"/>
    <col min="12580" max="12580" width="4.453125" style="395" customWidth="1"/>
    <col min="12581" max="12587" width="5.26953125" style="395" customWidth="1"/>
    <col min="12588" max="12591" width="6.1796875" style="395" customWidth="1"/>
    <col min="12592" max="12594" width="10.7265625" style="395" customWidth="1"/>
    <col min="12595" max="12800" width="9.1796875" style="395"/>
    <col min="12801" max="12801" width="30.7265625" style="395" customWidth="1"/>
    <col min="12802" max="12832" width="4.453125" style="395" customWidth="1"/>
    <col min="12833" max="12835" width="5.26953125" style="395" customWidth="1"/>
    <col min="12836" max="12836" width="4.453125" style="395" customWidth="1"/>
    <col min="12837" max="12843" width="5.26953125" style="395" customWidth="1"/>
    <col min="12844" max="12847" width="6.1796875" style="395" customWidth="1"/>
    <col min="12848" max="12850" width="10.7265625" style="395" customWidth="1"/>
    <col min="12851" max="13056" width="9.1796875" style="395"/>
    <col min="13057" max="13057" width="30.7265625" style="395" customWidth="1"/>
    <col min="13058" max="13088" width="4.453125" style="395" customWidth="1"/>
    <col min="13089" max="13091" width="5.26953125" style="395" customWidth="1"/>
    <col min="13092" max="13092" width="4.453125" style="395" customWidth="1"/>
    <col min="13093" max="13099" width="5.26953125" style="395" customWidth="1"/>
    <col min="13100" max="13103" width="6.1796875" style="395" customWidth="1"/>
    <col min="13104" max="13106" width="10.7265625" style="395" customWidth="1"/>
    <col min="13107" max="13312" width="9.1796875" style="395"/>
    <col min="13313" max="13313" width="30.7265625" style="395" customWidth="1"/>
    <col min="13314" max="13344" width="4.453125" style="395" customWidth="1"/>
    <col min="13345" max="13347" width="5.26953125" style="395" customWidth="1"/>
    <col min="13348" max="13348" width="4.453125" style="395" customWidth="1"/>
    <col min="13349" max="13355" width="5.26953125" style="395" customWidth="1"/>
    <col min="13356" max="13359" width="6.1796875" style="395" customWidth="1"/>
    <col min="13360" max="13362" width="10.7265625" style="395" customWidth="1"/>
    <col min="13363" max="13568" width="9.1796875" style="395"/>
    <col min="13569" max="13569" width="30.7265625" style="395" customWidth="1"/>
    <col min="13570" max="13600" width="4.453125" style="395" customWidth="1"/>
    <col min="13601" max="13603" width="5.26953125" style="395" customWidth="1"/>
    <col min="13604" max="13604" width="4.453125" style="395" customWidth="1"/>
    <col min="13605" max="13611" width="5.26953125" style="395" customWidth="1"/>
    <col min="13612" max="13615" width="6.1796875" style="395" customWidth="1"/>
    <col min="13616" max="13618" width="10.7265625" style="395" customWidth="1"/>
    <col min="13619" max="13824" width="9.1796875" style="395"/>
    <col min="13825" max="13825" width="30.7265625" style="395" customWidth="1"/>
    <col min="13826" max="13856" width="4.453125" style="395" customWidth="1"/>
    <col min="13857" max="13859" width="5.26953125" style="395" customWidth="1"/>
    <col min="13860" max="13860" width="4.453125" style="395" customWidth="1"/>
    <col min="13861" max="13867" width="5.26953125" style="395" customWidth="1"/>
    <col min="13868" max="13871" width="6.1796875" style="395" customWidth="1"/>
    <col min="13872" max="13874" width="10.7265625" style="395" customWidth="1"/>
    <col min="13875" max="14080" width="9.1796875" style="395"/>
    <col min="14081" max="14081" width="30.7265625" style="395" customWidth="1"/>
    <col min="14082" max="14112" width="4.453125" style="395" customWidth="1"/>
    <col min="14113" max="14115" width="5.26953125" style="395" customWidth="1"/>
    <col min="14116" max="14116" width="4.453125" style="395" customWidth="1"/>
    <col min="14117" max="14123" width="5.26953125" style="395" customWidth="1"/>
    <col min="14124" max="14127" width="6.1796875" style="395" customWidth="1"/>
    <col min="14128" max="14130" width="10.7265625" style="395" customWidth="1"/>
    <col min="14131" max="14336" width="9.1796875" style="395"/>
    <col min="14337" max="14337" width="30.7265625" style="395" customWidth="1"/>
    <col min="14338" max="14368" width="4.453125" style="395" customWidth="1"/>
    <col min="14369" max="14371" width="5.26953125" style="395" customWidth="1"/>
    <col min="14372" max="14372" width="4.453125" style="395" customWidth="1"/>
    <col min="14373" max="14379" width="5.26953125" style="395" customWidth="1"/>
    <col min="14380" max="14383" width="6.1796875" style="395" customWidth="1"/>
    <col min="14384" max="14386" width="10.7265625" style="395" customWidth="1"/>
    <col min="14387" max="14592" width="9.1796875" style="395"/>
    <col min="14593" max="14593" width="30.7265625" style="395" customWidth="1"/>
    <col min="14594" max="14624" width="4.453125" style="395" customWidth="1"/>
    <col min="14625" max="14627" width="5.26953125" style="395" customWidth="1"/>
    <col min="14628" max="14628" width="4.453125" style="395" customWidth="1"/>
    <col min="14629" max="14635" width="5.26953125" style="395" customWidth="1"/>
    <col min="14636" max="14639" width="6.1796875" style="395" customWidth="1"/>
    <col min="14640" max="14642" width="10.7265625" style="395" customWidth="1"/>
    <col min="14643" max="14848" width="9.1796875" style="395"/>
    <col min="14849" max="14849" width="30.7265625" style="395" customWidth="1"/>
    <col min="14850" max="14880" width="4.453125" style="395" customWidth="1"/>
    <col min="14881" max="14883" width="5.26953125" style="395" customWidth="1"/>
    <col min="14884" max="14884" width="4.453125" style="395" customWidth="1"/>
    <col min="14885" max="14891" width="5.26953125" style="395" customWidth="1"/>
    <col min="14892" max="14895" width="6.1796875" style="395" customWidth="1"/>
    <col min="14896" max="14898" width="10.7265625" style="395" customWidth="1"/>
    <col min="14899" max="15104" width="9.1796875" style="395"/>
    <col min="15105" max="15105" width="30.7265625" style="395" customWidth="1"/>
    <col min="15106" max="15136" width="4.453125" style="395" customWidth="1"/>
    <col min="15137" max="15139" width="5.26953125" style="395" customWidth="1"/>
    <col min="15140" max="15140" width="4.453125" style="395" customWidth="1"/>
    <col min="15141" max="15147" width="5.26953125" style="395" customWidth="1"/>
    <col min="15148" max="15151" width="6.1796875" style="395" customWidth="1"/>
    <col min="15152" max="15154" width="10.7265625" style="395" customWidth="1"/>
    <col min="15155" max="15360" width="9.1796875" style="395"/>
    <col min="15361" max="15361" width="30.7265625" style="395" customWidth="1"/>
    <col min="15362" max="15392" width="4.453125" style="395" customWidth="1"/>
    <col min="15393" max="15395" width="5.26953125" style="395" customWidth="1"/>
    <col min="15396" max="15396" width="4.453125" style="395" customWidth="1"/>
    <col min="15397" max="15403" width="5.26953125" style="395" customWidth="1"/>
    <col min="15404" max="15407" width="6.1796875" style="395" customWidth="1"/>
    <col min="15408" max="15410" width="10.7265625" style="395" customWidth="1"/>
    <col min="15411" max="15616" width="9.1796875" style="395"/>
    <col min="15617" max="15617" width="30.7265625" style="395" customWidth="1"/>
    <col min="15618" max="15648" width="4.453125" style="395" customWidth="1"/>
    <col min="15649" max="15651" width="5.26953125" style="395" customWidth="1"/>
    <col min="15652" max="15652" width="4.453125" style="395" customWidth="1"/>
    <col min="15653" max="15659" width="5.26953125" style="395" customWidth="1"/>
    <col min="15660" max="15663" width="6.1796875" style="395" customWidth="1"/>
    <col min="15664" max="15666" width="10.7265625" style="395" customWidth="1"/>
    <col min="15667" max="15872" width="9.1796875" style="395"/>
    <col min="15873" max="15873" width="30.7265625" style="395" customWidth="1"/>
    <col min="15874" max="15904" width="4.453125" style="395" customWidth="1"/>
    <col min="15905" max="15907" width="5.26953125" style="395" customWidth="1"/>
    <col min="15908" max="15908" width="4.453125" style="395" customWidth="1"/>
    <col min="15909" max="15915" width="5.26953125" style="395" customWidth="1"/>
    <col min="15916" max="15919" width="6.1796875" style="395" customWidth="1"/>
    <col min="15920" max="15922" width="10.7265625" style="395" customWidth="1"/>
    <col min="15923" max="16128" width="9.1796875" style="395"/>
    <col min="16129" max="16129" width="30.7265625" style="395" customWidth="1"/>
    <col min="16130" max="16160" width="4.453125" style="395" customWidth="1"/>
    <col min="16161" max="16163" width="5.26953125" style="395" customWidth="1"/>
    <col min="16164" max="16164" width="4.453125" style="395" customWidth="1"/>
    <col min="16165" max="16171" width="5.26953125" style="395" customWidth="1"/>
    <col min="16172" max="16175" width="6.1796875" style="395" customWidth="1"/>
    <col min="16176" max="16178" width="10.7265625" style="395" customWidth="1"/>
    <col min="16179" max="16384" width="9.1796875" style="395"/>
  </cols>
  <sheetData>
    <row r="1" spans="1:59">
      <c r="A1" s="440" t="s">
        <v>834</v>
      </c>
    </row>
    <row r="2" spans="1:59">
      <c r="A2" s="395" t="s">
        <v>192</v>
      </c>
      <c r="D2" s="396"/>
      <c r="AY2" s="396"/>
      <c r="AZ2" s="396"/>
      <c r="BA2" s="396"/>
      <c r="BB2" s="396"/>
      <c r="BC2" s="396"/>
      <c r="BD2" s="396"/>
      <c r="BE2" s="396"/>
      <c r="BF2" s="396"/>
      <c r="BG2" s="396"/>
    </row>
    <row r="3" spans="1:59" ht="13.5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Y3" s="396"/>
      <c r="AZ3" s="396"/>
      <c r="BA3" s="396"/>
      <c r="BB3" s="396"/>
      <c r="BC3" s="396"/>
      <c r="BD3" s="396"/>
      <c r="BE3" s="396"/>
      <c r="BF3" s="396"/>
      <c r="BG3" s="396"/>
    </row>
    <row r="4" spans="1:59">
      <c r="A4" s="443"/>
      <c r="B4" s="444">
        <v>1947</v>
      </c>
      <c r="C4" s="444">
        <v>1948</v>
      </c>
      <c r="D4" s="444">
        <v>1949</v>
      </c>
      <c r="E4" s="444">
        <v>1950</v>
      </c>
      <c r="F4" s="444">
        <v>1951</v>
      </c>
      <c r="G4" s="444">
        <v>1952</v>
      </c>
      <c r="H4" s="444">
        <v>1953</v>
      </c>
      <c r="I4" s="444">
        <v>1954</v>
      </c>
      <c r="J4" s="444">
        <v>1955</v>
      </c>
      <c r="K4" s="444">
        <v>1956</v>
      </c>
      <c r="L4" s="444">
        <v>1957</v>
      </c>
      <c r="M4" s="444">
        <v>1958</v>
      </c>
      <c r="N4" s="444">
        <v>1959</v>
      </c>
      <c r="O4" s="444">
        <v>1960</v>
      </c>
      <c r="P4" s="444">
        <v>1961</v>
      </c>
      <c r="Q4" s="444">
        <v>1962</v>
      </c>
      <c r="R4" s="444">
        <v>1963</v>
      </c>
      <c r="S4" s="444">
        <v>1964</v>
      </c>
      <c r="T4" s="444">
        <v>1965</v>
      </c>
      <c r="U4" s="444">
        <v>1966</v>
      </c>
      <c r="V4" s="444">
        <v>1967</v>
      </c>
      <c r="W4" s="444">
        <v>1968</v>
      </c>
      <c r="X4" s="444">
        <v>1969</v>
      </c>
      <c r="Y4" s="444">
        <v>1970</v>
      </c>
      <c r="Z4" s="444">
        <v>1971</v>
      </c>
      <c r="AA4" s="444">
        <v>1972</v>
      </c>
      <c r="AB4" s="444">
        <v>1973</v>
      </c>
      <c r="AC4" s="444">
        <v>1974</v>
      </c>
      <c r="AD4" s="444">
        <v>1975</v>
      </c>
      <c r="AE4" s="444">
        <v>1976</v>
      </c>
      <c r="AF4" s="444">
        <v>1977</v>
      </c>
      <c r="AG4" s="444">
        <v>1978</v>
      </c>
      <c r="AH4" s="444">
        <v>1979</v>
      </c>
      <c r="AI4" s="444">
        <v>1980</v>
      </c>
      <c r="AJ4" s="444">
        <v>1981</v>
      </c>
      <c r="AK4" s="444">
        <v>1982</v>
      </c>
      <c r="AL4" s="444">
        <v>1983</v>
      </c>
      <c r="AM4" s="444">
        <v>1984</v>
      </c>
      <c r="AN4" s="444">
        <v>1985</v>
      </c>
      <c r="AO4" s="444">
        <v>1986</v>
      </c>
      <c r="AP4" s="444">
        <v>1987</v>
      </c>
      <c r="AQ4" s="444">
        <v>1988</v>
      </c>
      <c r="AR4" s="444">
        <v>1989</v>
      </c>
      <c r="AS4" s="444">
        <v>1990</v>
      </c>
      <c r="AT4" s="444">
        <v>1991</v>
      </c>
      <c r="AU4" s="444">
        <v>1992</v>
      </c>
      <c r="AV4" s="444">
        <v>1993</v>
      </c>
      <c r="AW4" s="444">
        <v>1994</v>
      </c>
      <c r="AX4" s="445">
        <v>1995</v>
      </c>
      <c r="AY4" s="396"/>
      <c r="AZ4" s="396"/>
      <c r="BA4" s="396"/>
      <c r="BB4" s="396"/>
      <c r="BC4" s="396"/>
      <c r="BD4" s="396"/>
      <c r="BE4" s="396"/>
      <c r="BF4" s="396"/>
      <c r="BG4" s="396"/>
    </row>
    <row r="5" spans="1:59">
      <c r="A5" s="446"/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AQ5" s="476"/>
      <c r="AR5" s="476"/>
      <c r="AS5" s="476"/>
      <c r="AT5" s="476"/>
      <c r="AU5" s="476"/>
      <c r="AV5" s="476"/>
      <c r="AW5" s="476"/>
      <c r="AX5" s="477"/>
      <c r="AZ5" s="396"/>
      <c r="BA5" s="396"/>
    </row>
    <row r="6" spans="1:59">
      <c r="A6" s="446" t="s">
        <v>826</v>
      </c>
      <c r="B6" s="449">
        <v>279.10822880755427</v>
      </c>
      <c r="C6" s="449">
        <v>338.56447892601796</v>
      </c>
      <c r="D6" s="449">
        <v>269.44462616480581</v>
      </c>
      <c r="E6" s="449">
        <v>994.06492288849654</v>
      </c>
      <c r="F6" s="449">
        <v>340.00369195297105</v>
      </c>
      <c r="G6" s="449">
        <v>395.87989450722819</v>
      </c>
      <c r="H6" s="449">
        <v>338.06359890526909</v>
      </c>
      <c r="I6" s="449">
        <v>396.9776394169192</v>
      </c>
      <c r="J6" s="449">
        <v>461.06071463635567</v>
      </c>
      <c r="K6" s="449">
        <v>440.95990990993022</v>
      </c>
      <c r="L6" s="449">
        <v>419.38651261017435</v>
      </c>
      <c r="M6" s="449">
        <v>464.4478515700149</v>
      </c>
      <c r="N6" s="449">
        <v>464.84400000000005</v>
      </c>
      <c r="O6" s="449">
        <v>514.48700000000008</v>
      </c>
      <c r="P6" s="449">
        <v>519.62099999999987</v>
      </c>
      <c r="Q6" s="449">
        <v>541.28</v>
      </c>
      <c r="R6" s="449">
        <v>629.37</v>
      </c>
      <c r="S6" s="449">
        <v>616.02800000000002</v>
      </c>
      <c r="T6" s="449">
        <v>612.49</v>
      </c>
      <c r="U6" s="449">
        <v>737.41099999999983</v>
      </c>
      <c r="V6" s="449">
        <v>736.73199999999986</v>
      </c>
      <c r="W6" s="449">
        <v>686.99300000000005</v>
      </c>
      <c r="X6" s="449">
        <v>712.19900000000007</v>
      </c>
      <c r="Y6" s="449">
        <v>949.95500000000004</v>
      </c>
      <c r="Z6" s="449">
        <v>990.255</v>
      </c>
      <c r="AA6" s="449">
        <v>952.09</v>
      </c>
      <c r="AB6" s="449">
        <v>1060.2149999999999</v>
      </c>
      <c r="AC6" s="449">
        <v>1360.0240000000008</v>
      </c>
      <c r="AD6" s="449">
        <v>1132.0130000000004</v>
      </c>
      <c r="AE6" s="449">
        <v>835.05</v>
      </c>
      <c r="AF6" s="449">
        <v>1375.0470000000005</v>
      </c>
      <c r="AG6" s="449">
        <v>3254.3537541547448</v>
      </c>
      <c r="AH6" s="449">
        <v>1956.2237726416006</v>
      </c>
      <c r="AI6" s="449">
        <v>2815.0130000000063</v>
      </c>
      <c r="AJ6" s="449">
        <v>2118.8689999999988</v>
      </c>
      <c r="AK6" s="449">
        <v>2410.2639999999956</v>
      </c>
      <c r="AL6" s="449">
        <v>7264.3690000000024</v>
      </c>
      <c r="AM6" s="449">
        <v>13022.975999999999</v>
      </c>
      <c r="AN6" s="449">
        <v>14524.625</v>
      </c>
      <c r="AO6" s="449">
        <v>37426</v>
      </c>
      <c r="AP6" s="449">
        <v>45998</v>
      </c>
      <c r="AQ6" s="449">
        <v>60367</v>
      </c>
      <c r="AR6" s="449">
        <v>122846</v>
      </c>
      <c r="AS6" s="449">
        <v>147686</v>
      </c>
      <c r="AT6" s="449">
        <v>208678</v>
      </c>
      <c r="AU6" s="449">
        <v>271847</v>
      </c>
      <c r="AV6" s="449">
        <v>257649</v>
      </c>
      <c r="AW6" s="449">
        <v>258098</v>
      </c>
      <c r="AX6" s="450">
        <v>300067</v>
      </c>
      <c r="AY6" s="396"/>
      <c r="AZ6" s="396"/>
      <c r="BA6" s="396"/>
      <c r="BB6" s="396"/>
      <c r="BC6" s="396"/>
      <c r="BD6" s="396"/>
      <c r="BE6" s="396"/>
      <c r="BF6" s="396"/>
    </row>
    <row r="7" spans="1:59">
      <c r="A7" s="446" t="s">
        <v>835</v>
      </c>
      <c r="B7" s="449">
        <v>243.85599999999999</v>
      </c>
      <c r="C7" s="449">
        <v>317.69299999999998</v>
      </c>
      <c r="D7" s="449">
        <v>251.977</v>
      </c>
      <c r="E7" s="449">
        <v>262.74400000000003</v>
      </c>
      <c r="F7" s="449">
        <v>287.62</v>
      </c>
      <c r="G7" s="449">
        <v>295.49400000000003</v>
      </c>
      <c r="H7" s="449">
        <v>320.67399999999998</v>
      </c>
      <c r="I7" s="449">
        <v>325.00900000000001</v>
      </c>
      <c r="J7" s="449">
        <v>356.38299999999998</v>
      </c>
      <c r="K7" s="449">
        <v>398.59899999999999</v>
      </c>
      <c r="L7" s="449">
        <v>384.839</v>
      </c>
      <c r="M7" s="449">
        <v>418.24200000000002</v>
      </c>
      <c r="N7" s="449">
        <v>429.12400000000002</v>
      </c>
      <c r="O7" s="449">
        <v>464.64</v>
      </c>
      <c r="P7" s="449">
        <v>473.06200000000001</v>
      </c>
      <c r="Q7" s="449">
        <v>466.67500000000001</v>
      </c>
      <c r="R7" s="449">
        <v>527.10299999999995</v>
      </c>
      <c r="S7" s="449">
        <v>487.86599999999999</v>
      </c>
      <c r="T7" s="449">
        <v>490.59899999999999</v>
      </c>
      <c r="U7" s="449">
        <v>638.61199999999997</v>
      </c>
      <c r="V7" s="449">
        <v>583.4</v>
      </c>
      <c r="W7" s="449">
        <v>502.16800000000001</v>
      </c>
      <c r="X7" s="449">
        <v>534.26400000000001</v>
      </c>
      <c r="Y7" s="449">
        <v>590.69200000000001</v>
      </c>
      <c r="Z7" s="449">
        <v>683.42100000000005</v>
      </c>
      <c r="AA7" s="449">
        <v>692.89599999999996</v>
      </c>
      <c r="AB7" s="449">
        <v>765.06299999999999</v>
      </c>
      <c r="AC7" s="449">
        <v>914.83500000000004</v>
      </c>
      <c r="AD7" s="449">
        <v>868.74800000000005</v>
      </c>
      <c r="AE7" s="449">
        <v>634.47400000000005</v>
      </c>
      <c r="AF7" s="449">
        <v>724.18100000000004</v>
      </c>
      <c r="AG7" s="449">
        <v>665.83799999999997</v>
      </c>
      <c r="AH7" s="449">
        <v>752.37400000000002</v>
      </c>
      <c r="AI7" s="449">
        <v>871.94</v>
      </c>
      <c r="AJ7" s="449">
        <v>1321.961</v>
      </c>
      <c r="AK7" s="449">
        <v>1645.06</v>
      </c>
      <c r="AL7" s="449">
        <v>4863.2950000000001</v>
      </c>
      <c r="AM7" s="449">
        <v>6954.53</v>
      </c>
      <c r="AN7" s="449">
        <v>9112.7649999999994</v>
      </c>
      <c r="AO7" s="449">
        <v>13043</v>
      </c>
      <c r="AP7" s="449">
        <v>13595</v>
      </c>
      <c r="AQ7" s="449">
        <v>12489</v>
      </c>
      <c r="AR7" s="449">
        <v>6847</v>
      </c>
      <c r="AS7" s="449">
        <v>14753</v>
      </c>
      <c r="AT7" s="449">
        <v>20167</v>
      </c>
      <c r="AU7" s="449">
        <v>10782</v>
      </c>
      <c r="AV7" s="449">
        <v>9999</v>
      </c>
      <c r="AW7" s="449">
        <v>10043</v>
      </c>
      <c r="AX7" s="450">
        <v>11425</v>
      </c>
      <c r="AY7" s="396"/>
      <c r="AZ7" s="396"/>
      <c r="BA7" s="396"/>
      <c r="BB7" s="396"/>
      <c r="BC7" s="396"/>
      <c r="BD7" s="396"/>
      <c r="BE7" s="396"/>
      <c r="BF7" s="396"/>
    </row>
    <row r="8" spans="1:59">
      <c r="A8" s="446" t="s">
        <v>828</v>
      </c>
      <c r="B8" s="449">
        <v>0</v>
      </c>
      <c r="C8" s="449">
        <v>0</v>
      </c>
      <c r="D8" s="449">
        <v>0</v>
      </c>
      <c r="E8" s="449">
        <v>718.63499999999999</v>
      </c>
      <c r="F8" s="449">
        <v>5.8230000000000004</v>
      </c>
      <c r="G8" s="449">
        <v>76.114999999999995</v>
      </c>
      <c r="H8" s="449">
        <v>0</v>
      </c>
      <c r="I8" s="449">
        <v>19.120999999999999</v>
      </c>
      <c r="J8" s="449">
        <v>74.427000000000007</v>
      </c>
      <c r="K8" s="449">
        <v>10.792</v>
      </c>
      <c r="L8" s="449">
        <v>1.2010000000000001</v>
      </c>
      <c r="M8" s="449">
        <v>0</v>
      </c>
      <c r="N8" s="449">
        <v>0</v>
      </c>
      <c r="O8" s="449">
        <v>0</v>
      </c>
      <c r="P8" s="449">
        <v>0</v>
      </c>
      <c r="Q8" s="449">
        <v>0</v>
      </c>
      <c r="R8" s="449">
        <v>0</v>
      </c>
      <c r="S8" s="449">
        <v>0</v>
      </c>
      <c r="T8" s="449">
        <v>0</v>
      </c>
      <c r="U8" s="449">
        <v>0</v>
      </c>
      <c r="V8" s="449">
        <v>0</v>
      </c>
      <c r="W8" s="449">
        <v>0</v>
      </c>
      <c r="X8" s="449">
        <v>0</v>
      </c>
      <c r="Y8" s="449">
        <v>0</v>
      </c>
      <c r="Z8" s="449">
        <v>0</v>
      </c>
      <c r="AA8" s="449">
        <v>4</v>
      </c>
      <c r="AB8" s="449">
        <v>19</v>
      </c>
      <c r="AC8" s="449">
        <v>3</v>
      </c>
      <c r="AD8" s="449">
        <v>1</v>
      </c>
      <c r="AE8" s="449">
        <v>0</v>
      </c>
      <c r="AF8" s="449">
        <v>-0.17300000000000004</v>
      </c>
      <c r="AG8" s="449">
        <v>10.991</v>
      </c>
      <c r="AH8" s="449">
        <v>54.487000000000002</v>
      </c>
      <c r="AI8" s="449">
        <v>111</v>
      </c>
      <c r="AJ8" s="449">
        <v>67</v>
      </c>
      <c r="AK8" s="449">
        <v>32</v>
      </c>
      <c r="AL8" s="449">
        <v>1189</v>
      </c>
      <c r="AM8" s="449">
        <v>3211</v>
      </c>
      <c r="AN8" s="449">
        <v>820</v>
      </c>
      <c r="AO8" s="449">
        <v>16471</v>
      </c>
      <c r="AP8" s="449">
        <v>27568</v>
      </c>
      <c r="AQ8" s="449">
        <v>39858</v>
      </c>
      <c r="AR8" s="449">
        <v>111301</v>
      </c>
      <c r="AS8" s="449">
        <v>129099</v>
      </c>
      <c r="AT8" s="449">
        <v>185194</v>
      </c>
      <c r="AU8" s="449">
        <v>257912</v>
      </c>
      <c r="AV8" s="449">
        <v>242145</v>
      </c>
      <c r="AW8" s="449">
        <v>243400</v>
      </c>
      <c r="AX8" s="450">
        <v>255170</v>
      </c>
      <c r="AY8" s="396"/>
      <c r="AZ8" s="396"/>
      <c r="BA8" s="396"/>
      <c r="BB8" s="396"/>
      <c r="BC8" s="396"/>
      <c r="BD8" s="396"/>
      <c r="BE8" s="396"/>
      <c r="BF8" s="396"/>
    </row>
    <row r="9" spans="1:59">
      <c r="A9" s="446" t="s">
        <v>836</v>
      </c>
      <c r="B9" s="449">
        <v>35.252228807554275</v>
      </c>
      <c r="C9" s="449">
        <v>20.871478926017971</v>
      </c>
      <c r="D9" s="449">
        <v>17.467626164805807</v>
      </c>
      <c r="E9" s="449">
        <v>12.68592288849652</v>
      </c>
      <c r="F9" s="449">
        <v>46.560691952971069</v>
      </c>
      <c r="G9" s="449">
        <v>24.270894507228149</v>
      </c>
      <c r="H9" s="449">
        <v>17.389598905269111</v>
      </c>
      <c r="I9" s="449">
        <v>52.847639416919208</v>
      </c>
      <c r="J9" s="449">
        <v>30.250714636355667</v>
      </c>
      <c r="K9" s="449">
        <v>31.568909909930255</v>
      </c>
      <c r="L9" s="449">
        <v>33.346512610174329</v>
      </c>
      <c r="M9" s="449">
        <v>46.205851570014886</v>
      </c>
      <c r="N9" s="449">
        <v>35.72</v>
      </c>
      <c r="O9" s="449">
        <v>49.847000000000094</v>
      </c>
      <c r="P9" s="449">
        <v>46.558999999999855</v>
      </c>
      <c r="Q9" s="449">
        <v>74.605000000000004</v>
      </c>
      <c r="R9" s="449">
        <v>102.26700000000005</v>
      </c>
      <c r="S9" s="449">
        <v>128.16200000000003</v>
      </c>
      <c r="T9" s="449">
        <v>121.89100000000002</v>
      </c>
      <c r="U9" s="449">
        <v>98.798999999999864</v>
      </c>
      <c r="V9" s="449">
        <v>153.33199999999988</v>
      </c>
      <c r="W9" s="449">
        <v>184.82499999999999</v>
      </c>
      <c r="X9" s="449">
        <v>177.935</v>
      </c>
      <c r="Y9" s="449">
        <v>359.26300000000003</v>
      </c>
      <c r="Z9" s="449">
        <v>306.83399999999995</v>
      </c>
      <c r="AA9" s="449">
        <v>255.19400000000007</v>
      </c>
      <c r="AB9" s="449">
        <v>276.15199999999993</v>
      </c>
      <c r="AC9" s="449">
        <v>442.18900000000076</v>
      </c>
      <c r="AD9" s="449">
        <v>262.26499999999999</v>
      </c>
      <c r="AE9" s="449">
        <v>200.57599999999991</v>
      </c>
      <c r="AF9" s="449">
        <v>651.03900000000044</v>
      </c>
      <c r="AG9" s="449">
        <v>2577.5247541547451</v>
      </c>
      <c r="AH9" s="449">
        <v>1149.3627726416005</v>
      </c>
      <c r="AI9" s="449">
        <v>1832.0730000000062</v>
      </c>
      <c r="AJ9" s="449">
        <v>729.90799999999876</v>
      </c>
      <c r="AK9" s="449">
        <v>733.20399999999563</v>
      </c>
      <c r="AL9" s="449">
        <v>1212.0740000000023</v>
      </c>
      <c r="AM9" s="449">
        <v>2857.445999999999</v>
      </c>
      <c r="AN9" s="449">
        <v>4591.8599999999997</v>
      </c>
      <c r="AO9" s="449">
        <v>7912</v>
      </c>
      <c r="AP9" s="449">
        <v>4835</v>
      </c>
      <c r="AQ9" s="449">
        <v>8020</v>
      </c>
      <c r="AR9" s="449">
        <v>4698</v>
      </c>
      <c r="AS9" s="449">
        <v>3834</v>
      </c>
      <c r="AT9" s="449">
        <v>3317</v>
      </c>
      <c r="AU9" s="449">
        <v>3153</v>
      </c>
      <c r="AV9" s="449">
        <v>5505</v>
      </c>
      <c r="AW9" s="449">
        <v>4655</v>
      </c>
      <c r="AX9" s="450">
        <v>33472</v>
      </c>
      <c r="AY9" s="396"/>
      <c r="AZ9" s="396"/>
      <c r="BA9" s="396"/>
      <c r="BB9" s="396"/>
      <c r="BC9" s="396"/>
      <c r="BD9" s="396"/>
      <c r="BE9" s="396"/>
      <c r="BF9" s="396"/>
    </row>
    <row r="10" spans="1:59">
      <c r="A10" s="446"/>
      <c r="B10" s="474"/>
      <c r="C10" s="474"/>
      <c r="D10" s="474"/>
      <c r="E10" s="474"/>
      <c r="F10" s="474"/>
      <c r="G10" s="474"/>
      <c r="H10" s="474"/>
      <c r="I10" s="474"/>
      <c r="J10" s="474"/>
      <c r="K10" s="474"/>
      <c r="L10" s="474"/>
      <c r="M10" s="474"/>
      <c r="N10" s="474"/>
      <c r="O10" s="474"/>
      <c r="P10" s="474"/>
      <c r="Q10" s="474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  <c r="AL10" s="474"/>
      <c r="AM10" s="474"/>
      <c r="AN10" s="474"/>
      <c r="AO10" s="474"/>
      <c r="AP10" s="474"/>
      <c r="AQ10" s="474"/>
      <c r="AR10" s="474"/>
      <c r="AS10" s="474"/>
      <c r="AT10" s="474"/>
      <c r="AU10" s="474"/>
      <c r="AV10" s="474"/>
      <c r="AW10" s="474"/>
      <c r="AX10" s="475"/>
      <c r="AY10" s="396"/>
      <c r="AZ10" s="396"/>
      <c r="BA10" s="396"/>
      <c r="BB10" s="396"/>
      <c r="BC10" s="396"/>
      <c r="BD10" s="396"/>
      <c r="BE10" s="396"/>
      <c r="BF10" s="396"/>
    </row>
    <row r="11" spans="1:59">
      <c r="A11" s="446" t="s">
        <v>830</v>
      </c>
      <c r="B11" s="449">
        <v>9.163999999999989</v>
      </c>
      <c r="C11" s="449">
        <v>18.355000000000075</v>
      </c>
      <c r="D11" s="449">
        <v>38.771000000000036</v>
      </c>
      <c r="E11" s="449">
        <v>363.72800000000001</v>
      </c>
      <c r="F11" s="449">
        <v>193.39899999999997</v>
      </c>
      <c r="G11" s="449">
        <v>117.06700000000002</v>
      </c>
      <c r="H11" s="449">
        <v>60.234999999999999</v>
      </c>
      <c r="I11" s="449">
        <v>65.761000000000053</v>
      </c>
      <c r="J11" s="449">
        <v>63.076000000000064</v>
      </c>
      <c r="K11" s="449">
        <v>56.191000000000074</v>
      </c>
      <c r="L11" s="449">
        <v>55.736999999999945</v>
      </c>
      <c r="M11" s="449">
        <v>49.956999999999958</v>
      </c>
      <c r="N11" s="449">
        <v>48.2</v>
      </c>
      <c r="O11" s="449">
        <v>23.5</v>
      </c>
      <c r="P11" s="449">
        <v>168.6</v>
      </c>
      <c r="Q11" s="449">
        <v>88.262999999999963</v>
      </c>
      <c r="R11" s="449">
        <v>91.693000000000069</v>
      </c>
      <c r="S11" s="449">
        <v>178.07699999999991</v>
      </c>
      <c r="T11" s="449">
        <v>261.9489999999999</v>
      </c>
      <c r="U11" s="449">
        <v>279.58199999999999</v>
      </c>
      <c r="V11" s="449">
        <v>263.5</v>
      </c>
      <c r="W11" s="449">
        <v>235.18599999999998</v>
      </c>
      <c r="X11" s="449">
        <v>518.31499999999949</v>
      </c>
      <c r="Y11" s="449">
        <v>588.78300000000047</v>
      </c>
      <c r="Z11" s="449">
        <v>1116.655</v>
      </c>
      <c r="AA11" s="449">
        <v>2048.5610000000001</v>
      </c>
      <c r="AB11" s="449">
        <v>1878.4709999999998</v>
      </c>
      <c r="AC11" s="449">
        <v>3327.5989999999997</v>
      </c>
      <c r="AD11" s="449">
        <v>5940.8680000000004</v>
      </c>
      <c r="AE11" s="449">
        <v>7194.581000000001</v>
      </c>
      <c r="AF11" s="449">
        <v>8357.3615331478941</v>
      </c>
      <c r="AG11" s="449">
        <v>12051.603860466535</v>
      </c>
      <c r="AH11" s="449">
        <v>10706.693548463445</v>
      </c>
      <c r="AI11" s="449">
        <v>13680.001499999995</v>
      </c>
      <c r="AJ11" s="449">
        <v>7436.2530000000042</v>
      </c>
      <c r="AK11" s="449">
        <v>32868.452000000005</v>
      </c>
      <c r="AL11" s="449">
        <v>34730.742000000013</v>
      </c>
      <c r="AM11" s="449">
        <v>29984.724000000009</v>
      </c>
      <c r="AN11" s="449">
        <v>53682.755000000005</v>
      </c>
      <c r="AO11" s="449">
        <v>86358.062000000005</v>
      </c>
      <c r="AP11" s="449">
        <v>53294.853999999999</v>
      </c>
      <c r="AQ11" s="449">
        <v>70551.856</v>
      </c>
      <c r="AR11" s="449">
        <v>129138.66499999999</v>
      </c>
      <c r="AS11" s="449">
        <v>183122.133</v>
      </c>
      <c r="AT11" s="449">
        <v>216024.845</v>
      </c>
      <c r="AU11" s="449">
        <v>269482.495</v>
      </c>
      <c r="AV11" s="449">
        <v>252604.15</v>
      </c>
      <c r="AW11" s="449">
        <v>191903.3599564</v>
      </c>
      <c r="AX11" s="450">
        <v>233907.56943999999</v>
      </c>
      <c r="AY11" s="396"/>
      <c r="AZ11" s="396"/>
      <c r="BA11" s="396"/>
      <c r="BB11" s="396"/>
      <c r="BC11" s="396"/>
      <c r="BD11" s="396"/>
      <c r="BE11" s="396"/>
      <c r="BF11" s="396"/>
    </row>
    <row r="12" spans="1:59">
      <c r="A12" s="446" t="s">
        <v>832</v>
      </c>
      <c r="B12" s="449">
        <v>0</v>
      </c>
      <c r="C12" s="449">
        <v>12.499000000000002</v>
      </c>
      <c r="D12" s="449">
        <v>15.8</v>
      </c>
      <c r="E12" s="449">
        <v>333.76</v>
      </c>
      <c r="F12" s="449">
        <v>30.4</v>
      </c>
      <c r="G12" s="449">
        <v>83.471000000000004</v>
      </c>
      <c r="H12" s="449">
        <v>31</v>
      </c>
      <c r="I12" s="449">
        <v>20</v>
      </c>
      <c r="J12" s="449">
        <v>20.100000000000001</v>
      </c>
      <c r="K12" s="449">
        <v>17.3</v>
      </c>
      <c r="L12" s="449">
        <v>14.1</v>
      </c>
      <c r="M12" s="449">
        <v>7.5389999999999997</v>
      </c>
      <c r="N12" s="449">
        <v>9.2000000000000082</v>
      </c>
      <c r="O12" s="449">
        <v>0</v>
      </c>
      <c r="P12" s="449">
        <v>90.9</v>
      </c>
      <c r="Q12" s="449">
        <v>-0.4</v>
      </c>
      <c r="R12" s="449">
        <v>25.992999999999995</v>
      </c>
      <c r="S12" s="449">
        <v>86.5</v>
      </c>
      <c r="T12" s="449">
        <v>25.2</v>
      </c>
      <c r="U12" s="449">
        <v>12</v>
      </c>
      <c r="V12" s="449">
        <v>20.6</v>
      </c>
      <c r="W12" s="449">
        <v>9.8000000000000007</v>
      </c>
      <c r="X12" s="449">
        <v>11.836999999999978</v>
      </c>
      <c r="Y12" s="449">
        <v>4.7499999999999911</v>
      </c>
      <c r="Z12" s="449">
        <v>5.4570000000000167</v>
      </c>
      <c r="AA12" s="449">
        <v>27.664999999999999</v>
      </c>
      <c r="AB12" s="449">
        <v>36.915999999999997</v>
      </c>
      <c r="AC12" s="449">
        <v>28.445</v>
      </c>
      <c r="AD12" s="449">
        <v>-0.1</v>
      </c>
      <c r="AE12" s="449">
        <v>299.2</v>
      </c>
      <c r="AF12" s="449">
        <v>8.0200000000000102</v>
      </c>
      <c r="AG12" s="449">
        <v>242.43799999999999</v>
      </c>
      <c r="AH12" s="449">
        <v>3.3899999999999864</v>
      </c>
      <c r="AI12" s="449">
        <v>5.8829999999998108</v>
      </c>
      <c r="AJ12" s="449">
        <v>4.6679999999996653</v>
      </c>
      <c r="AK12" s="449">
        <v>0</v>
      </c>
      <c r="AL12" s="449">
        <v>201.97099999999955</v>
      </c>
      <c r="AM12" s="449">
        <v>0</v>
      </c>
      <c r="AN12" s="449">
        <v>269.24699999999939</v>
      </c>
      <c r="AO12" s="449">
        <v>237</v>
      </c>
      <c r="AP12" s="449">
        <v>351</v>
      </c>
      <c r="AQ12" s="449">
        <v>1322</v>
      </c>
      <c r="AR12" s="449">
        <v>924</v>
      </c>
      <c r="AS12" s="449">
        <v>0</v>
      </c>
      <c r="AT12" s="449">
        <v>0</v>
      </c>
      <c r="AU12" s="449">
        <v>0</v>
      </c>
      <c r="AV12" s="449">
        <v>0</v>
      </c>
      <c r="AW12" s="449">
        <v>401</v>
      </c>
      <c r="AX12" s="450">
        <v>397</v>
      </c>
      <c r="AY12" s="396"/>
      <c r="AZ12" s="396"/>
      <c r="BA12" s="396"/>
      <c r="BB12" s="396"/>
      <c r="BC12" s="396"/>
      <c r="BD12" s="396"/>
      <c r="BE12" s="396"/>
      <c r="BF12" s="396"/>
    </row>
    <row r="13" spans="1:59" ht="13.5" thickBot="1">
      <c r="A13" s="452" t="s">
        <v>836</v>
      </c>
      <c r="B13" s="453">
        <v>9.163999999999989</v>
      </c>
      <c r="C13" s="453">
        <v>5.8560000000000727</v>
      </c>
      <c r="D13" s="453">
        <v>22.971000000000036</v>
      </c>
      <c r="E13" s="453">
        <v>29.968000000000018</v>
      </c>
      <c r="F13" s="453">
        <v>162.99899999999997</v>
      </c>
      <c r="G13" s="453">
        <v>33.596000000000018</v>
      </c>
      <c r="H13" s="453">
        <v>29.234999999999999</v>
      </c>
      <c r="I13" s="453">
        <v>45.761000000000053</v>
      </c>
      <c r="J13" s="453">
        <v>42.976000000000063</v>
      </c>
      <c r="K13" s="453">
        <v>38.891000000000076</v>
      </c>
      <c r="L13" s="453">
        <v>41.636999999999944</v>
      </c>
      <c r="M13" s="453">
        <v>42.417999999999957</v>
      </c>
      <c r="N13" s="453">
        <v>39</v>
      </c>
      <c r="O13" s="453">
        <v>23.5</v>
      </c>
      <c r="P13" s="453">
        <v>77.7</v>
      </c>
      <c r="Q13" s="453">
        <v>88.662999999999968</v>
      </c>
      <c r="R13" s="453">
        <v>65.700000000000074</v>
      </c>
      <c r="S13" s="453">
        <v>91.576999999999913</v>
      </c>
      <c r="T13" s="453">
        <v>236.74899999999991</v>
      </c>
      <c r="U13" s="453">
        <v>267.58199999999999</v>
      </c>
      <c r="V13" s="453">
        <v>242.9</v>
      </c>
      <c r="W13" s="453">
        <v>225.38599999999997</v>
      </c>
      <c r="X13" s="453">
        <v>506.4779999999995</v>
      </c>
      <c r="Y13" s="453">
        <v>584.03300000000047</v>
      </c>
      <c r="Z13" s="453">
        <v>1111.1979999999999</v>
      </c>
      <c r="AA13" s="453">
        <v>2020.8960000000002</v>
      </c>
      <c r="AB13" s="453">
        <v>1841.5550000000001</v>
      </c>
      <c r="AC13" s="453">
        <v>3299.1539999999995</v>
      </c>
      <c r="AD13" s="453">
        <v>5940.9680000000008</v>
      </c>
      <c r="AE13" s="453">
        <v>6895.3810000000012</v>
      </c>
      <c r="AF13" s="453">
        <v>8349.3415331478936</v>
      </c>
      <c r="AG13" s="453">
        <v>11809.165860466535</v>
      </c>
      <c r="AH13" s="453">
        <v>10703.303548463446</v>
      </c>
      <c r="AI13" s="453">
        <v>13674.118499999995</v>
      </c>
      <c r="AJ13" s="453">
        <v>7431.5850000000046</v>
      </c>
      <c r="AK13" s="453">
        <v>32868.452000000005</v>
      </c>
      <c r="AL13" s="453">
        <v>34528.771000000015</v>
      </c>
      <c r="AM13" s="453">
        <v>29984.724000000009</v>
      </c>
      <c r="AN13" s="453">
        <v>53413.508000000002</v>
      </c>
      <c r="AO13" s="453">
        <v>86121.062000000005</v>
      </c>
      <c r="AP13" s="453">
        <v>52943.853999999999</v>
      </c>
      <c r="AQ13" s="453">
        <v>69229.856</v>
      </c>
      <c r="AR13" s="453">
        <v>128214.66499999999</v>
      </c>
      <c r="AS13" s="453">
        <v>183122.133</v>
      </c>
      <c r="AT13" s="453">
        <v>216024.845</v>
      </c>
      <c r="AU13" s="453">
        <v>269482.495</v>
      </c>
      <c r="AV13" s="453">
        <v>252604.15</v>
      </c>
      <c r="AW13" s="453">
        <v>191502.3599564</v>
      </c>
      <c r="AX13" s="454">
        <v>233510.56943999999</v>
      </c>
      <c r="AY13" s="396"/>
      <c r="AZ13" s="396"/>
      <c r="BA13" s="396"/>
      <c r="BB13" s="396"/>
      <c r="BC13" s="396"/>
      <c r="BD13" s="396"/>
      <c r="BE13" s="396"/>
      <c r="BF13" s="396"/>
    </row>
    <row r="14" spans="1:59">
      <c r="F14" s="396"/>
      <c r="G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  <c r="AG14" s="396"/>
      <c r="AH14" s="396"/>
      <c r="AI14" s="396"/>
      <c r="AJ14" s="396"/>
      <c r="AK14" s="396"/>
      <c r="AL14" s="396"/>
      <c r="AM14" s="396"/>
      <c r="AN14" s="396"/>
      <c r="AO14" s="396"/>
      <c r="AP14" s="396"/>
      <c r="AQ14" s="396"/>
      <c r="AR14" s="396"/>
      <c r="AS14" s="396"/>
      <c r="AT14" s="396"/>
      <c r="AU14" s="396"/>
      <c r="AV14" s="396"/>
      <c r="AW14" s="396"/>
      <c r="AX14" s="396"/>
      <c r="AY14" s="396"/>
      <c r="AZ14" s="396"/>
      <c r="BA14" s="396"/>
      <c r="BB14" s="396"/>
      <c r="BC14" s="396"/>
      <c r="BD14" s="396"/>
      <c r="BE14" s="396"/>
      <c r="BF14" s="396"/>
    </row>
    <row r="15" spans="1:59">
      <c r="A15" s="440" t="s">
        <v>837</v>
      </c>
    </row>
    <row r="16" spans="1:59">
      <c r="A16" s="395" t="s">
        <v>192</v>
      </c>
      <c r="D16" s="396"/>
    </row>
    <row r="17" spans="1:50" ht="13.5" thickBot="1">
      <c r="A17" s="442"/>
      <c r="B17" s="442"/>
      <c r="C17" s="442"/>
      <c r="D17" s="442"/>
      <c r="E17" s="442"/>
      <c r="F17" s="442"/>
      <c r="G17" s="478"/>
      <c r="H17" s="478"/>
      <c r="I17" s="478"/>
      <c r="J17" s="478"/>
      <c r="K17" s="478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</row>
    <row r="18" spans="1:50">
      <c r="A18" s="443"/>
      <c r="B18" s="444" t="s">
        <v>720</v>
      </c>
      <c r="C18" s="444" t="s">
        <v>721</v>
      </c>
      <c r="D18" s="444" t="s">
        <v>722</v>
      </c>
      <c r="E18" s="444" t="s">
        <v>723</v>
      </c>
      <c r="F18" s="444" t="s">
        <v>724</v>
      </c>
      <c r="G18" s="444" t="s">
        <v>725</v>
      </c>
      <c r="H18" s="444" t="s">
        <v>726</v>
      </c>
      <c r="I18" s="444" t="s">
        <v>727</v>
      </c>
      <c r="J18" s="444" t="s">
        <v>728</v>
      </c>
      <c r="K18" s="444" t="s">
        <v>729</v>
      </c>
      <c r="L18" s="444" t="s">
        <v>730</v>
      </c>
      <c r="M18" s="444" t="s">
        <v>731</v>
      </c>
      <c r="N18" s="444" t="s">
        <v>732</v>
      </c>
      <c r="O18" s="444" t="s">
        <v>733</v>
      </c>
      <c r="P18" s="444">
        <v>1961</v>
      </c>
      <c r="Q18" s="444" t="s">
        <v>734</v>
      </c>
      <c r="R18" s="444" t="s">
        <v>735</v>
      </c>
      <c r="S18" s="444" t="s">
        <v>736</v>
      </c>
      <c r="T18" s="444" t="s">
        <v>737</v>
      </c>
      <c r="U18" s="444" t="s">
        <v>738</v>
      </c>
      <c r="V18" s="444" t="s">
        <v>739</v>
      </c>
      <c r="W18" s="444" t="s">
        <v>740</v>
      </c>
      <c r="X18" s="444" t="s">
        <v>741</v>
      </c>
      <c r="Y18" s="444" t="s">
        <v>742</v>
      </c>
      <c r="Z18" s="444" t="s">
        <v>743</v>
      </c>
      <c r="AA18" s="444" t="s">
        <v>744</v>
      </c>
      <c r="AB18" s="444" t="s">
        <v>745</v>
      </c>
      <c r="AC18" s="444" t="s">
        <v>746</v>
      </c>
      <c r="AD18" s="444" t="s">
        <v>747</v>
      </c>
      <c r="AE18" s="444" t="s">
        <v>748</v>
      </c>
      <c r="AF18" s="444">
        <v>1977</v>
      </c>
      <c r="AG18" s="444">
        <v>1978</v>
      </c>
      <c r="AH18" s="444">
        <v>1979</v>
      </c>
      <c r="AI18" s="444">
        <v>1980</v>
      </c>
      <c r="AJ18" s="444">
        <v>1981</v>
      </c>
      <c r="AK18" s="444">
        <v>1982</v>
      </c>
      <c r="AL18" s="444">
        <v>1983</v>
      </c>
      <c r="AM18" s="444">
        <v>1984</v>
      </c>
      <c r="AN18" s="444">
        <v>1985</v>
      </c>
      <c r="AO18" s="444">
        <v>1986</v>
      </c>
      <c r="AP18" s="444">
        <v>1987</v>
      </c>
      <c r="AQ18" s="444">
        <v>1988</v>
      </c>
      <c r="AR18" s="444">
        <v>1989</v>
      </c>
      <c r="AS18" s="444">
        <v>1990</v>
      </c>
      <c r="AT18" s="444">
        <v>1991</v>
      </c>
      <c r="AU18" s="444">
        <v>1992</v>
      </c>
      <c r="AV18" s="479">
        <v>1993</v>
      </c>
      <c r="AW18" s="479">
        <v>1994</v>
      </c>
      <c r="AX18" s="480">
        <v>1995</v>
      </c>
    </row>
    <row r="19" spans="1:50">
      <c r="A19" s="481"/>
      <c r="B19" s="482"/>
      <c r="C19" s="482"/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2"/>
      <c r="Q19" s="482"/>
      <c r="R19" s="482"/>
      <c r="S19" s="482"/>
      <c r="T19" s="482"/>
      <c r="U19" s="482"/>
      <c r="V19" s="482"/>
      <c r="W19" s="482"/>
      <c r="X19" s="482"/>
      <c r="Y19" s="482"/>
      <c r="Z19" s="482"/>
      <c r="AA19" s="482"/>
      <c r="AB19" s="482"/>
      <c r="AC19" s="482"/>
      <c r="AD19" s="482"/>
      <c r="AE19" s="482"/>
      <c r="AF19" s="482"/>
      <c r="AG19" s="482"/>
      <c r="AH19" s="482"/>
      <c r="AI19" s="482"/>
      <c r="AJ19" s="482"/>
      <c r="AK19" s="482"/>
      <c r="AL19" s="482"/>
      <c r="AM19" s="482"/>
      <c r="AN19" s="482"/>
      <c r="AO19" s="482"/>
      <c r="AP19" s="482"/>
      <c r="AQ19" s="482"/>
      <c r="AR19" s="482"/>
      <c r="AS19" s="482"/>
      <c r="AT19" s="482"/>
      <c r="AU19" s="482"/>
      <c r="AV19" s="482"/>
      <c r="AW19" s="482"/>
      <c r="AX19" s="483"/>
    </row>
    <row r="20" spans="1:50">
      <c r="A20" s="446" t="s">
        <v>838</v>
      </c>
      <c r="B20" s="449">
        <v>9.641</v>
      </c>
      <c r="C20" s="449">
        <v>10.438000000000001</v>
      </c>
      <c r="D20" s="449">
        <v>11.690333333333333</v>
      </c>
      <c r="E20" s="449">
        <v>9.690666666666667</v>
      </c>
      <c r="F20" s="449">
        <v>11.731333333333334</v>
      </c>
      <c r="G20" s="449">
        <v>12.728</v>
      </c>
      <c r="H20" s="449">
        <v>14.862333333333334</v>
      </c>
      <c r="I20" s="449">
        <v>16.565000000000001</v>
      </c>
      <c r="J20" s="449">
        <v>19.574999999999999</v>
      </c>
      <c r="K20" s="449">
        <v>20.475000000000001</v>
      </c>
      <c r="L20" s="449">
        <v>20.937000000000001</v>
      </c>
      <c r="M20" s="449">
        <v>22.5</v>
      </c>
      <c r="N20" s="449">
        <v>23.530999999999999</v>
      </c>
      <c r="O20" s="449">
        <v>23.749750000000002</v>
      </c>
      <c r="P20" s="449">
        <v>22.721499999999999</v>
      </c>
      <c r="Q20" s="449">
        <v>23.208749999999998</v>
      </c>
      <c r="R20" s="449">
        <v>22.813499999999998</v>
      </c>
      <c r="S20" s="449">
        <v>22.391400000000001</v>
      </c>
      <c r="T20" s="449">
        <v>22.54</v>
      </c>
      <c r="U20" s="449">
        <v>24.966000000000001</v>
      </c>
      <c r="V20" s="449">
        <v>23.654800000000002</v>
      </c>
      <c r="W20" s="449">
        <v>25.1952</v>
      </c>
      <c r="X20" s="449">
        <v>26.781799999999997</v>
      </c>
      <c r="Y20" s="449">
        <v>28.042000000000002</v>
      </c>
      <c r="Z20" s="449">
        <v>30.407400000000003</v>
      </c>
      <c r="AA20" s="449">
        <v>23.195</v>
      </c>
      <c r="AB20" s="449">
        <v>15.577</v>
      </c>
      <c r="AC20" s="449">
        <v>15.855</v>
      </c>
      <c r="AD20" s="449">
        <v>31.091999999999999</v>
      </c>
      <c r="AE20" s="449">
        <v>41.207999999999998</v>
      </c>
      <c r="AF20" s="449">
        <v>51.247999999999998</v>
      </c>
      <c r="AG20" s="449">
        <v>50.994133177021219</v>
      </c>
      <c r="AH20" s="449">
        <v>84.043100236397976</v>
      </c>
      <c r="AI20" s="449">
        <v>97.297474047523053</v>
      </c>
      <c r="AJ20" s="449">
        <v>96.25896250831741</v>
      </c>
      <c r="AK20" s="449">
        <v>124.92728513465666</v>
      </c>
      <c r="AL20" s="449">
        <v>992.22025323610865</v>
      </c>
      <c r="AM20" s="449">
        <v>658.44358967346113</v>
      </c>
      <c r="AN20" s="449">
        <v>965.35320851821939</v>
      </c>
      <c r="AO20" s="449">
        <v>1161</v>
      </c>
      <c r="AP20" s="449">
        <v>177</v>
      </c>
      <c r="AQ20" s="449">
        <v>111</v>
      </c>
      <c r="AR20" s="449">
        <v>137</v>
      </c>
      <c r="AS20" s="449">
        <v>104</v>
      </c>
      <c r="AT20" s="449">
        <v>63</v>
      </c>
      <c r="AU20" s="449">
        <v>296</v>
      </c>
      <c r="AV20" s="460">
        <v>384</v>
      </c>
      <c r="AW20" s="449">
        <v>440</v>
      </c>
      <c r="AX20" s="450">
        <v>677</v>
      </c>
    </row>
    <row r="21" spans="1:50">
      <c r="A21" s="446" t="s">
        <v>839</v>
      </c>
      <c r="B21" s="449">
        <v>17.077885386242166</v>
      </c>
      <c r="C21" s="449">
        <v>15.749163137461771</v>
      </c>
      <c r="D21" s="449">
        <v>10.860922679245599</v>
      </c>
      <c r="E21" s="449">
        <v>12.67315843476845</v>
      </c>
      <c r="F21" s="449">
        <v>16.107993389506316</v>
      </c>
      <c r="G21" s="449">
        <v>19.787652912099684</v>
      </c>
      <c r="H21" s="449">
        <v>16.548173286692201</v>
      </c>
      <c r="I21" s="449">
        <v>19.531513087811593</v>
      </c>
      <c r="J21" s="449">
        <v>21.679766204999407</v>
      </c>
      <c r="K21" s="449">
        <v>24.1068277844163</v>
      </c>
      <c r="L21" s="449">
        <v>26.473315642118521</v>
      </c>
      <c r="M21" s="449">
        <v>26.313195148063649</v>
      </c>
      <c r="N21" s="449">
        <v>28.618960955457645</v>
      </c>
      <c r="O21" s="449">
        <v>30.226056825549843</v>
      </c>
      <c r="P21" s="449">
        <v>33.260090909090913</v>
      </c>
      <c r="Q21" s="449">
        <v>37.933727272727268</v>
      </c>
      <c r="R21" s="449">
        <v>52.099227272727276</v>
      </c>
      <c r="S21" s="449">
        <v>50.819090909090903</v>
      </c>
      <c r="T21" s="449">
        <v>63.374136363636353</v>
      </c>
      <c r="U21" s="449">
        <v>72.180827272727271</v>
      </c>
      <c r="V21" s="449">
        <v>87.811978787878786</v>
      </c>
      <c r="W21" s="449">
        <v>88.022266666666667</v>
      </c>
      <c r="X21" s="449">
        <v>91.369125773195876</v>
      </c>
      <c r="Y21" s="449">
        <v>145.65186804123715</v>
      </c>
      <c r="Z21" s="449">
        <v>158.65812371134021</v>
      </c>
      <c r="AA21" s="449">
        <v>154.18193298969075</v>
      </c>
      <c r="AB21" s="449">
        <v>150.41057216494846</v>
      </c>
      <c r="AC21" s="449">
        <v>132.28540721649483</v>
      </c>
      <c r="AD21" s="449">
        <v>188.46350000000001</v>
      </c>
      <c r="AE21" s="449">
        <v>362.09025773195879</v>
      </c>
      <c r="AF21" s="449">
        <v>551.30700000000002</v>
      </c>
      <c r="AG21" s="449">
        <v>984.3072299459418</v>
      </c>
      <c r="AH21" s="449">
        <v>1527.0012324145985</v>
      </c>
      <c r="AI21" s="449">
        <v>2233.7698691461328</v>
      </c>
      <c r="AJ21" s="449">
        <v>2763.5570531641488</v>
      </c>
      <c r="AK21" s="449">
        <v>2895.7771159556873</v>
      </c>
      <c r="AL21" s="449">
        <v>2626.1638435423197</v>
      </c>
      <c r="AM21" s="449">
        <v>2838.8666601225095</v>
      </c>
      <c r="AN21" s="449">
        <v>3234.1592802444516</v>
      </c>
      <c r="AO21" s="449">
        <v>3926</v>
      </c>
      <c r="AP21" s="449">
        <v>6100</v>
      </c>
      <c r="AQ21" s="449">
        <v>9601</v>
      </c>
      <c r="AR21" s="449">
        <v>9355</v>
      </c>
      <c r="AS21" s="449">
        <v>7672</v>
      </c>
      <c r="AT21" s="449">
        <v>10713</v>
      </c>
      <c r="AU21" s="449">
        <v>10254</v>
      </c>
      <c r="AV21" s="460">
        <v>10459</v>
      </c>
      <c r="AW21" s="449">
        <v>14092</v>
      </c>
      <c r="AX21" s="450">
        <v>12901</v>
      </c>
    </row>
    <row r="22" spans="1:50">
      <c r="A22" s="446" t="s">
        <v>840</v>
      </c>
      <c r="B22" s="449">
        <v>36.655591144943081</v>
      </c>
      <c r="C22" s="449">
        <v>44.474656372940537</v>
      </c>
      <c r="D22" s="449">
        <v>29.192726924189113</v>
      </c>
      <c r="E22" s="449">
        <v>40.312334686072553</v>
      </c>
      <c r="F22" s="449">
        <v>47.432819814247324</v>
      </c>
      <c r="G22" s="449">
        <v>41.317368800492609</v>
      </c>
      <c r="H22" s="449">
        <v>55.333888675324673</v>
      </c>
      <c r="I22" s="449">
        <v>61.793319934073317</v>
      </c>
      <c r="J22" s="449">
        <v>60.79830820197045</v>
      </c>
      <c r="K22" s="449">
        <v>62.9160627966221</v>
      </c>
      <c r="L22" s="449">
        <v>63.173227602456663</v>
      </c>
      <c r="M22" s="449">
        <v>75.88346762609558</v>
      </c>
      <c r="N22" s="449">
        <v>85.324553383234161</v>
      </c>
      <c r="O22" s="449">
        <v>99.098592217516469</v>
      </c>
      <c r="P22" s="449">
        <v>146.37577000358266</v>
      </c>
      <c r="Q22" s="449">
        <v>159.78152250711193</v>
      </c>
      <c r="R22" s="449">
        <v>169.2978147911202</v>
      </c>
      <c r="S22" s="449">
        <v>194.46300000000002</v>
      </c>
      <c r="T22" s="449">
        <v>209.17845</v>
      </c>
      <c r="U22" s="449">
        <v>267.30484999999999</v>
      </c>
      <c r="V22" s="449">
        <v>312.18558333333328</v>
      </c>
      <c r="W22" s="449">
        <v>352.94921666666664</v>
      </c>
      <c r="X22" s="449">
        <v>403.69200824742273</v>
      </c>
      <c r="Y22" s="449">
        <v>507.6606680412371</v>
      </c>
      <c r="Z22" s="449">
        <v>697.89312371134031</v>
      </c>
      <c r="AA22" s="449">
        <v>846.15093298969077</v>
      </c>
      <c r="AB22" s="449">
        <v>810.62157216494859</v>
      </c>
      <c r="AC22" s="449">
        <v>828.67940721649472</v>
      </c>
      <c r="AD22" s="449">
        <v>923.41850000000011</v>
      </c>
      <c r="AE22" s="449">
        <v>1146.6182577319587</v>
      </c>
      <c r="AF22" s="449">
        <v>3227.1779999999999</v>
      </c>
      <c r="AG22" s="449">
        <v>4720.2783299659159</v>
      </c>
      <c r="AH22" s="449">
        <v>7287.9914864950606</v>
      </c>
      <c r="AI22" s="449">
        <v>8254.9237725268467</v>
      </c>
      <c r="AJ22" s="449">
        <v>13266.143992364267</v>
      </c>
      <c r="AK22" s="449">
        <v>14288.48818041543</v>
      </c>
      <c r="AL22" s="449">
        <v>15706.132371752701</v>
      </c>
      <c r="AM22" s="449">
        <v>17444.202347997209</v>
      </c>
      <c r="AN22" s="449">
        <v>23586.599835894005</v>
      </c>
      <c r="AO22" s="449">
        <v>29574</v>
      </c>
      <c r="AP22" s="449">
        <v>35676</v>
      </c>
      <c r="AQ22" s="449">
        <v>48651</v>
      </c>
      <c r="AR22" s="449">
        <v>49549</v>
      </c>
      <c r="AS22" s="449">
        <v>59868</v>
      </c>
      <c r="AT22" s="449">
        <v>74649</v>
      </c>
      <c r="AU22" s="449">
        <v>71368</v>
      </c>
      <c r="AV22" s="460">
        <v>76843</v>
      </c>
      <c r="AW22" s="449">
        <v>83710</v>
      </c>
      <c r="AX22" s="450">
        <v>86377</v>
      </c>
    </row>
    <row r="23" spans="1:50">
      <c r="A23" s="446" t="s">
        <v>841</v>
      </c>
      <c r="B23" s="449">
        <v>296.61503884499695</v>
      </c>
      <c r="C23" s="449">
        <v>479.48950753094095</v>
      </c>
      <c r="D23" s="449">
        <v>423.63942113896843</v>
      </c>
      <c r="E23" s="449">
        <v>290.09275664350889</v>
      </c>
      <c r="F23" s="449">
        <v>307.12133547802642</v>
      </c>
      <c r="G23" s="449">
        <v>359.3512733549444</v>
      </c>
      <c r="H23" s="449">
        <v>451.03975049445575</v>
      </c>
      <c r="I23" s="449">
        <v>379.80673324958258</v>
      </c>
      <c r="J23" s="449">
        <v>398.39563682866543</v>
      </c>
      <c r="K23" s="449">
        <v>470.52268578309605</v>
      </c>
      <c r="L23" s="449">
        <v>495.50956894445613</v>
      </c>
      <c r="M23" s="449">
        <v>616.78414933541251</v>
      </c>
      <c r="N23" s="449">
        <v>527.85205065317564</v>
      </c>
      <c r="O23" s="449">
        <v>690.46259383140375</v>
      </c>
      <c r="P23" s="449">
        <v>619.29726724219017</v>
      </c>
      <c r="Q23" s="449">
        <v>657.60819300344372</v>
      </c>
      <c r="R23" s="449">
        <v>868.52720230293573</v>
      </c>
      <c r="S23" s="449">
        <v>733.89712392294507</v>
      </c>
      <c r="T23" s="449">
        <v>795.58958000334599</v>
      </c>
      <c r="U23" s="449">
        <v>1066.7027695763747</v>
      </c>
      <c r="V23" s="449">
        <v>1020.3436357283318</v>
      </c>
      <c r="W23" s="449">
        <v>1267.992042258998</v>
      </c>
      <c r="X23" s="449">
        <v>1693.910412371134</v>
      </c>
      <c r="Y23" s="449">
        <v>1426.7034020618557</v>
      </c>
      <c r="Z23" s="449">
        <v>1432.9071855670104</v>
      </c>
      <c r="AA23" s="449">
        <v>1718.928649484536</v>
      </c>
      <c r="AB23" s="449">
        <v>2033.5966082474226</v>
      </c>
      <c r="AC23" s="449">
        <v>2763.9523608247423</v>
      </c>
      <c r="AD23" s="449">
        <v>2590.355</v>
      </c>
      <c r="AE23" s="449">
        <v>3929.5578865979382</v>
      </c>
      <c r="AF23" s="449">
        <v>5359.7745000000004</v>
      </c>
      <c r="AG23" s="449">
        <v>8569.5985538070199</v>
      </c>
      <c r="AH23" s="449">
        <v>9453.3688644237482</v>
      </c>
      <c r="AI23" s="449">
        <v>16547.768414183818</v>
      </c>
      <c r="AJ23" s="449">
        <v>21577.221419050238</v>
      </c>
      <c r="AK23" s="449">
        <v>26007.527725360123</v>
      </c>
      <c r="AL23" s="449">
        <v>31593.955699384631</v>
      </c>
      <c r="AM23" s="449">
        <v>31796.259853584841</v>
      </c>
      <c r="AN23" s="449">
        <v>35420.812439502879</v>
      </c>
      <c r="AO23" s="449">
        <v>46121</v>
      </c>
      <c r="AP23" s="449">
        <v>60611</v>
      </c>
      <c r="AQ23" s="449">
        <v>80209</v>
      </c>
      <c r="AR23" s="449">
        <v>91803</v>
      </c>
      <c r="AS23" s="449">
        <v>100370</v>
      </c>
      <c r="AT23" s="449">
        <v>112137</v>
      </c>
      <c r="AU23" s="449">
        <v>153502</v>
      </c>
      <c r="AV23" s="449">
        <v>182277</v>
      </c>
      <c r="AW23" s="449">
        <v>158442</v>
      </c>
      <c r="AX23" s="450">
        <v>168840</v>
      </c>
    </row>
    <row r="24" spans="1:50">
      <c r="A24" s="446" t="s">
        <v>842</v>
      </c>
      <c r="B24" s="449">
        <v>613.58298462381788</v>
      </c>
      <c r="C24" s="449">
        <v>641.37317295865671</v>
      </c>
      <c r="D24" s="449">
        <v>632.98042925759671</v>
      </c>
      <c r="E24" s="449">
        <v>557.35725023565021</v>
      </c>
      <c r="F24" s="449">
        <v>606.38340052765284</v>
      </c>
      <c r="G24" s="449">
        <v>688.93815384975107</v>
      </c>
      <c r="H24" s="449">
        <v>612.15001555545939</v>
      </c>
      <c r="I24" s="449">
        <v>749.61885647981751</v>
      </c>
      <c r="J24" s="449">
        <v>792.95039198358154</v>
      </c>
      <c r="K24" s="449">
        <v>842.29606728717533</v>
      </c>
      <c r="L24" s="449">
        <v>986.49955865234733</v>
      </c>
      <c r="M24" s="449">
        <v>1106.6047828179005</v>
      </c>
      <c r="N24" s="449">
        <v>1137.6113479709375</v>
      </c>
      <c r="O24" s="449">
        <v>1243.2430997812583</v>
      </c>
      <c r="P24" s="449">
        <v>1321.2864893295221</v>
      </c>
      <c r="Q24" s="449">
        <v>1725.9759749704742</v>
      </c>
      <c r="R24" s="449">
        <v>2193.125735835481</v>
      </c>
      <c r="S24" s="449">
        <v>2259.3505374473048</v>
      </c>
      <c r="T24" s="449">
        <v>2117.6892195378409</v>
      </c>
      <c r="U24" s="449">
        <v>2099.3997289162585</v>
      </c>
      <c r="V24" s="449">
        <v>2297.351754145086</v>
      </c>
      <c r="W24" s="449">
        <v>2321.6202391286961</v>
      </c>
      <c r="X24" s="449">
        <v>2535.8808365448531</v>
      </c>
      <c r="Y24" s="449">
        <v>2651.4951290266658</v>
      </c>
      <c r="Z24" s="449">
        <v>2988.4825266426496</v>
      </c>
      <c r="AA24" s="449">
        <v>3205.9471760298115</v>
      </c>
      <c r="AB24" s="449">
        <v>4005.1850597251732</v>
      </c>
      <c r="AC24" s="449">
        <v>4255.7431011483604</v>
      </c>
      <c r="AD24" s="449">
        <v>7142.1655383237639</v>
      </c>
      <c r="AE24" s="449">
        <v>9962.3244370156572</v>
      </c>
      <c r="AF24" s="449">
        <v>11669.3585</v>
      </c>
      <c r="AG24" s="449">
        <v>14571.007679442157</v>
      </c>
      <c r="AH24" s="449">
        <v>24441.529476123091</v>
      </c>
      <c r="AI24" s="449">
        <v>34370.864970095667</v>
      </c>
      <c r="AJ24" s="449">
        <v>56794.151572913033</v>
      </c>
      <c r="AK24" s="449">
        <v>52602.305693134091</v>
      </c>
      <c r="AL24" s="449">
        <v>55432.030204269882</v>
      </c>
      <c r="AM24" s="449">
        <v>63410.303562479974</v>
      </c>
      <c r="AN24" s="449">
        <v>69746.236235840464</v>
      </c>
      <c r="AO24" s="449">
        <v>75090</v>
      </c>
      <c r="AP24" s="449">
        <v>89612</v>
      </c>
      <c r="AQ24" s="449">
        <v>114339</v>
      </c>
      <c r="AR24" s="449">
        <v>137377</v>
      </c>
      <c r="AS24" s="449">
        <v>167193</v>
      </c>
      <c r="AT24" s="449">
        <v>203627</v>
      </c>
      <c r="AU24" s="449">
        <v>264442</v>
      </c>
      <c r="AV24" s="449">
        <v>294877</v>
      </c>
      <c r="AW24" s="449">
        <v>303373</v>
      </c>
      <c r="AX24" s="450">
        <v>345274</v>
      </c>
    </row>
    <row r="25" spans="1:50">
      <c r="A25" s="446" t="s">
        <v>843</v>
      </c>
      <c r="B25" s="449">
        <v>18.105</v>
      </c>
      <c r="C25" s="449">
        <v>2.645</v>
      </c>
      <c r="D25" s="449">
        <v>52.534999999999997</v>
      </c>
      <c r="E25" s="449">
        <v>-0.68200000000000038</v>
      </c>
      <c r="F25" s="449">
        <v>-5.9690000000000012</v>
      </c>
      <c r="G25" s="449">
        <v>-2.7480000000000029</v>
      </c>
      <c r="H25" s="449">
        <v>-6.9159999999999986</v>
      </c>
      <c r="I25" s="449">
        <v>-10.303999999999998</v>
      </c>
      <c r="J25" s="449">
        <v>-8.1830000000000016</v>
      </c>
      <c r="K25" s="449">
        <v>10.611000000000004</v>
      </c>
      <c r="L25" s="449">
        <v>13.643999999999995</v>
      </c>
      <c r="M25" s="449">
        <v>14.404999999999999</v>
      </c>
      <c r="N25" s="449">
        <v>-9.0010000000000048</v>
      </c>
      <c r="O25" s="449">
        <v>-32.299999999999997</v>
      </c>
      <c r="P25" s="449">
        <v>-41.139000000000003</v>
      </c>
      <c r="Q25" s="449">
        <v>-22.254999999999999</v>
      </c>
      <c r="R25" s="449">
        <v>77.349763950884864</v>
      </c>
      <c r="S25" s="449">
        <v>82.512636513292094</v>
      </c>
      <c r="T25" s="449">
        <v>12.974597965188075</v>
      </c>
      <c r="U25" s="449">
        <v>124.46536622318375</v>
      </c>
      <c r="V25" s="449">
        <v>15.251046045070801</v>
      </c>
      <c r="W25" s="449">
        <v>64.765920420998356</v>
      </c>
      <c r="X25" s="449">
        <v>214.82499999999999</v>
      </c>
      <c r="Y25" s="449">
        <v>81.143999999999991</v>
      </c>
      <c r="Z25" s="449">
        <v>95.544000000000011</v>
      </c>
      <c r="AA25" s="449">
        <v>163.58300000000006</v>
      </c>
      <c r="AB25" s="449">
        <v>-93.395999999999987</v>
      </c>
      <c r="AC25" s="449">
        <v>99.313999999999979</v>
      </c>
      <c r="AD25" s="449">
        <v>4.997999999999994</v>
      </c>
      <c r="AE25" s="449">
        <v>142.02100000000004</v>
      </c>
      <c r="AF25" s="449">
        <v>321.10000000000002</v>
      </c>
      <c r="AG25" s="449">
        <v>365.4</v>
      </c>
      <c r="AH25" s="449">
        <v>857.5</v>
      </c>
      <c r="AI25" s="449">
        <v>628.29999999999995</v>
      </c>
      <c r="AJ25" s="449">
        <v>-25.7</v>
      </c>
      <c r="AK25" s="449">
        <v>409.13</v>
      </c>
      <c r="AL25" s="449">
        <v>343.57</v>
      </c>
      <c r="AM25" s="449">
        <v>1423.54</v>
      </c>
      <c r="AN25" s="449">
        <v>1947.2</v>
      </c>
      <c r="AO25" s="449">
        <v>1879</v>
      </c>
      <c r="AP25" s="449">
        <v>4262</v>
      </c>
      <c r="AQ25" s="449">
        <v>-1989</v>
      </c>
      <c r="AR25" s="449">
        <v>-8593</v>
      </c>
      <c r="AS25" s="449">
        <v>-8470</v>
      </c>
      <c r="AT25" s="449">
        <v>-14497</v>
      </c>
      <c r="AU25" s="449">
        <v>-11548</v>
      </c>
      <c r="AV25" s="449">
        <v>-17205</v>
      </c>
      <c r="AW25" s="449">
        <v>-21369</v>
      </c>
      <c r="AX25" s="450">
        <v>-11530</v>
      </c>
    </row>
    <row r="26" spans="1:50">
      <c r="A26" s="446"/>
      <c r="B26" s="449"/>
      <c r="C26" s="449"/>
      <c r="D26" s="449"/>
      <c r="E26" s="449"/>
      <c r="F26" s="449"/>
      <c r="G26" s="449"/>
      <c r="H26" s="449"/>
      <c r="I26" s="449"/>
      <c r="J26" s="449"/>
      <c r="K26" s="449"/>
      <c r="L26" s="449"/>
      <c r="M26" s="449"/>
      <c r="N26" s="449"/>
      <c r="O26" s="449"/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  <c r="AA26" s="449"/>
      <c r="AB26" s="449"/>
      <c r="AC26" s="449"/>
      <c r="AD26" s="449"/>
      <c r="AE26" s="449"/>
      <c r="AF26" s="449"/>
      <c r="AG26" s="449"/>
      <c r="AH26" s="449"/>
      <c r="AI26" s="449"/>
      <c r="AJ26" s="449"/>
      <c r="AK26" s="449"/>
      <c r="AL26" s="449"/>
      <c r="AM26" s="449"/>
      <c r="AN26" s="449"/>
      <c r="AO26" s="449"/>
      <c r="AP26" s="449"/>
      <c r="AQ26" s="449"/>
      <c r="AR26" s="449"/>
      <c r="AS26" s="449"/>
      <c r="AT26" s="449"/>
      <c r="AU26" s="449"/>
      <c r="AV26" s="449"/>
      <c r="AW26" s="449"/>
      <c r="AX26" s="450"/>
    </row>
    <row r="27" spans="1:50" ht="13.5" thickBot="1">
      <c r="A27" s="452" t="s">
        <v>32</v>
      </c>
      <c r="B27" s="453">
        <v>991.67750000000001</v>
      </c>
      <c r="C27" s="453">
        <v>1194.1695</v>
      </c>
      <c r="D27" s="453">
        <v>1160.8988333333334</v>
      </c>
      <c r="E27" s="453">
        <v>909.44416666666677</v>
      </c>
      <c r="F27" s="453">
        <v>982.80788254276615</v>
      </c>
      <c r="G27" s="453">
        <v>1119.3744489172877</v>
      </c>
      <c r="H27" s="453">
        <v>1143.0181613452653</v>
      </c>
      <c r="I27" s="453">
        <v>1217.011422751285</v>
      </c>
      <c r="J27" s="453">
        <v>1285.2161032192168</v>
      </c>
      <c r="K27" s="453">
        <v>1430.9276436513098</v>
      </c>
      <c r="L27" s="453">
        <v>1606.2366708413786</v>
      </c>
      <c r="M27" s="453">
        <v>1862.4905949274723</v>
      </c>
      <c r="N27" s="453">
        <v>1793.9369129628049</v>
      </c>
      <c r="O27" s="453">
        <v>2054.4800926557282</v>
      </c>
      <c r="P27" s="453">
        <v>2101.8021174843857</v>
      </c>
      <c r="Q27" s="453">
        <v>2582.2531677537572</v>
      </c>
      <c r="R27" s="453">
        <v>3383.2132441531494</v>
      </c>
      <c r="S27" s="453">
        <v>3343.4337887926326</v>
      </c>
      <c r="T27" s="453">
        <v>3221.345983870011</v>
      </c>
      <c r="U27" s="453">
        <v>3655.019541988544</v>
      </c>
      <c r="V27" s="453">
        <v>3756.5987980397008</v>
      </c>
      <c r="W27" s="453">
        <v>4120.544885142026</v>
      </c>
      <c r="X27" s="453">
        <v>4966.4591829366054</v>
      </c>
      <c r="Y27" s="453">
        <v>4840.697067170996</v>
      </c>
      <c r="Z27" s="453">
        <v>5403.8923596323402</v>
      </c>
      <c r="AA27" s="453">
        <v>6111.9866914937293</v>
      </c>
      <c r="AB27" s="453">
        <v>6921.9948123024933</v>
      </c>
      <c r="AC27" s="453">
        <v>8095.8292764060925</v>
      </c>
      <c r="AD27" s="453">
        <v>10880.492538323764</v>
      </c>
      <c r="AE27" s="453">
        <v>15583.819839077514</v>
      </c>
      <c r="AF27" s="453">
        <v>21179.966</v>
      </c>
      <c r="AG27" s="453">
        <v>29261.585926338055</v>
      </c>
      <c r="AH27" s="453">
        <v>43651.434159692893</v>
      </c>
      <c r="AI27" s="453">
        <v>62132.924499999994</v>
      </c>
      <c r="AJ27" s="453">
        <v>94471.633000000016</v>
      </c>
      <c r="AK27" s="453">
        <v>96328.155999999988</v>
      </c>
      <c r="AL27" s="453">
        <v>106694.07237218565</v>
      </c>
      <c r="AM27" s="453">
        <v>117571.61601385799</v>
      </c>
      <c r="AN27" s="453">
        <v>134900.36100000003</v>
      </c>
      <c r="AO27" s="453">
        <v>157751</v>
      </c>
      <c r="AP27" s="453">
        <v>196438</v>
      </c>
      <c r="AQ27" s="453">
        <v>250922</v>
      </c>
      <c r="AR27" s="453">
        <v>279628</v>
      </c>
      <c r="AS27" s="453">
        <v>326737</v>
      </c>
      <c r="AT27" s="453">
        <v>386692</v>
      </c>
      <c r="AU27" s="453">
        <v>488314</v>
      </c>
      <c r="AV27" s="453">
        <v>547635</v>
      </c>
      <c r="AW27" s="453">
        <v>538688</v>
      </c>
      <c r="AX27" s="454">
        <v>602539</v>
      </c>
    </row>
    <row r="28" spans="1:50">
      <c r="B28" s="464"/>
      <c r="C28" s="464"/>
      <c r="D28" s="464"/>
      <c r="E28" s="464"/>
      <c r="F28" s="464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  <c r="AA28" s="464"/>
      <c r="AB28" s="464"/>
      <c r="AC28" s="464"/>
      <c r="AD28" s="464"/>
      <c r="AE28" s="464"/>
      <c r="AF28" s="464"/>
      <c r="AG28" s="464"/>
      <c r="AH28" s="464"/>
      <c r="AI28" s="464"/>
      <c r="AJ28" s="464"/>
      <c r="AK28" s="464"/>
      <c r="AL28" s="464"/>
      <c r="AM28" s="464"/>
      <c r="AN28" s="464"/>
      <c r="AO28" s="464"/>
      <c r="AP28" s="464"/>
      <c r="AQ28" s="464"/>
      <c r="AR28" s="464"/>
      <c r="AS28" s="464"/>
      <c r="AT28" s="464"/>
      <c r="AU28" s="464"/>
      <c r="AV28" s="464"/>
      <c r="AW28" s="464"/>
      <c r="AX28" s="464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3B25-87AA-4C6F-85A1-8149ED8DE759}">
  <dimension ref="A1:AR11"/>
  <sheetViews>
    <sheetView showGridLines="0" workbookViewId="0">
      <selection activeCell="A17" sqref="A17"/>
    </sheetView>
  </sheetViews>
  <sheetFormatPr defaultRowHeight="12.5"/>
  <cols>
    <col min="1" max="1" width="42.81640625" style="485" customWidth="1"/>
    <col min="2" max="256" width="8.7265625" style="485"/>
    <col min="257" max="257" width="42.81640625" style="485" customWidth="1"/>
    <col min="258" max="512" width="8.7265625" style="485"/>
    <col min="513" max="513" width="42.81640625" style="485" customWidth="1"/>
    <col min="514" max="768" width="8.7265625" style="485"/>
    <col min="769" max="769" width="42.81640625" style="485" customWidth="1"/>
    <col min="770" max="1024" width="8.7265625" style="485"/>
    <col min="1025" max="1025" width="42.81640625" style="485" customWidth="1"/>
    <col min="1026" max="1280" width="8.7265625" style="485"/>
    <col min="1281" max="1281" width="42.81640625" style="485" customWidth="1"/>
    <col min="1282" max="1536" width="8.7265625" style="485"/>
    <col min="1537" max="1537" width="42.81640625" style="485" customWidth="1"/>
    <col min="1538" max="1792" width="8.7265625" style="485"/>
    <col min="1793" max="1793" width="42.81640625" style="485" customWidth="1"/>
    <col min="1794" max="2048" width="8.7265625" style="485"/>
    <col min="2049" max="2049" width="42.81640625" style="485" customWidth="1"/>
    <col min="2050" max="2304" width="8.7265625" style="485"/>
    <col min="2305" max="2305" width="42.81640625" style="485" customWidth="1"/>
    <col min="2306" max="2560" width="8.7265625" style="485"/>
    <col min="2561" max="2561" width="42.81640625" style="485" customWidth="1"/>
    <col min="2562" max="2816" width="8.7265625" style="485"/>
    <col min="2817" max="2817" width="42.81640625" style="485" customWidth="1"/>
    <col min="2818" max="3072" width="8.7265625" style="485"/>
    <col min="3073" max="3073" width="42.81640625" style="485" customWidth="1"/>
    <col min="3074" max="3328" width="8.7265625" style="485"/>
    <col min="3329" max="3329" width="42.81640625" style="485" customWidth="1"/>
    <col min="3330" max="3584" width="8.7265625" style="485"/>
    <col min="3585" max="3585" width="42.81640625" style="485" customWidth="1"/>
    <col min="3586" max="3840" width="8.7265625" style="485"/>
    <col min="3841" max="3841" width="42.81640625" style="485" customWidth="1"/>
    <col min="3842" max="4096" width="8.7265625" style="485"/>
    <col min="4097" max="4097" width="42.81640625" style="485" customWidth="1"/>
    <col min="4098" max="4352" width="8.7265625" style="485"/>
    <col min="4353" max="4353" width="42.81640625" style="485" customWidth="1"/>
    <col min="4354" max="4608" width="8.7265625" style="485"/>
    <col min="4609" max="4609" width="42.81640625" style="485" customWidth="1"/>
    <col min="4610" max="4864" width="8.7265625" style="485"/>
    <col min="4865" max="4865" width="42.81640625" style="485" customWidth="1"/>
    <col min="4866" max="5120" width="8.7265625" style="485"/>
    <col min="5121" max="5121" width="42.81640625" style="485" customWidth="1"/>
    <col min="5122" max="5376" width="8.7265625" style="485"/>
    <col min="5377" max="5377" width="42.81640625" style="485" customWidth="1"/>
    <col min="5378" max="5632" width="8.7265625" style="485"/>
    <col min="5633" max="5633" width="42.81640625" style="485" customWidth="1"/>
    <col min="5634" max="5888" width="8.7265625" style="485"/>
    <col min="5889" max="5889" width="42.81640625" style="485" customWidth="1"/>
    <col min="5890" max="6144" width="8.7265625" style="485"/>
    <col min="6145" max="6145" width="42.81640625" style="485" customWidth="1"/>
    <col min="6146" max="6400" width="8.7265625" style="485"/>
    <col min="6401" max="6401" width="42.81640625" style="485" customWidth="1"/>
    <col min="6402" max="6656" width="8.7265625" style="485"/>
    <col min="6657" max="6657" width="42.81640625" style="485" customWidth="1"/>
    <col min="6658" max="6912" width="8.7265625" style="485"/>
    <col min="6913" max="6913" width="42.81640625" style="485" customWidth="1"/>
    <col min="6914" max="7168" width="8.7265625" style="485"/>
    <col min="7169" max="7169" width="42.81640625" style="485" customWidth="1"/>
    <col min="7170" max="7424" width="8.7265625" style="485"/>
    <col min="7425" max="7425" width="42.81640625" style="485" customWidth="1"/>
    <col min="7426" max="7680" width="8.7265625" style="485"/>
    <col min="7681" max="7681" width="42.81640625" style="485" customWidth="1"/>
    <col min="7682" max="7936" width="8.7265625" style="485"/>
    <col min="7937" max="7937" width="42.81640625" style="485" customWidth="1"/>
    <col min="7938" max="8192" width="8.7265625" style="485"/>
    <col min="8193" max="8193" width="42.81640625" style="485" customWidth="1"/>
    <col min="8194" max="8448" width="8.7265625" style="485"/>
    <col min="8449" max="8449" width="42.81640625" style="485" customWidth="1"/>
    <col min="8450" max="8704" width="8.7265625" style="485"/>
    <col min="8705" max="8705" width="42.81640625" style="485" customWidth="1"/>
    <col min="8706" max="8960" width="8.7265625" style="485"/>
    <col min="8961" max="8961" width="42.81640625" style="485" customWidth="1"/>
    <col min="8962" max="9216" width="8.7265625" style="485"/>
    <col min="9217" max="9217" width="42.81640625" style="485" customWidth="1"/>
    <col min="9218" max="9472" width="8.7265625" style="485"/>
    <col min="9473" max="9473" width="42.81640625" style="485" customWidth="1"/>
    <col min="9474" max="9728" width="8.7265625" style="485"/>
    <col min="9729" max="9729" width="42.81640625" style="485" customWidth="1"/>
    <col min="9730" max="9984" width="8.7265625" style="485"/>
    <col min="9985" max="9985" width="42.81640625" style="485" customWidth="1"/>
    <col min="9986" max="10240" width="8.7265625" style="485"/>
    <col min="10241" max="10241" width="42.81640625" style="485" customWidth="1"/>
    <col min="10242" max="10496" width="8.7265625" style="485"/>
    <col min="10497" max="10497" width="42.81640625" style="485" customWidth="1"/>
    <col min="10498" max="10752" width="8.7265625" style="485"/>
    <col min="10753" max="10753" width="42.81640625" style="485" customWidth="1"/>
    <col min="10754" max="11008" width="8.7265625" style="485"/>
    <col min="11009" max="11009" width="42.81640625" style="485" customWidth="1"/>
    <col min="11010" max="11264" width="8.7265625" style="485"/>
    <col min="11265" max="11265" width="42.81640625" style="485" customWidth="1"/>
    <col min="11266" max="11520" width="8.7265625" style="485"/>
    <col min="11521" max="11521" width="42.81640625" style="485" customWidth="1"/>
    <col min="11522" max="11776" width="8.7265625" style="485"/>
    <col min="11777" max="11777" width="42.81640625" style="485" customWidth="1"/>
    <col min="11778" max="12032" width="8.7265625" style="485"/>
    <col min="12033" max="12033" width="42.81640625" style="485" customWidth="1"/>
    <col min="12034" max="12288" width="8.7265625" style="485"/>
    <col min="12289" max="12289" width="42.81640625" style="485" customWidth="1"/>
    <col min="12290" max="12544" width="8.7265625" style="485"/>
    <col min="12545" max="12545" width="42.81640625" style="485" customWidth="1"/>
    <col min="12546" max="12800" width="8.7265625" style="485"/>
    <col min="12801" max="12801" width="42.81640625" style="485" customWidth="1"/>
    <col min="12802" max="13056" width="8.7265625" style="485"/>
    <col min="13057" max="13057" width="42.81640625" style="485" customWidth="1"/>
    <col min="13058" max="13312" width="8.7265625" style="485"/>
    <col min="13313" max="13313" width="42.81640625" style="485" customWidth="1"/>
    <col min="13314" max="13568" width="8.7265625" style="485"/>
    <col min="13569" max="13569" width="42.81640625" style="485" customWidth="1"/>
    <col min="13570" max="13824" width="8.7265625" style="485"/>
    <col min="13825" max="13825" width="42.81640625" style="485" customWidth="1"/>
    <col min="13826" max="14080" width="8.7265625" style="485"/>
    <col min="14081" max="14081" width="42.81640625" style="485" customWidth="1"/>
    <col min="14082" max="14336" width="8.7265625" style="485"/>
    <col min="14337" max="14337" width="42.81640625" style="485" customWidth="1"/>
    <col min="14338" max="14592" width="8.7265625" style="485"/>
    <col min="14593" max="14593" width="42.81640625" style="485" customWidth="1"/>
    <col min="14594" max="14848" width="8.7265625" style="485"/>
    <col min="14849" max="14849" width="42.81640625" style="485" customWidth="1"/>
    <col min="14850" max="15104" width="8.7265625" style="485"/>
    <col min="15105" max="15105" width="42.81640625" style="485" customWidth="1"/>
    <col min="15106" max="15360" width="8.7265625" style="485"/>
    <col min="15361" max="15361" width="42.81640625" style="485" customWidth="1"/>
    <col min="15362" max="15616" width="8.7265625" style="485"/>
    <col min="15617" max="15617" width="42.81640625" style="485" customWidth="1"/>
    <col min="15618" max="15872" width="8.7265625" style="485"/>
    <col min="15873" max="15873" width="42.81640625" style="485" customWidth="1"/>
    <col min="15874" max="16128" width="8.7265625" style="485"/>
    <col min="16129" max="16129" width="42.81640625" style="485" customWidth="1"/>
    <col min="16130" max="16384" width="8.7265625" style="485"/>
  </cols>
  <sheetData>
    <row r="1" spans="1:44" ht="13">
      <c r="A1" s="322" t="s">
        <v>844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</row>
    <row r="2" spans="1:44" ht="13">
      <c r="A2" s="323" t="s">
        <v>845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</row>
    <row r="3" spans="1:44" ht="13.5" thickBot="1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</row>
    <row r="4" spans="1:44" ht="13.5" thickBot="1">
      <c r="A4" s="324"/>
      <c r="B4" s="486">
        <v>1953</v>
      </c>
      <c r="C4" s="486">
        <v>1954</v>
      </c>
      <c r="D4" s="486">
        <v>1955</v>
      </c>
      <c r="E4" s="486">
        <v>1956</v>
      </c>
      <c r="F4" s="486">
        <v>1957</v>
      </c>
      <c r="G4" s="486">
        <v>1958</v>
      </c>
      <c r="H4" s="486">
        <v>1959</v>
      </c>
      <c r="I4" s="486">
        <v>1960</v>
      </c>
      <c r="J4" s="486">
        <v>1961</v>
      </c>
      <c r="K4" s="486">
        <v>1962</v>
      </c>
      <c r="L4" s="486">
        <v>1963</v>
      </c>
      <c r="M4" s="486">
        <v>1964</v>
      </c>
      <c r="N4" s="486">
        <v>1965</v>
      </c>
      <c r="O4" s="486">
        <v>1966</v>
      </c>
      <c r="P4" s="486">
        <v>1967</v>
      </c>
      <c r="Q4" s="486">
        <v>1968</v>
      </c>
      <c r="R4" s="486">
        <v>1969</v>
      </c>
      <c r="S4" s="486">
        <v>1970</v>
      </c>
      <c r="T4" s="486">
        <v>1971</v>
      </c>
      <c r="U4" s="486">
        <v>1972</v>
      </c>
      <c r="V4" s="486">
        <v>1973</v>
      </c>
      <c r="W4" s="486">
        <v>1974</v>
      </c>
      <c r="X4" s="486">
        <v>1975</v>
      </c>
      <c r="Y4" s="486">
        <v>1976</v>
      </c>
      <c r="Z4" s="486">
        <v>1977</v>
      </c>
      <c r="AA4" s="486">
        <v>1978</v>
      </c>
      <c r="AB4" s="486">
        <v>1979</v>
      </c>
      <c r="AC4" s="486">
        <v>1980</v>
      </c>
      <c r="AD4" s="486">
        <v>1981</v>
      </c>
      <c r="AE4" s="486">
        <v>1982</v>
      </c>
      <c r="AF4" s="486">
        <v>1983</v>
      </c>
      <c r="AG4" s="486">
        <v>1984</v>
      </c>
      <c r="AH4" s="486">
        <v>1985</v>
      </c>
      <c r="AI4" s="486">
        <v>1986</v>
      </c>
      <c r="AJ4" s="486">
        <v>1987</v>
      </c>
      <c r="AK4" s="486">
        <v>1988</v>
      </c>
      <c r="AL4" s="486">
        <v>1989</v>
      </c>
      <c r="AM4" s="486">
        <v>1990</v>
      </c>
      <c r="AN4" s="486">
        <v>1991</v>
      </c>
      <c r="AO4" s="486">
        <v>1992</v>
      </c>
      <c r="AP4" s="486">
        <v>1993</v>
      </c>
      <c r="AQ4" s="486">
        <v>1994</v>
      </c>
      <c r="AR4" s="326">
        <v>1995</v>
      </c>
    </row>
    <row r="5" spans="1:44" ht="13">
      <c r="A5" s="327" t="s">
        <v>846</v>
      </c>
      <c r="B5" s="487">
        <v>8578.9500000000007</v>
      </c>
      <c r="C5" s="487">
        <v>8632.1</v>
      </c>
      <c r="D5" s="487">
        <v>8692.6</v>
      </c>
      <c r="E5" s="487">
        <v>8756</v>
      </c>
      <c r="F5" s="487">
        <v>8817.65</v>
      </c>
      <c r="G5" s="487">
        <v>8888.5499999999993</v>
      </c>
      <c r="H5" s="487">
        <v>8961.5499999999993</v>
      </c>
      <c r="I5" s="487">
        <v>9036.7000000000007</v>
      </c>
      <c r="J5" s="487">
        <v>9031.2000000000007</v>
      </c>
      <c r="K5" s="487">
        <v>9019.7999999999993</v>
      </c>
      <c r="L5" s="487">
        <v>9081.6</v>
      </c>
      <c r="M5" s="487">
        <v>9122.5</v>
      </c>
      <c r="N5" s="487">
        <v>9128.85</v>
      </c>
      <c r="O5" s="487">
        <v>9108.7999999999993</v>
      </c>
      <c r="P5" s="487">
        <v>9103</v>
      </c>
      <c r="Q5" s="487">
        <v>9115.0499999999993</v>
      </c>
      <c r="R5" s="487">
        <v>9097.2000000000007</v>
      </c>
      <c r="S5" s="487">
        <v>9044.2000000000007</v>
      </c>
      <c r="T5" s="487">
        <v>8990.4500000000007</v>
      </c>
      <c r="U5" s="487">
        <v>8970.4500000000007</v>
      </c>
      <c r="V5" s="487">
        <v>8975.9500000000007</v>
      </c>
      <c r="W5" s="487">
        <v>9098.2999999999993</v>
      </c>
      <c r="X5" s="487">
        <v>9425.75</v>
      </c>
      <c r="Y5" s="487">
        <v>9665.9500000000007</v>
      </c>
      <c r="Z5" s="487">
        <v>9735.9</v>
      </c>
      <c r="AA5" s="487">
        <v>9801.4</v>
      </c>
      <c r="AB5" s="487">
        <v>9856.5</v>
      </c>
      <c r="AC5" s="487">
        <v>9909.2999999999993</v>
      </c>
      <c r="AD5" s="487">
        <v>9956.9</v>
      </c>
      <c r="AE5" s="487">
        <v>10059.064075949364</v>
      </c>
      <c r="AF5" s="487">
        <v>10122.616248945145</v>
      </c>
      <c r="AG5" s="487">
        <v>10196.710704641348</v>
      </c>
      <c r="AH5" s="487">
        <v>10173.353999999998</v>
      </c>
      <c r="AI5" s="487">
        <v>10199.173999999997</v>
      </c>
      <c r="AJ5" s="487">
        <v>10227.968999999997</v>
      </c>
      <c r="AK5" s="487">
        <v>10254.253999999997</v>
      </c>
      <c r="AL5" s="487">
        <v>10281.393999999998</v>
      </c>
      <c r="AM5" s="487">
        <v>10301.661999999998</v>
      </c>
      <c r="AN5" s="487">
        <v>10303.571999999998</v>
      </c>
      <c r="AO5" s="487">
        <v>10280.241999999998</v>
      </c>
      <c r="AP5" s="487">
        <v>10313.241999999998</v>
      </c>
      <c r="AQ5" s="487">
        <v>10332.907999999998</v>
      </c>
      <c r="AR5" s="488">
        <v>10341.152999999997</v>
      </c>
    </row>
    <row r="6" spans="1:44" ht="13">
      <c r="A6" s="327" t="s">
        <v>847</v>
      </c>
      <c r="B6" s="487">
        <v>3242.7383711692901</v>
      </c>
      <c r="C6" s="487">
        <v>3248.3947775363986</v>
      </c>
      <c r="D6" s="487">
        <v>3266.150617406342</v>
      </c>
      <c r="E6" s="487">
        <v>3295.035410732673</v>
      </c>
      <c r="F6" s="487">
        <v>3328.8979787376247</v>
      </c>
      <c r="G6" s="487">
        <v>3358.4161244614511</v>
      </c>
      <c r="H6" s="487">
        <v>3379.3351173932365</v>
      </c>
      <c r="I6" s="487">
        <v>3390.4195978882117</v>
      </c>
      <c r="J6" s="487">
        <v>3398.4304237968654</v>
      </c>
      <c r="K6" s="487">
        <v>3408.2909663539599</v>
      </c>
      <c r="L6" s="487">
        <v>3431.6242112502377</v>
      </c>
      <c r="M6" s="487">
        <v>3476.6502805523883</v>
      </c>
      <c r="N6" s="487">
        <v>3531.0177663658442</v>
      </c>
      <c r="O6" s="487">
        <v>3581.9360368489188</v>
      </c>
      <c r="P6" s="487">
        <v>3625.5485423161153</v>
      </c>
      <c r="Q6" s="487">
        <v>3659.9962086252663</v>
      </c>
      <c r="R6" s="487">
        <v>3692.8093823841355</v>
      </c>
      <c r="S6" s="487">
        <v>3735.7380593936259</v>
      </c>
      <c r="T6" s="487">
        <v>3772.2496193042234</v>
      </c>
      <c r="U6" s="487">
        <v>3815.0707424998227</v>
      </c>
      <c r="V6" s="487">
        <v>3850.6594706588462</v>
      </c>
      <c r="W6" s="487">
        <v>3862.4752194470816</v>
      </c>
      <c r="X6" s="487">
        <v>3848.3548086303736</v>
      </c>
      <c r="Y6" s="487">
        <v>3843.4499275508442</v>
      </c>
      <c r="Z6" s="487">
        <v>3934.9307522113922</v>
      </c>
      <c r="AA6" s="487">
        <v>4064.3462219958678</v>
      </c>
      <c r="AB6" s="487">
        <v>4166.2048111332115</v>
      </c>
      <c r="AC6" s="487">
        <v>4236.052168656206</v>
      </c>
      <c r="AD6" s="487">
        <v>4250.960816445111</v>
      </c>
      <c r="AE6" s="487">
        <v>4268.626367167386</v>
      </c>
      <c r="AF6" s="487">
        <v>4230.7129844214251</v>
      </c>
      <c r="AG6" s="487">
        <v>4329.8047142797386</v>
      </c>
      <c r="AH6" s="487">
        <v>4347.9017553292615</v>
      </c>
      <c r="AI6" s="487">
        <v>4326.5785167032445</v>
      </c>
      <c r="AJ6" s="487">
        <v>4388.9439942762456</v>
      </c>
      <c r="AK6" s="487">
        <v>4435.6254420945515</v>
      </c>
      <c r="AL6" s="487">
        <v>4556.9163188151706</v>
      </c>
      <c r="AM6" s="487">
        <v>4593.1742355739771</v>
      </c>
      <c r="AN6" s="487">
        <v>4628.9448727615591</v>
      </c>
      <c r="AO6" s="487">
        <v>4600.6178940869522</v>
      </c>
      <c r="AP6" s="487">
        <v>4599.746571463239</v>
      </c>
      <c r="AQ6" s="487">
        <v>4664.8978665749446</v>
      </c>
      <c r="AR6" s="488">
        <v>4708.3701468384925</v>
      </c>
    </row>
    <row r="7" spans="1:44" ht="13">
      <c r="A7" s="327" t="s">
        <v>848</v>
      </c>
      <c r="B7" s="489">
        <v>0.37798779234863122</v>
      </c>
      <c r="C7" s="489">
        <v>0.37631570273008874</v>
      </c>
      <c r="D7" s="489">
        <v>0.37573920546284684</v>
      </c>
      <c r="E7" s="489">
        <v>0.37631742927508827</v>
      </c>
      <c r="F7" s="489">
        <v>0.37752666285661418</v>
      </c>
      <c r="G7" s="489">
        <v>0.37783621900776293</v>
      </c>
      <c r="H7" s="489">
        <v>0.37709270353825364</v>
      </c>
      <c r="I7" s="489">
        <v>0.37518337422822617</v>
      </c>
      <c r="J7" s="489">
        <v>0.37629887764603431</v>
      </c>
      <c r="K7" s="489">
        <v>0.37786768734938248</v>
      </c>
      <c r="L7" s="489">
        <v>0.3778655976094783</v>
      </c>
      <c r="M7" s="489">
        <v>0.38110718339845306</v>
      </c>
      <c r="N7" s="489">
        <v>0.38679765429006324</v>
      </c>
      <c r="O7" s="489">
        <v>0.39323906956447818</v>
      </c>
      <c r="P7" s="489">
        <v>0.39828062642163192</v>
      </c>
      <c r="Q7" s="489">
        <v>0.40153331124077946</v>
      </c>
      <c r="R7" s="489">
        <v>0.40592812979643572</v>
      </c>
      <c r="S7" s="489">
        <v>0.41305345518604469</v>
      </c>
      <c r="T7" s="489">
        <v>0.41958407191010716</v>
      </c>
      <c r="U7" s="489">
        <v>0.42529312827113719</v>
      </c>
      <c r="V7" s="489">
        <v>0.4289974287578302</v>
      </c>
      <c r="W7" s="489">
        <v>0.42452713357957883</v>
      </c>
      <c r="X7" s="489">
        <v>0.40828101834128566</v>
      </c>
      <c r="Y7" s="489">
        <v>0.39762774766586251</v>
      </c>
      <c r="Z7" s="489">
        <v>0.40416712910068842</v>
      </c>
      <c r="AA7" s="489">
        <v>0.41466996775928622</v>
      </c>
      <c r="AB7" s="489">
        <v>0.42268602558039986</v>
      </c>
      <c r="AC7" s="489">
        <v>0.42748248298630642</v>
      </c>
      <c r="AD7" s="489">
        <v>0.42693617656550853</v>
      </c>
      <c r="AE7" s="489">
        <v>0.42435621593995243</v>
      </c>
      <c r="AF7" s="489">
        <v>0.41794659407959855</v>
      </c>
      <c r="AG7" s="489">
        <v>0.42462759214193402</v>
      </c>
      <c r="AH7" s="489">
        <v>0.42738134889725282</v>
      </c>
      <c r="AI7" s="489">
        <v>0.42420871697092782</v>
      </c>
      <c r="AJ7" s="489">
        <v>0.42911197660808775</v>
      </c>
      <c r="AK7" s="489">
        <v>0.43256442078522267</v>
      </c>
      <c r="AL7" s="489">
        <v>0.44321969557972113</v>
      </c>
      <c r="AM7" s="489">
        <v>0.44586730137078634</v>
      </c>
      <c r="AN7" s="489">
        <v>0.44925632322087522</v>
      </c>
      <c r="AO7" s="489">
        <v>0.44752038853627696</v>
      </c>
      <c r="AP7" s="489">
        <v>0.44600394051290948</v>
      </c>
      <c r="AQ7" s="489">
        <v>0.45146031171234136</v>
      </c>
      <c r="AR7" s="490">
        <v>0.45530417612412216</v>
      </c>
    </row>
    <row r="8" spans="1:44" ht="13">
      <c r="A8" s="327" t="s">
        <v>849</v>
      </c>
      <c r="B8" s="487">
        <v>3143.5571585738403</v>
      </c>
      <c r="C8" s="487">
        <v>3121.5063197070622</v>
      </c>
      <c r="D8" s="487">
        <v>3150.297086224783</v>
      </c>
      <c r="E8" s="487">
        <v>3198.9569190247717</v>
      </c>
      <c r="F8" s="487">
        <v>3233.2326236796725</v>
      </c>
      <c r="G8" s="487">
        <v>3265.1598051026676</v>
      </c>
      <c r="H8" s="487">
        <v>3278.7501554844766</v>
      </c>
      <c r="I8" s="487">
        <v>3309.0246366686465</v>
      </c>
      <c r="J8" s="487">
        <v>3294.5363490046102</v>
      </c>
      <c r="K8" s="487">
        <v>3298.8133718254585</v>
      </c>
      <c r="L8" s="487">
        <v>3317.5586264844947</v>
      </c>
      <c r="M8" s="487">
        <v>3358.8886588714395</v>
      </c>
      <c r="N8" s="487">
        <v>3440.3044350009659</v>
      </c>
      <c r="O8" s="487">
        <v>3517.7220181181378</v>
      </c>
      <c r="P8" s="487">
        <v>3535.0334505453966</v>
      </c>
      <c r="Q8" s="487">
        <v>3549.5860199446852</v>
      </c>
      <c r="R8" s="487">
        <v>3599.4432547554175</v>
      </c>
      <c r="S8" s="487">
        <v>3637.1608442905017</v>
      </c>
      <c r="T8" s="487">
        <v>3681.7773496162808</v>
      </c>
      <c r="U8" s="487">
        <v>3747.805154320728</v>
      </c>
      <c r="V8" s="487">
        <v>3796.3140922045886</v>
      </c>
      <c r="W8" s="487">
        <v>3780.8565805787166</v>
      </c>
      <c r="X8" s="487">
        <v>3695.5750482145777</v>
      </c>
      <c r="Y8" s="487">
        <v>3624.444170062</v>
      </c>
      <c r="Z8" s="487">
        <v>3671.9291189290266</v>
      </c>
      <c r="AA8" s="487">
        <v>3769.9763136149177</v>
      </c>
      <c r="AB8" s="487">
        <v>3862.3908806114223</v>
      </c>
      <c r="AC8" s="487">
        <v>3943.6838405522685</v>
      </c>
      <c r="AD8" s="487">
        <v>3939.4634982189282</v>
      </c>
      <c r="AE8" s="487">
        <v>3965.2666150632513</v>
      </c>
      <c r="AF8" s="487">
        <v>3878.7687366909036</v>
      </c>
      <c r="AG8" s="487">
        <v>3937.3200149633772</v>
      </c>
      <c r="AH8" s="487">
        <v>3932.2044308997156</v>
      </c>
      <c r="AI8" s="487">
        <v>3899.9772821431234</v>
      </c>
      <c r="AJ8" s="487">
        <v>4006.9319157822201</v>
      </c>
      <c r="AK8" s="487">
        <v>4096.1539579867685</v>
      </c>
      <c r="AL8" s="487">
        <v>4236.1436680880706</v>
      </c>
      <c r="AM8" s="487">
        <v>4279.2336383420634</v>
      </c>
      <c r="AN8" s="487">
        <v>4335.1782652831216</v>
      </c>
      <c r="AO8" s="487">
        <v>4359.5981208248249</v>
      </c>
      <c r="AP8" s="487">
        <v>4295.1594808557093</v>
      </c>
      <c r="AQ8" s="487">
        <v>4293.0521409327284</v>
      </c>
      <c r="AR8" s="488">
        <v>4315.4184989014984</v>
      </c>
    </row>
    <row r="9" spans="1:44" ht="13">
      <c r="A9" s="327" t="s">
        <v>850</v>
      </c>
      <c r="B9" s="487">
        <v>2282.5041887438833</v>
      </c>
      <c r="C9" s="487">
        <v>2272.8585298982398</v>
      </c>
      <c r="D9" s="487">
        <v>2297.8995581171225</v>
      </c>
      <c r="E9" s="487">
        <v>2343.3799292663325</v>
      </c>
      <c r="F9" s="487">
        <v>2375.4764641257998</v>
      </c>
      <c r="G9" s="487">
        <v>2404.9997439071667</v>
      </c>
      <c r="H9" s="487">
        <v>2425.5221209787483</v>
      </c>
      <c r="I9" s="487">
        <v>2439.3609559150127</v>
      </c>
      <c r="J9" s="487">
        <v>2432.5908250780662</v>
      </c>
      <c r="K9" s="487">
        <v>2431.9635945150208</v>
      </c>
      <c r="L9" s="487">
        <v>2439.6922113153382</v>
      </c>
      <c r="M9" s="487">
        <v>2471.6709926770741</v>
      </c>
      <c r="N9" s="487">
        <v>2540.3763430966956</v>
      </c>
      <c r="O9" s="487">
        <v>2609.7197530765457</v>
      </c>
      <c r="P9" s="487">
        <v>2627.2135081413994</v>
      </c>
      <c r="Q9" s="487">
        <v>2642.1830144789201</v>
      </c>
      <c r="R9" s="487">
        <v>2691.9153436930501</v>
      </c>
      <c r="S9" s="487">
        <v>2734.4785252351803</v>
      </c>
      <c r="T9" s="487">
        <v>2776.8623622881369</v>
      </c>
      <c r="U9" s="487">
        <v>2834.3008707788103</v>
      </c>
      <c r="V9" s="487">
        <v>2877.772802977463</v>
      </c>
      <c r="W9" s="487">
        <v>2874.1286495414311</v>
      </c>
      <c r="X9" s="487">
        <v>2812.1651654710363</v>
      </c>
      <c r="Y9" s="487">
        <v>2721.9482598051923</v>
      </c>
      <c r="Z9" s="487">
        <v>2762.0926663838445</v>
      </c>
      <c r="AA9" s="487">
        <v>2867.4095222462029</v>
      </c>
      <c r="AB9" s="487">
        <v>2936.6160806847738</v>
      </c>
      <c r="AC9" s="487">
        <v>3030.64769808241</v>
      </c>
      <c r="AD9" s="487">
        <v>3037.6202059370771</v>
      </c>
      <c r="AE9" s="487">
        <v>3035.0910542489628</v>
      </c>
      <c r="AF9" s="487">
        <v>2979.870845089647</v>
      </c>
      <c r="AG9" s="487">
        <v>3017.7732445135416</v>
      </c>
      <c r="AH9" s="487">
        <v>3005.6446083588862</v>
      </c>
      <c r="AI9" s="487">
        <v>2992.7884049036534</v>
      </c>
      <c r="AJ9" s="487">
        <v>3055.2081345877459</v>
      </c>
      <c r="AK9" s="487">
        <v>3144.6607651454842</v>
      </c>
      <c r="AL9" s="487">
        <v>3265.2040990397172</v>
      </c>
      <c r="AM9" s="487">
        <v>3301.6586867814231</v>
      </c>
      <c r="AN9" s="487">
        <v>3314.8864722267194</v>
      </c>
      <c r="AO9" s="487">
        <v>3327.6184242331528</v>
      </c>
      <c r="AP9" s="487">
        <v>3243.8764949052629</v>
      </c>
      <c r="AQ9" s="487">
        <v>3175.4452989131323</v>
      </c>
      <c r="AR9" s="488">
        <v>3164.0186279439508</v>
      </c>
    </row>
    <row r="10" spans="1:44" ht="13">
      <c r="A10" s="327" t="s">
        <v>851</v>
      </c>
      <c r="B10" s="487">
        <v>99.233106370329097</v>
      </c>
      <c r="C10" s="487">
        <v>126.93744492818678</v>
      </c>
      <c r="D10" s="487">
        <v>115.89280488610393</v>
      </c>
      <c r="E10" s="487">
        <v>96.113763327286961</v>
      </c>
      <c r="F10" s="487">
        <v>95.694729308423121</v>
      </c>
      <c r="G10" s="487">
        <v>93.276657334440188</v>
      </c>
      <c r="H10" s="487">
        <v>100.59514864266612</v>
      </c>
      <c r="I10" s="487">
        <v>81.331225939431675</v>
      </c>
      <c r="J10" s="487">
        <v>103.32789729562955</v>
      </c>
      <c r="K10" s="487">
        <v>109.23568134536299</v>
      </c>
      <c r="L10" s="487">
        <v>114.35271960859382</v>
      </c>
      <c r="M10" s="487">
        <v>119.21778442714685</v>
      </c>
      <c r="N10" s="487">
        <v>92.569293907489737</v>
      </c>
      <c r="O10" s="487">
        <v>65.663605818961514</v>
      </c>
      <c r="P10" s="487">
        <v>91.969080940334607</v>
      </c>
      <c r="Q10" s="487">
        <v>111.86343857386964</v>
      </c>
      <c r="R10" s="487">
        <v>94.632286031190233</v>
      </c>
      <c r="S10" s="487">
        <v>99.893162561892495</v>
      </c>
      <c r="T10" s="487">
        <v>91.467019327903472</v>
      </c>
      <c r="U10" s="487">
        <v>68.300525251238923</v>
      </c>
      <c r="V10" s="487">
        <v>55.061775607330219</v>
      </c>
      <c r="W10" s="487">
        <v>82.464395474895809</v>
      </c>
      <c r="X10" s="487">
        <v>153.55028107676281</v>
      </c>
      <c r="Y10" s="487">
        <v>220.44981088475191</v>
      </c>
      <c r="Z10" s="487">
        <v>264.64527516740714</v>
      </c>
      <c r="AA10" s="487">
        <v>295.00797700986135</v>
      </c>
      <c r="AB10" s="487">
        <v>305.331730491553</v>
      </c>
      <c r="AC10" s="487">
        <v>293.46701764162708</v>
      </c>
      <c r="AD10" s="487">
        <v>311.49731822618304</v>
      </c>
      <c r="AE10" s="487">
        <v>303.35975210413466</v>
      </c>
      <c r="AF10" s="487">
        <v>351.94424773052134</v>
      </c>
      <c r="AG10" s="487">
        <v>392.4846993163618</v>
      </c>
      <c r="AH10" s="487">
        <v>415.69732442954637</v>
      </c>
      <c r="AI10" s="487">
        <v>426.60123456012099</v>
      </c>
      <c r="AJ10" s="487">
        <v>382.01207849402505</v>
      </c>
      <c r="AK10" s="487">
        <v>339.47148410778306</v>
      </c>
      <c r="AL10" s="487">
        <v>320.77265072709963</v>
      </c>
      <c r="AM10" s="487">
        <v>313.94059723191322</v>
      </c>
      <c r="AN10" s="487">
        <v>293.76660747843704</v>
      </c>
      <c r="AO10" s="487">
        <v>241.01977326212756</v>
      </c>
      <c r="AP10" s="487">
        <v>304.58709060752938</v>
      </c>
      <c r="AQ10" s="487">
        <v>371.84572564221656</v>
      </c>
      <c r="AR10" s="488">
        <v>392.95164793699416</v>
      </c>
    </row>
    <row r="11" spans="1:44" ht="13.5" thickBot="1">
      <c r="A11" s="334" t="s">
        <v>852</v>
      </c>
      <c r="B11" s="491">
        <v>3.0601638187217339E-2</v>
      </c>
      <c r="C11" s="491">
        <v>3.9076976051678321E-2</v>
      </c>
      <c r="D11" s="491">
        <v>3.5482994650790071E-2</v>
      </c>
      <c r="E11" s="491">
        <v>2.9169265682008384E-2</v>
      </c>
      <c r="F11" s="491">
        <v>2.8746669294056348E-2</v>
      </c>
      <c r="G11" s="491">
        <v>2.7774002350407917E-2</v>
      </c>
      <c r="H11" s="491">
        <v>2.9767733932307833E-2</v>
      </c>
      <c r="I11" s="491">
        <v>2.3988542890116139E-2</v>
      </c>
      <c r="J11" s="491">
        <v>3.0404594006720138E-2</v>
      </c>
      <c r="K11" s="491">
        <v>3.2049987053252828E-2</v>
      </c>
      <c r="L11" s="491">
        <v>3.3323205738466304E-2</v>
      </c>
      <c r="M11" s="491">
        <v>3.4290991272267084E-2</v>
      </c>
      <c r="N11" s="491">
        <v>2.6216037423896311E-2</v>
      </c>
      <c r="O11" s="491">
        <v>1.8331875595614135E-2</v>
      </c>
      <c r="P11" s="491">
        <v>2.5366942372141526E-2</v>
      </c>
      <c r="Q11" s="491">
        <v>3.0563812692004606E-2</v>
      </c>
      <c r="R11" s="491">
        <v>2.5626095536535425E-2</v>
      </c>
      <c r="S11" s="491">
        <v>2.6739873345966569E-2</v>
      </c>
      <c r="T11" s="491">
        <v>2.4247340064620169E-2</v>
      </c>
      <c r="U11" s="491">
        <v>1.7902820120836094E-2</v>
      </c>
      <c r="V11" s="491">
        <v>1.4299310553656715E-2</v>
      </c>
      <c r="W11" s="491">
        <v>2.1350142276563445E-2</v>
      </c>
      <c r="X11" s="491">
        <v>3.9900240157796481E-2</v>
      </c>
      <c r="Y11" s="491">
        <v>5.7357274074135996E-2</v>
      </c>
      <c r="Z11" s="491">
        <v>6.7255383088680551E-2</v>
      </c>
      <c r="AA11" s="491">
        <v>7.2584361886619139E-2</v>
      </c>
      <c r="AB11" s="491">
        <v>7.328773892143399E-2</v>
      </c>
      <c r="AC11" s="491">
        <v>6.9278423861980673E-2</v>
      </c>
      <c r="AD11" s="491">
        <v>7.3276920601369921E-2</v>
      </c>
      <c r="AE11" s="491">
        <v>7.1067300346889087E-2</v>
      </c>
      <c r="AF11" s="491">
        <v>8.3187928140356179E-2</v>
      </c>
      <c r="AG11" s="491">
        <v>9.0647205870958425E-2</v>
      </c>
      <c r="AH11" s="491">
        <v>9.5608720670843694E-2</v>
      </c>
      <c r="AI11" s="491">
        <v>9.8600137016623832E-2</v>
      </c>
      <c r="AJ11" s="491">
        <v>8.7039633905608857E-2</v>
      </c>
      <c r="AK11" s="491">
        <v>7.6532946376888136E-2</v>
      </c>
      <c r="AL11" s="491">
        <v>7.0392482171035942E-2</v>
      </c>
      <c r="AM11" s="491">
        <v>6.8349376951663196E-2</v>
      </c>
      <c r="AN11" s="491">
        <v>6.3462973864102268E-2</v>
      </c>
      <c r="AO11" s="491">
        <v>5.2388565799368743E-2</v>
      </c>
      <c r="AP11" s="491">
        <v>6.6218233086401596E-2</v>
      </c>
      <c r="AQ11" s="491">
        <v>7.9711439838067166E-2</v>
      </c>
      <c r="AR11" s="492">
        <v>8.3458104541939554E-2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2075-F8E6-416A-800A-A4308399B7CB}">
  <dimension ref="A1:AS53"/>
  <sheetViews>
    <sheetView showGridLines="0" workbookViewId="0">
      <selection activeCell="AU7" sqref="AU7"/>
    </sheetView>
  </sheetViews>
  <sheetFormatPr defaultRowHeight="12.5"/>
  <cols>
    <col min="1" max="1" width="8.7265625" style="485"/>
    <col min="2" max="2" width="46.26953125" style="485" customWidth="1"/>
    <col min="3" max="257" width="8.7265625" style="485"/>
    <col min="258" max="258" width="46.26953125" style="485" customWidth="1"/>
    <col min="259" max="513" width="8.7265625" style="485"/>
    <col min="514" max="514" width="46.26953125" style="485" customWidth="1"/>
    <col min="515" max="769" width="8.7265625" style="485"/>
    <col min="770" max="770" width="46.26953125" style="485" customWidth="1"/>
    <col min="771" max="1025" width="8.7265625" style="485"/>
    <col min="1026" max="1026" width="46.26953125" style="485" customWidth="1"/>
    <col min="1027" max="1281" width="8.7265625" style="485"/>
    <col min="1282" max="1282" width="46.26953125" style="485" customWidth="1"/>
    <col min="1283" max="1537" width="8.7265625" style="485"/>
    <col min="1538" max="1538" width="46.26953125" style="485" customWidth="1"/>
    <col min="1539" max="1793" width="8.7265625" style="485"/>
    <col min="1794" max="1794" width="46.26953125" style="485" customWidth="1"/>
    <col min="1795" max="2049" width="8.7265625" style="485"/>
    <col min="2050" max="2050" width="46.26953125" style="485" customWidth="1"/>
    <col min="2051" max="2305" width="8.7265625" style="485"/>
    <col min="2306" max="2306" width="46.26953125" style="485" customWidth="1"/>
    <col min="2307" max="2561" width="8.7265625" style="485"/>
    <col min="2562" max="2562" width="46.26953125" style="485" customWidth="1"/>
    <col min="2563" max="2817" width="8.7265625" style="485"/>
    <col min="2818" max="2818" width="46.26953125" style="485" customWidth="1"/>
    <col min="2819" max="3073" width="8.7265625" style="485"/>
    <col min="3074" max="3074" width="46.26953125" style="485" customWidth="1"/>
    <col min="3075" max="3329" width="8.7265625" style="485"/>
    <col min="3330" max="3330" width="46.26953125" style="485" customWidth="1"/>
    <col min="3331" max="3585" width="8.7265625" style="485"/>
    <col min="3586" max="3586" width="46.26953125" style="485" customWidth="1"/>
    <col min="3587" max="3841" width="8.7265625" style="485"/>
    <col min="3842" max="3842" width="46.26953125" style="485" customWidth="1"/>
    <col min="3843" max="4097" width="8.7265625" style="485"/>
    <col min="4098" max="4098" width="46.26953125" style="485" customWidth="1"/>
    <col min="4099" max="4353" width="8.7265625" style="485"/>
    <col min="4354" max="4354" width="46.26953125" style="485" customWidth="1"/>
    <col min="4355" max="4609" width="8.7265625" style="485"/>
    <col min="4610" max="4610" width="46.26953125" style="485" customWidth="1"/>
    <col min="4611" max="4865" width="8.7265625" style="485"/>
    <col min="4866" max="4866" width="46.26953125" style="485" customWidth="1"/>
    <col min="4867" max="5121" width="8.7265625" style="485"/>
    <col min="5122" max="5122" width="46.26953125" style="485" customWidth="1"/>
    <col min="5123" max="5377" width="8.7265625" style="485"/>
    <col min="5378" max="5378" width="46.26953125" style="485" customWidth="1"/>
    <col min="5379" max="5633" width="8.7265625" style="485"/>
    <col min="5634" max="5634" width="46.26953125" style="485" customWidth="1"/>
    <col min="5635" max="5889" width="8.7265625" style="485"/>
    <col min="5890" max="5890" width="46.26953125" style="485" customWidth="1"/>
    <col min="5891" max="6145" width="8.7265625" style="485"/>
    <col min="6146" max="6146" width="46.26953125" style="485" customWidth="1"/>
    <col min="6147" max="6401" width="8.7265625" style="485"/>
    <col min="6402" max="6402" width="46.26953125" style="485" customWidth="1"/>
    <col min="6403" max="6657" width="8.7265625" style="485"/>
    <col min="6658" max="6658" width="46.26953125" style="485" customWidth="1"/>
    <col min="6659" max="6913" width="8.7265625" style="485"/>
    <col min="6914" max="6914" width="46.26953125" style="485" customWidth="1"/>
    <col min="6915" max="7169" width="8.7265625" style="485"/>
    <col min="7170" max="7170" width="46.26953125" style="485" customWidth="1"/>
    <col min="7171" max="7425" width="8.7265625" style="485"/>
    <col min="7426" max="7426" width="46.26953125" style="485" customWidth="1"/>
    <col min="7427" max="7681" width="8.7265625" style="485"/>
    <col min="7682" max="7682" width="46.26953125" style="485" customWidth="1"/>
    <col min="7683" max="7937" width="8.7265625" style="485"/>
    <col min="7938" max="7938" width="46.26953125" style="485" customWidth="1"/>
    <col min="7939" max="8193" width="8.7265625" style="485"/>
    <col min="8194" max="8194" width="46.26953125" style="485" customWidth="1"/>
    <col min="8195" max="8449" width="8.7265625" style="485"/>
    <col min="8450" max="8450" width="46.26953125" style="485" customWidth="1"/>
    <col min="8451" max="8705" width="8.7265625" style="485"/>
    <col min="8706" max="8706" width="46.26953125" style="485" customWidth="1"/>
    <col min="8707" max="8961" width="8.7265625" style="485"/>
    <col min="8962" max="8962" width="46.26953125" style="485" customWidth="1"/>
    <col min="8963" max="9217" width="8.7265625" style="485"/>
    <col min="9218" max="9218" width="46.26953125" style="485" customWidth="1"/>
    <col min="9219" max="9473" width="8.7265625" style="485"/>
    <col min="9474" max="9474" width="46.26953125" style="485" customWidth="1"/>
    <col min="9475" max="9729" width="8.7265625" style="485"/>
    <col min="9730" max="9730" width="46.26953125" style="485" customWidth="1"/>
    <col min="9731" max="9985" width="8.7265625" style="485"/>
    <col min="9986" max="9986" width="46.26953125" style="485" customWidth="1"/>
    <col min="9987" max="10241" width="8.7265625" style="485"/>
    <col min="10242" max="10242" width="46.26953125" style="485" customWidth="1"/>
    <col min="10243" max="10497" width="8.7265625" style="485"/>
    <col min="10498" max="10498" width="46.26953125" style="485" customWidth="1"/>
    <col min="10499" max="10753" width="8.7265625" style="485"/>
    <col min="10754" max="10754" width="46.26953125" style="485" customWidth="1"/>
    <col min="10755" max="11009" width="8.7265625" style="485"/>
    <col min="11010" max="11010" width="46.26953125" style="485" customWidth="1"/>
    <col min="11011" max="11265" width="8.7265625" style="485"/>
    <col min="11266" max="11266" width="46.26953125" style="485" customWidth="1"/>
    <col min="11267" max="11521" width="8.7265625" style="485"/>
    <col min="11522" max="11522" width="46.26953125" style="485" customWidth="1"/>
    <col min="11523" max="11777" width="8.7265625" style="485"/>
    <col min="11778" max="11778" width="46.26953125" style="485" customWidth="1"/>
    <col min="11779" max="12033" width="8.7265625" style="485"/>
    <col min="12034" max="12034" width="46.26953125" style="485" customWidth="1"/>
    <col min="12035" max="12289" width="8.7265625" style="485"/>
    <col min="12290" max="12290" width="46.26953125" style="485" customWidth="1"/>
    <col min="12291" max="12545" width="8.7265625" style="485"/>
    <col min="12546" max="12546" width="46.26953125" style="485" customWidth="1"/>
    <col min="12547" max="12801" width="8.7265625" style="485"/>
    <col min="12802" max="12802" width="46.26953125" style="485" customWidth="1"/>
    <col min="12803" max="13057" width="8.7265625" style="485"/>
    <col min="13058" max="13058" width="46.26953125" style="485" customWidth="1"/>
    <col min="13059" max="13313" width="8.7265625" style="485"/>
    <col min="13314" max="13314" width="46.26953125" style="485" customWidth="1"/>
    <col min="13315" max="13569" width="8.7265625" style="485"/>
    <col min="13570" max="13570" width="46.26953125" style="485" customWidth="1"/>
    <col min="13571" max="13825" width="8.7265625" style="485"/>
    <col min="13826" max="13826" width="46.26953125" style="485" customWidth="1"/>
    <col min="13827" max="14081" width="8.7265625" style="485"/>
    <col min="14082" max="14082" width="46.26953125" style="485" customWidth="1"/>
    <col min="14083" max="14337" width="8.7265625" style="485"/>
    <col min="14338" max="14338" width="46.26953125" style="485" customWidth="1"/>
    <col min="14339" max="14593" width="8.7265625" style="485"/>
    <col min="14594" max="14594" width="46.26953125" style="485" customWidth="1"/>
    <col min="14595" max="14849" width="8.7265625" style="485"/>
    <col min="14850" max="14850" width="46.26953125" style="485" customWidth="1"/>
    <col min="14851" max="15105" width="8.7265625" style="485"/>
    <col min="15106" max="15106" width="46.26953125" style="485" customWidth="1"/>
    <col min="15107" max="15361" width="8.7265625" style="485"/>
    <col min="15362" max="15362" width="46.26953125" style="485" customWidth="1"/>
    <col min="15363" max="15617" width="8.7265625" style="485"/>
    <col min="15618" max="15618" width="46.26953125" style="485" customWidth="1"/>
    <col min="15619" max="15873" width="8.7265625" style="485"/>
    <col min="15874" max="15874" width="46.26953125" style="485" customWidth="1"/>
    <col min="15875" max="16129" width="8.7265625" style="485"/>
    <col min="16130" max="16130" width="46.26953125" style="485" customWidth="1"/>
    <col min="16131" max="16384" width="8.7265625" style="485"/>
  </cols>
  <sheetData>
    <row r="1" spans="1:45" ht="13">
      <c r="A1" s="322" t="s">
        <v>853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</row>
    <row r="2" spans="1:45" ht="13">
      <c r="A2" s="323" t="s">
        <v>845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</row>
    <row r="3" spans="1:45" ht="13.5" thickBot="1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  <c r="AQ3" s="323"/>
    </row>
    <row r="4" spans="1:45" ht="13.5" thickBot="1">
      <c r="A4" s="493" t="s">
        <v>854</v>
      </c>
      <c r="B4" s="494"/>
      <c r="C4" s="486">
        <v>1953</v>
      </c>
      <c r="D4" s="486">
        <v>1954</v>
      </c>
      <c r="E4" s="486">
        <v>1955</v>
      </c>
      <c r="F4" s="486">
        <v>1956</v>
      </c>
      <c r="G4" s="486">
        <v>1957</v>
      </c>
      <c r="H4" s="486">
        <v>1958</v>
      </c>
      <c r="I4" s="486">
        <v>1959</v>
      </c>
      <c r="J4" s="486">
        <v>1960</v>
      </c>
      <c r="K4" s="486">
        <v>1961</v>
      </c>
      <c r="L4" s="486">
        <v>1962</v>
      </c>
      <c r="M4" s="486">
        <v>1963</v>
      </c>
      <c r="N4" s="486">
        <v>1964</v>
      </c>
      <c r="O4" s="486">
        <v>1965</v>
      </c>
      <c r="P4" s="486">
        <v>1966</v>
      </c>
      <c r="Q4" s="486">
        <v>1967</v>
      </c>
      <c r="R4" s="486">
        <v>1968</v>
      </c>
      <c r="S4" s="486">
        <v>1969</v>
      </c>
      <c r="T4" s="486">
        <v>1970</v>
      </c>
      <c r="U4" s="486">
        <v>1971</v>
      </c>
      <c r="V4" s="486">
        <v>1972</v>
      </c>
      <c r="W4" s="486">
        <v>1973</v>
      </c>
      <c r="X4" s="486">
        <v>1974</v>
      </c>
      <c r="Y4" s="486">
        <v>1975</v>
      </c>
      <c r="Z4" s="486">
        <v>1976</v>
      </c>
      <c r="AA4" s="486">
        <v>1977</v>
      </c>
      <c r="AB4" s="486">
        <v>1978</v>
      </c>
      <c r="AC4" s="486">
        <v>1979</v>
      </c>
      <c r="AD4" s="486">
        <v>1980</v>
      </c>
      <c r="AE4" s="486">
        <v>1981</v>
      </c>
      <c r="AF4" s="486">
        <v>1982</v>
      </c>
      <c r="AG4" s="486">
        <v>1983</v>
      </c>
      <c r="AH4" s="486">
        <v>1984</v>
      </c>
      <c r="AI4" s="486">
        <v>1985</v>
      </c>
      <c r="AJ4" s="486">
        <v>1986</v>
      </c>
      <c r="AK4" s="486">
        <v>1987</v>
      </c>
      <c r="AL4" s="486">
        <v>1988</v>
      </c>
      <c r="AM4" s="486">
        <v>1989</v>
      </c>
      <c r="AN4" s="486">
        <v>1990</v>
      </c>
      <c r="AO4" s="486">
        <v>1991</v>
      </c>
      <c r="AP4" s="486">
        <v>1992</v>
      </c>
      <c r="AQ4" s="486">
        <v>1993</v>
      </c>
      <c r="AR4" s="486">
        <v>1994</v>
      </c>
      <c r="AS4" s="326">
        <v>1995</v>
      </c>
    </row>
    <row r="5" spans="1:45" ht="13">
      <c r="A5" s="495" t="s">
        <v>347</v>
      </c>
      <c r="B5" s="496" t="s">
        <v>855</v>
      </c>
      <c r="C5" s="497">
        <v>1533.7719604072558</v>
      </c>
      <c r="D5" s="497">
        <v>1518.1751456490886</v>
      </c>
      <c r="E5" s="497">
        <v>1502.3937084928132</v>
      </c>
      <c r="F5" s="497">
        <v>1487.2969052038934</v>
      </c>
      <c r="G5" s="497">
        <v>1470.9262729145512</v>
      </c>
      <c r="H5" s="497">
        <v>1457.330119750618</v>
      </c>
      <c r="I5" s="497">
        <v>1443.2160719192573</v>
      </c>
      <c r="J5" s="497">
        <v>1426.6835761353304</v>
      </c>
      <c r="K5" s="497">
        <v>1373.8309805120732</v>
      </c>
      <c r="L5" s="497">
        <v>1329.4863460475419</v>
      </c>
      <c r="M5" s="497">
        <v>1293.4447656571463</v>
      </c>
      <c r="N5" s="497">
        <v>1256.3900136631387</v>
      </c>
      <c r="O5" s="497">
        <v>1215.74507165464</v>
      </c>
      <c r="P5" s="497">
        <v>1169.9845278814862</v>
      </c>
      <c r="Q5" s="497">
        <v>1125.5874278755771</v>
      </c>
      <c r="R5" s="497">
        <v>1086.9700352046348</v>
      </c>
      <c r="S5" s="497">
        <v>1046.0152785378559</v>
      </c>
      <c r="T5" s="497">
        <v>1003.1687363028605</v>
      </c>
      <c r="U5" s="497">
        <v>963.60803366325831</v>
      </c>
      <c r="V5" s="497">
        <v>928.96168006457458</v>
      </c>
      <c r="W5" s="497">
        <v>898.73973377808716</v>
      </c>
      <c r="X5" s="497">
        <v>877.47045440744478</v>
      </c>
      <c r="Y5" s="497">
        <v>860.84811612951967</v>
      </c>
      <c r="Z5" s="497">
        <v>871.41738723815183</v>
      </c>
      <c r="AA5" s="497">
        <v>854.43836010459847</v>
      </c>
      <c r="AB5" s="497">
        <v>798.72840535424484</v>
      </c>
      <c r="AC5" s="497">
        <v>796.18291291648632</v>
      </c>
      <c r="AD5" s="497">
        <v>758.41491672131735</v>
      </c>
      <c r="AE5" s="497">
        <v>718.29167879772467</v>
      </c>
      <c r="AF5" s="497">
        <v>692.92531590522083</v>
      </c>
      <c r="AG5" s="497">
        <v>655.2455324146099</v>
      </c>
      <c r="AH5" s="497">
        <v>668.69487500086746</v>
      </c>
      <c r="AI5" s="497">
        <v>671.18115729824615</v>
      </c>
      <c r="AJ5" s="497">
        <v>619.81724528743882</v>
      </c>
      <c r="AK5" s="497">
        <v>643.67623803746199</v>
      </c>
      <c r="AL5" s="497">
        <v>616.54974493089037</v>
      </c>
      <c r="AM5" s="497">
        <v>580.1154043083053</v>
      </c>
      <c r="AN5" s="497">
        <v>559.70783975406505</v>
      </c>
      <c r="AO5" s="497">
        <v>562.43616280915626</v>
      </c>
      <c r="AP5" s="497">
        <v>547.12967621867983</v>
      </c>
      <c r="AQ5" s="497">
        <v>538.1296769747845</v>
      </c>
      <c r="AR5" s="497">
        <v>549.7846977156421</v>
      </c>
      <c r="AS5" s="498">
        <v>538.03704495339582</v>
      </c>
    </row>
    <row r="6" spans="1:45" ht="13">
      <c r="A6" s="499" t="s">
        <v>856</v>
      </c>
      <c r="B6" s="496" t="s">
        <v>857</v>
      </c>
      <c r="C6" s="497">
        <v>1490.4074230568565</v>
      </c>
      <c r="D6" s="497">
        <v>1474.6842017759789</v>
      </c>
      <c r="E6" s="497">
        <v>1459.9941546349182</v>
      </c>
      <c r="F6" s="497">
        <v>1445.0656520849059</v>
      </c>
      <c r="G6" s="497">
        <v>1428.6371763245788</v>
      </c>
      <c r="H6" s="497">
        <v>1413.2609810437148</v>
      </c>
      <c r="I6" s="497">
        <v>1397.4407580187039</v>
      </c>
      <c r="J6" s="497">
        <v>1381.251142200379</v>
      </c>
      <c r="K6" s="497">
        <v>1325.862302256395</v>
      </c>
      <c r="L6" s="497">
        <v>1281.2683080170809</v>
      </c>
      <c r="M6" s="497">
        <v>1245.6282865412104</v>
      </c>
      <c r="N6" s="497">
        <v>1207.7624278358371</v>
      </c>
      <c r="O6" s="497">
        <v>1165.9968570930821</v>
      </c>
      <c r="P6" s="497">
        <v>1121.6228413277731</v>
      </c>
      <c r="Q6" s="497">
        <v>1079.8529720968836</v>
      </c>
      <c r="R6" s="497">
        <v>1042.2061769951608</v>
      </c>
      <c r="S6" s="497">
        <v>1002.7910780997224</v>
      </c>
      <c r="T6" s="497">
        <v>960.33106266395498</v>
      </c>
      <c r="U6" s="497">
        <v>920.81543072831425</v>
      </c>
      <c r="V6" s="497">
        <v>887.93901490854762</v>
      </c>
      <c r="W6" s="497">
        <v>859.15761272985014</v>
      </c>
      <c r="X6" s="497">
        <v>837.81816541353373</v>
      </c>
      <c r="Y6" s="497">
        <v>820.58456390977437</v>
      </c>
      <c r="Z6" s="497">
        <v>834.17259586466173</v>
      </c>
      <c r="AA6" s="497">
        <v>819.92173308270685</v>
      </c>
      <c r="AB6" s="497">
        <v>764.24394360902261</v>
      </c>
      <c r="AC6" s="497">
        <v>762.91828195488733</v>
      </c>
      <c r="AD6" s="497">
        <v>725.46834022556402</v>
      </c>
      <c r="AE6" s="497">
        <v>686.02990601503768</v>
      </c>
      <c r="AF6" s="497">
        <v>662.49941165413543</v>
      </c>
      <c r="AG6" s="497">
        <v>627.09333307043755</v>
      </c>
      <c r="AH6" s="497">
        <v>640.60011173182966</v>
      </c>
      <c r="AI6" s="497">
        <v>643.29910770675633</v>
      </c>
      <c r="AJ6" s="497">
        <v>592.9562498573622</v>
      </c>
      <c r="AK6" s="497">
        <v>618.92585746976624</v>
      </c>
      <c r="AL6" s="497">
        <v>593.12082278266257</v>
      </c>
      <c r="AM6" s="497">
        <v>553.09668734960394</v>
      </c>
      <c r="AN6" s="497">
        <v>531.9326091559717</v>
      </c>
      <c r="AO6" s="497">
        <v>536.68876669715337</v>
      </c>
      <c r="AP6" s="497">
        <v>525.25246737259454</v>
      </c>
      <c r="AQ6" s="497">
        <v>518.21727064958714</v>
      </c>
      <c r="AR6" s="497">
        <v>529.87229139044473</v>
      </c>
      <c r="AS6" s="498">
        <v>517.16837144111332</v>
      </c>
    </row>
    <row r="7" spans="1:45" ht="13">
      <c r="A7" s="495" t="s">
        <v>858</v>
      </c>
      <c r="B7" s="496" t="s">
        <v>859</v>
      </c>
      <c r="C7" s="497">
        <v>43.364537350399296</v>
      </c>
      <c r="D7" s="497">
        <v>43.490943873109636</v>
      </c>
      <c r="E7" s="497">
        <v>42.399553857894901</v>
      </c>
      <c r="F7" s="497">
        <v>42.231253118987475</v>
      </c>
      <c r="G7" s="497">
        <v>42.289096589972424</v>
      </c>
      <c r="H7" s="497">
        <v>44.069138706903296</v>
      </c>
      <c r="I7" s="497">
        <v>45.7753139005533</v>
      </c>
      <c r="J7" s="497">
        <v>45.432433934951476</v>
      </c>
      <c r="K7" s="497">
        <v>47.96867825567832</v>
      </c>
      <c r="L7" s="497">
        <v>48.218038030460981</v>
      </c>
      <c r="M7" s="497">
        <v>47.816479115935955</v>
      </c>
      <c r="N7" s="497">
        <v>48.62758582730148</v>
      </c>
      <c r="O7" s="497">
        <v>49.74821456155793</v>
      </c>
      <c r="P7" s="497">
        <v>48.361686553713</v>
      </c>
      <c r="Q7" s="497">
        <v>45.734455778693416</v>
      </c>
      <c r="R7" s="497">
        <v>44.763858209473824</v>
      </c>
      <c r="S7" s="497">
        <v>43.224200438133558</v>
      </c>
      <c r="T7" s="497">
        <v>42.8376736389055</v>
      </c>
      <c r="U7" s="497">
        <v>42.792602934944043</v>
      </c>
      <c r="V7" s="497">
        <v>41.022665156026967</v>
      </c>
      <c r="W7" s="497">
        <v>39.582121048236985</v>
      </c>
      <c r="X7" s="497">
        <v>39.652288993911085</v>
      </c>
      <c r="Y7" s="497">
        <v>40.263552219745343</v>
      </c>
      <c r="Z7" s="497">
        <v>37.244791373490131</v>
      </c>
      <c r="AA7" s="497">
        <v>34.516627021891622</v>
      </c>
      <c r="AB7" s="497">
        <v>34.48446174522222</v>
      </c>
      <c r="AC7" s="497">
        <v>33.264630961599003</v>
      </c>
      <c r="AD7" s="497">
        <v>32.946576495753384</v>
      </c>
      <c r="AE7" s="497">
        <v>32.261772782686975</v>
      </c>
      <c r="AF7" s="497">
        <v>30.425904251085445</v>
      </c>
      <c r="AG7" s="497">
        <v>28.152199344172288</v>
      </c>
      <c r="AH7" s="497">
        <v>28.094763269037816</v>
      </c>
      <c r="AI7" s="497">
        <v>27.882049591489803</v>
      </c>
      <c r="AJ7" s="497">
        <v>26.860995430076635</v>
      </c>
      <c r="AK7" s="497">
        <v>24.75038056769575</v>
      </c>
      <c r="AL7" s="497">
        <v>23.428922148227819</v>
      </c>
      <c r="AM7" s="497">
        <v>27.018716958701415</v>
      </c>
      <c r="AN7" s="497">
        <v>27.775230598093373</v>
      </c>
      <c r="AO7" s="497">
        <v>25.747396112002857</v>
      </c>
      <c r="AP7" s="497">
        <v>21.877208846085253</v>
      </c>
      <c r="AQ7" s="497">
        <v>19.91240632519732</v>
      </c>
      <c r="AR7" s="497">
        <v>19.91240632519732</v>
      </c>
      <c r="AS7" s="498">
        <v>20.868673512282463</v>
      </c>
    </row>
    <row r="8" spans="1:45" ht="13">
      <c r="A8" s="499"/>
      <c r="B8" s="496"/>
      <c r="C8" s="497"/>
      <c r="D8" s="497"/>
      <c r="E8" s="497"/>
      <c r="F8" s="497"/>
      <c r="G8" s="497"/>
      <c r="H8" s="497"/>
      <c r="I8" s="497"/>
      <c r="J8" s="497"/>
      <c r="K8" s="497"/>
      <c r="L8" s="497"/>
      <c r="M8" s="497"/>
      <c r="N8" s="497"/>
      <c r="O8" s="497"/>
      <c r="P8" s="497"/>
      <c r="Q8" s="497"/>
      <c r="R8" s="497"/>
      <c r="S8" s="497"/>
      <c r="T8" s="497"/>
      <c r="U8" s="497"/>
      <c r="V8" s="497"/>
      <c r="W8" s="497"/>
      <c r="X8" s="497"/>
      <c r="Y8" s="497"/>
      <c r="Z8" s="497"/>
      <c r="AA8" s="497"/>
      <c r="AB8" s="497"/>
      <c r="AC8" s="497"/>
      <c r="AD8" s="497"/>
      <c r="AE8" s="497"/>
      <c r="AF8" s="497"/>
      <c r="AG8" s="497"/>
      <c r="AH8" s="497"/>
      <c r="AI8" s="497"/>
      <c r="AJ8" s="497"/>
      <c r="AK8" s="497"/>
      <c r="AL8" s="497"/>
      <c r="AM8" s="497"/>
      <c r="AN8" s="497"/>
      <c r="AO8" s="497"/>
      <c r="AP8" s="497"/>
      <c r="AQ8" s="497"/>
      <c r="AR8" s="497"/>
      <c r="AS8" s="498"/>
    </row>
    <row r="9" spans="1:45" ht="13">
      <c r="A9" s="495" t="s">
        <v>348</v>
      </c>
      <c r="B9" s="496" t="s">
        <v>860</v>
      </c>
      <c r="C9" s="497">
        <v>30.071276170229179</v>
      </c>
      <c r="D9" s="497">
        <v>28.451278886828849</v>
      </c>
      <c r="E9" s="497">
        <v>28.160476544436492</v>
      </c>
      <c r="F9" s="497">
        <v>31.010074971103386</v>
      </c>
      <c r="G9" s="497">
        <v>31.920403240137997</v>
      </c>
      <c r="H9" s="497">
        <v>29.211160444098638</v>
      </c>
      <c r="I9" s="497">
        <v>26.466796780802895</v>
      </c>
      <c r="J9" s="497">
        <v>25.594016784551073</v>
      </c>
      <c r="K9" s="497">
        <v>22.516802563630733</v>
      </c>
      <c r="L9" s="497">
        <v>19.217031276873975</v>
      </c>
      <c r="M9" s="497">
        <v>19.402144461760244</v>
      </c>
      <c r="N9" s="497">
        <v>19.167716176069824</v>
      </c>
      <c r="O9" s="497">
        <v>18.275558993242708</v>
      </c>
      <c r="P9" s="497">
        <v>18.841555169175173</v>
      </c>
      <c r="Q9" s="497">
        <v>18.950969045443259</v>
      </c>
      <c r="R9" s="497">
        <v>18.372462318954113</v>
      </c>
      <c r="S9" s="497">
        <v>18.779856352048736</v>
      </c>
      <c r="T9" s="497">
        <v>18.13104887784537</v>
      </c>
      <c r="U9" s="497">
        <v>17.1552637327082</v>
      </c>
      <c r="V9" s="497">
        <v>17.421413366144382</v>
      </c>
      <c r="W9" s="497">
        <v>18.947692928191774</v>
      </c>
      <c r="X9" s="497">
        <v>18.874936684490507</v>
      </c>
      <c r="Y9" s="497">
        <v>17.29740590565379</v>
      </c>
      <c r="Z9" s="497">
        <v>15.538019956522866</v>
      </c>
      <c r="AA9" s="497">
        <v>15.341688406218751</v>
      </c>
      <c r="AB9" s="497">
        <v>16.489670800128643</v>
      </c>
      <c r="AC9" s="497">
        <v>17.742417892893716</v>
      </c>
      <c r="AD9" s="497">
        <v>18.851088204192354</v>
      </c>
      <c r="AE9" s="497">
        <v>18.192818758642701</v>
      </c>
      <c r="AF9" s="497">
        <v>18.377658045282629</v>
      </c>
      <c r="AG9" s="497">
        <v>17.433589473120321</v>
      </c>
      <c r="AH9" s="497">
        <v>17.371019650032967</v>
      </c>
      <c r="AI9" s="497">
        <v>16.889376057004256</v>
      </c>
      <c r="AJ9" s="497">
        <v>16.464965213308552</v>
      </c>
      <c r="AK9" s="497">
        <v>15.699994185191155</v>
      </c>
      <c r="AL9" s="497">
        <v>16.075555501667885</v>
      </c>
      <c r="AM9" s="497">
        <v>17.735477199332728</v>
      </c>
      <c r="AN9" s="497">
        <v>18.38897452076295</v>
      </c>
      <c r="AO9" s="497">
        <v>18.202051699004073</v>
      </c>
      <c r="AP9" s="497">
        <v>17.090383887274115</v>
      </c>
      <c r="AQ9" s="497">
        <v>16.260615919847517</v>
      </c>
      <c r="AR9" s="497">
        <v>16.194774237766232</v>
      </c>
      <c r="AS9" s="498">
        <v>15.087601238139209</v>
      </c>
    </row>
    <row r="10" spans="1:45" ht="13">
      <c r="A10" s="495" t="s">
        <v>861</v>
      </c>
      <c r="B10" s="496" t="s">
        <v>862</v>
      </c>
      <c r="C10" s="487" t="s">
        <v>640</v>
      </c>
      <c r="D10" s="487" t="s">
        <v>640</v>
      </c>
      <c r="E10" s="487" t="s">
        <v>640</v>
      </c>
      <c r="F10" s="487" t="s">
        <v>640</v>
      </c>
      <c r="G10" s="487" t="s">
        <v>640</v>
      </c>
      <c r="H10" s="487" t="s">
        <v>640</v>
      </c>
      <c r="I10" s="487" t="s">
        <v>640</v>
      </c>
      <c r="J10" s="487">
        <v>5.1033963657881003</v>
      </c>
      <c r="K10" s="487">
        <v>4.5781543546791434</v>
      </c>
      <c r="L10" s="487">
        <v>3.9230209898233945</v>
      </c>
      <c r="M10" s="487">
        <v>3.7710483666561792</v>
      </c>
      <c r="N10" s="487">
        <v>3.7792937653535854</v>
      </c>
      <c r="O10" s="487">
        <v>3.6383338928412221</v>
      </c>
      <c r="P10" s="487">
        <v>3.4241727369278117</v>
      </c>
      <c r="Q10" s="487">
        <v>3.0387349484736266</v>
      </c>
      <c r="R10" s="487">
        <v>2.614767264015585</v>
      </c>
      <c r="S10" s="487">
        <v>2.3247945906494456</v>
      </c>
      <c r="T10" s="487">
        <v>1.903100003870855</v>
      </c>
      <c r="U10" s="487">
        <v>1.4455797248154922</v>
      </c>
      <c r="V10" s="487">
        <v>1.3550494568326192</v>
      </c>
      <c r="W10" s="487">
        <v>1.2627402379541417</v>
      </c>
      <c r="X10" s="487">
        <v>1.1632090370483059</v>
      </c>
      <c r="Y10" s="487">
        <v>1.1307067348043629</v>
      </c>
      <c r="Z10" s="487">
        <v>1.136830600146415</v>
      </c>
      <c r="AA10" s="487">
        <v>1.1281278291470662</v>
      </c>
      <c r="AB10" s="487">
        <v>1.1490323697731073</v>
      </c>
      <c r="AC10" s="487">
        <v>1.1738285380030398</v>
      </c>
      <c r="AD10" s="487">
        <v>1.1518246245761858</v>
      </c>
      <c r="AE10" s="487">
        <v>1.1508757218161452</v>
      </c>
      <c r="AF10" s="487">
        <v>1.1819010972401156</v>
      </c>
      <c r="AG10" s="487">
        <v>1.2019521175740751</v>
      </c>
      <c r="AH10" s="487">
        <v>1.2093741044228967</v>
      </c>
      <c r="AI10" s="487">
        <v>1.2153439127961971</v>
      </c>
      <c r="AJ10" s="487">
        <v>1.2271203766715075</v>
      </c>
      <c r="AK10" s="487">
        <v>1.1509318068673362</v>
      </c>
      <c r="AL10" s="487">
        <v>1.0959837270215413</v>
      </c>
      <c r="AM10" s="487">
        <v>1.0613620861396829</v>
      </c>
      <c r="AN10" s="487">
        <v>1.0400188851648711</v>
      </c>
      <c r="AO10" s="487">
        <v>0.95306042892655618</v>
      </c>
      <c r="AP10" s="487">
        <v>0.82500594360086776</v>
      </c>
      <c r="AQ10" s="487">
        <v>0.72739124801156907</v>
      </c>
      <c r="AR10" s="487">
        <v>0.63528202586059701</v>
      </c>
      <c r="AS10" s="488">
        <v>0.21785161242616588</v>
      </c>
    </row>
    <row r="11" spans="1:45" ht="13">
      <c r="A11" s="495" t="s">
        <v>863</v>
      </c>
      <c r="B11" s="496" t="s">
        <v>864</v>
      </c>
      <c r="C11" s="487" t="s">
        <v>640</v>
      </c>
      <c r="D11" s="487" t="s">
        <v>640</v>
      </c>
      <c r="E11" s="487" t="s">
        <v>640</v>
      </c>
      <c r="F11" s="487" t="s">
        <v>640</v>
      </c>
      <c r="G11" s="487" t="s">
        <v>640</v>
      </c>
      <c r="H11" s="487" t="s">
        <v>640</v>
      </c>
      <c r="I11" s="487" t="s">
        <v>640</v>
      </c>
      <c r="J11" s="487">
        <v>0</v>
      </c>
      <c r="K11" s="487">
        <v>0</v>
      </c>
      <c r="L11" s="487">
        <v>0</v>
      </c>
      <c r="M11" s="487">
        <v>0</v>
      </c>
      <c r="N11" s="487">
        <v>0</v>
      </c>
      <c r="O11" s="487">
        <v>0</v>
      </c>
      <c r="P11" s="487">
        <v>0</v>
      </c>
      <c r="Q11" s="487">
        <v>0</v>
      </c>
      <c r="R11" s="487">
        <v>0</v>
      </c>
      <c r="S11" s="487">
        <v>0</v>
      </c>
      <c r="T11" s="487">
        <v>0</v>
      </c>
      <c r="U11" s="487">
        <v>0</v>
      </c>
      <c r="V11" s="487">
        <v>0</v>
      </c>
      <c r="W11" s="487">
        <v>0</v>
      </c>
      <c r="X11" s="487">
        <v>0</v>
      </c>
      <c r="Y11" s="487">
        <v>0</v>
      </c>
      <c r="Z11" s="487">
        <v>0</v>
      </c>
      <c r="AA11" s="487">
        <v>0</v>
      </c>
      <c r="AB11" s="487">
        <v>0</v>
      </c>
      <c r="AC11" s="487">
        <v>0</v>
      </c>
      <c r="AD11" s="487">
        <v>0</v>
      </c>
      <c r="AE11" s="487">
        <v>0.16685386801197039</v>
      </c>
      <c r="AF11" s="487">
        <v>0.20328537306968877</v>
      </c>
      <c r="AG11" s="487">
        <v>0.15626822341500746</v>
      </c>
      <c r="AH11" s="487">
        <v>0.10939807854439215</v>
      </c>
      <c r="AI11" s="487">
        <v>0.10177624352967304</v>
      </c>
      <c r="AJ11" s="487">
        <v>0.1498409941594892</v>
      </c>
      <c r="AK11" s="487">
        <v>0.18479842968707746</v>
      </c>
      <c r="AL11" s="487">
        <v>0.13087369066874985</v>
      </c>
      <c r="AM11" s="487">
        <v>0.11891499977659167</v>
      </c>
      <c r="AN11" s="487">
        <v>0.13295275479769594</v>
      </c>
      <c r="AO11" s="487">
        <v>0.12917142857142858</v>
      </c>
      <c r="AP11" s="487">
        <v>0.11314285714285714</v>
      </c>
      <c r="AQ11" s="487">
        <v>8.9005714285714299E-2</v>
      </c>
      <c r="AR11" s="487">
        <v>0.11527325435540071</v>
      </c>
      <c r="AS11" s="488">
        <v>0.10159676655052266</v>
      </c>
    </row>
    <row r="12" spans="1:45" ht="13">
      <c r="A12" s="495" t="s">
        <v>865</v>
      </c>
      <c r="B12" s="496" t="s">
        <v>866</v>
      </c>
      <c r="C12" s="487" t="s">
        <v>640</v>
      </c>
      <c r="D12" s="487" t="s">
        <v>640</v>
      </c>
      <c r="E12" s="487" t="s">
        <v>640</v>
      </c>
      <c r="F12" s="487" t="s">
        <v>640</v>
      </c>
      <c r="G12" s="487" t="s">
        <v>640</v>
      </c>
      <c r="H12" s="487" t="s">
        <v>640</v>
      </c>
      <c r="I12" s="487" t="s">
        <v>640</v>
      </c>
      <c r="J12" s="487">
        <v>8.9968575423418784</v>
      </c>
      <c r="K12" s="487">
        <v>8.5611340201906838</v>
      </c>
      <c r="L12" s="487">
        <v>7.5840879575301949</v>
      </c>
      <c r="M12" s="487">
        <v>7.1564307510481804</v>
      </c>
      <c r="N12" s="487">
        <v>6.5963617218226371</v>
      </c>
      <c r="O12" s="487">
        <v>5.7723611580389633</v>
      </c>
      <c r="P12" s="487">
        <v>5.4937825160481637</v>
      </c>
      <c r="Q12" s="487">
        <v>5.2203767639142402</v>
      </c>
      <c r="R12" s="487">
        <v>4.6085026496162893</v>
      </c>
      <c r="S12" s="487">
        <v>4.17136667394126</v>
      </c>
      <c r="T12" s="487">
        <v>4.2476222696535997</v>
      </c>
      <c r="U12" s="487">
        <v>4.2714225941980706</v>
      </c>
      <c r="V12" s="487">
        <v>3.891406212260855</v>
      </c>
      <c r="W12" s="487">
        <v>4.1458593815445139</v>
      </c>
      <c r="X12" s="487">
        <v>4.1851399501935562</v>
      </c>
      <c r="Y12" s="487">
        <v>4.006610759381144</v>
      </c>
      <c r="Z12" s="487">
        <v>4.1018956598297454</v>
      </c>
      <c r="AA12" s="487">
        <v>3.9854451097595449</v>
      </c>
      <c r="AB12" s="487">
        <v>4.1457992184534191</v>
      </c>
      <c r="AC12" s="487">
        <v>5.1373804857240524</v>
      </c>
      <c r="AD12" s="487">
        <v>5.4856281945283305</v>
      </c>
      <c r="AE12" s="487">
        <v>4.8780129200900157</v>
      </c>
      <c r="AF12" s="487">
        <v>5.0012698738050947</v>
      </c>
      <c r="AG12" s="487">
        <v>4.5825791303957022</v>
      </c>
      <c r="AH12" s="487">
        <v>4.3737619917793262</v>
      </c>
      <c r="AI12" s="487">
        <v>4.2823593202462922</v>
      </c>
      <c r="AJ12" s="487">
        <v>3.5077318740965913</v>
      </c>
      <c r="AK12" s="487">
        <v>2.4070766821300156</v>
      </c>
      <c r="AL12" s="487">
        <v>2.0080866826154464</v>
      </c>
      <c r="AM12" s="487">
        <v>2.881727019481505</v>
      </c>
      <c r="AN12" s="487">
        <v>2.9890174619886918</v>
      </c>
      <c r="AO12" s="487">
        <v>2.9103631386861313</v>
      </c>
      <c r="AP12" s="487">
        <v>2.4315218978102191</v>
      </c>
      <c r="AQ12" s="487">
        <v>1.8259638686131388</v>
      </c>
      <c r="AR12" s="487">
        <v>1.8259638686131388</v>
      </c>
      <c r="AS12" s="488">
        <v>1.4043312446136984</v>
      </c>
    </row>
    <row r="13" spans="1:45" ht="13">
      <c r="A13" s="495" t="s">
        <v>867</v>
      </c>
      <c r="B13" s="496" t="s">
        <v>868</v>
      </c>
      <c r="C13" s="487" t="s">
        <v>640</v>
      </c>
      <c r="D13" s="487" t="s">
        <v>640</v>
      </c>
      <c r="E13" s="487" t="s">
        <v>640</v>
      </c>
      <c r="F13" s="487" t="s">
        <v>640</v>
      </c>
      <c r="G13" s="487" t="s">
        <v>640</v>
      </c>
      <c r="H13" s="487" t="s">
        <v>640</v>
      </c>
      <c r="I13" s="487" t="s">
        <v>640</v>
      </c>
      <c r="J13" s="487">
        <v>11.493762876421094</v>
      </c>
      <c r="K13" s="487">
        <v>9.3775141887609053</v>
      </c>
      <c r="L13" s="487">
        <v>7.7099223295203858</v>
      </c>
      <c r="M13" s="487">
        <v>8.4746653440558859</v>
      </c>
      <c r="N13" s="487">
        <v>8.792060688893601</v>
      </c>
      <c r="O13" s="487">
        <v>8.864863942362522</v>
      </c>
      <c r="P13" s="487">
        <v>9.9235999161991977</v>
      </c>
      <c r="Q13" s="487">
        <v>10.691857333055394</v>
      </c>
      <c r="R13" s="487">
        <v>11.149192405322239</v>
      </c>
      <c r="S13" s="487">
        <v>12.28369508745803</v>
      </c>
      <c r="T13" s="487">
        <v>11.980326604320915</v>
      </c>
      <c r="U13" s="487">
        <v>11.438261413694635</v>
      </c>
      <c r="V13" s="487">
        <v>12.174957697050909</v>
      </c>
      <c r="W13" s="487">
        <v>13.539093308693118</v>
      </c>
      <c r="X13" s="487">
        <v>13.526587697248646</v>
      </c>
      <c r="Y13" s="487">
        <v>12.160088411468283</v>
      </c>
      <c r="Z13" s="487">
        <v>10.299293696546707</v>
      </c>
      <c r="AA13" s="487">
        <v>10.22811546731214</v>
      </c>
      <c r="AB13" s="487">
        <v>11.194839211902117</v>
      </c>
      <c r="AC13" s="487">
        <v>11.431208869166625</v>
      </c>
      <c r="AD13" s="487">
        <v>12.213635385087839</v>
      </c>
      <c r="AE13" s="487">
        <v>11.997076248724568</v>
      </c>
      <c r="AF13" s="487">
        <v>11.991201701167732</v>
      </c>
      <c r="AG13" s="487">
        <v>11.492790001735536</v>
      </c>
      <c r="AH13" s="487">
        <v>11.678485475286351</v>
      </c>
      <c r="AI13" s="487">
        <v>11.289896580432094</v>
      </c>
      <c r="AJ13" s="487">
        <v>11.580271968380966</v>
      </c>
      <c r="AK13" s="487">
        <v>11.957187266506725</v>
      </c>
      <c r="AL13" s="487">
        <v>12.84061140136215</v>
      </c>
      <c r="AM13" s="487">
        <v>13.673473093934948</v>
      </c>
      <c r="AN13" s="487">
        <v>14.226985418811692</v>
      </c>
      <c r="AO13" s="487">
        <v>14.209456702819958</v>
      </c>
      <c r="AP13" s="487">
        <v>13.720713188720172</v>
      </c>
      <c r="AQ13" s="487">
        <v>13.618255088937095</v>
      </c>
      <c r="AR13" s="487">
        <v>13.618255088937095</v>
      </c>
      <c r="AS13" s="488">
        <v>13.363821614548822</v>
      </c>
    </row>
    <row r="14" spans="1:45" ht="13">
      <c r="A14" s="499"/>
      <c r="B14" s="496"/>
      <c r="C14" s="497"/>
      <c r="D14" s="497"/>
      <c r="E14" s="497"/>
      <c r="F14" s="497"/>
      <c r="G14" s="497"/>
      <c r="H14" s="497"/>
      <c r="I14" s="497"/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  <c r="V14" s="497"/>
      <c r="W14" s="497"/>
      <c r="X14" s="497"/>
      <c r="Y14" s="497"/>
      <c r="Z14" s="497"/>
      <c r="AA14" s="497"/>
      <c r="AB14" s="497"/>
      <c r="AC14" s="497"/>
      <c r="AD14" s="497"/>
      <c r="AE14" s="497"/>
      <c r="AF14" s="497"/>
      <c r="AG14" s="497"/>
      <c r="AH14" s="497"/>
      <c r="AI14" s="497"/>
      <c r="AJ14" s="497"/>
      <c r="AK14" s="497"/>
      <c r="AL14" s="497"/>
      <c r="AM14" s="497"/>
      <c r="AN14" s="497"/>
      <c r="AO14" s="497"/>
      <c r="AP14" s="497"/>
      <c r="AQ14" s="497"/>
      <c r="AR14" s="497"/>
      <c r="AS14" s="498"/>
    </row>
    <row r="15" spans="1:45" ht="13">
      <c r="A15" s="495" t="s">
        <v>296</v>
      </c>
      <c r="B15" s="496" t="s">
        <v>869</v>
      </c>
      <c r="C15" s="497">
        <v>576.34969936396465</v>
      </c>
      <c r="D15" s="497">
        <v>572.39390113608897</v>
      </c>
      <c r="E15" s="497">
        <v>592.85524996037839</v>
      </c>
      <c r="F15" s="497">
        <v>616.66468824181118</v>
      </c>
      <c r="G15" s="497">
        <v>636.44126969778108</v>
      </c>
      <c r="H15" s="497">
        <v>645.6882034041713</v>
      </c>
      <c r="I15" s="497">
        <v>654.57401499736216</v>
      </c>
      <c r="J15" s="497">
        <v>680.67149025894059</v>
      </c>
      <c r="K15" s="497">
        <v>695.96580592915575</v>
      </c>
      <c r="L15" s="497">
        <v>722.01174843942738</v>
      </c>
      <c r="M15" s="497">
        <v>749.60586641607688</v>
      </c>
      <c r="N15" s="497">
        <v>788.79220677052967</v>
      </c>
      <c r="O15" s="497">
        <v>842.77846700367604</v>
      </c>
      <c r="P15" s="497">
        <v>891.63834339441883</v>
      </c>
      <c r="Q15" s="497">
        <v>903.00752365302253</v>
      </c>
      <c r="R15" s="497">
        <v>902.35565052492836</v>
      </c>
      <c r="S15" s="497">
        <v>916.78120166208373</v>
      </c>
      <c r="T15" s="497">
        <v>920.75384167521509</v>
      </c>
      <c r="U15" s="497">
        <v>937.16432075692205</v>
      </c>
      <c r="V15" s="497">
        <v>961.1272525844812</v>
      </c>
      <c r="W15" s="497">
        <v>989.09825525606402</v>
      </c>
      <c r="X15" s="497">
        <v>979.36209964291493</v>
      </c>
      <c r="Y15" s="497">
        <v>944.81925906966092</v>
      </c>
      <c r="Z15" s="497">
        <v>911.66997302615869</v>
      </c>
      <c r="AA15" s="497">
        <v>929.88801477173399</v>
      </c>
      <c r="AB15" s="497">
        <v>973.18990964778891</v>
      </c>
      <c r="AC15" s="497">
        <v>1001.1004692588517</v>
      </c>
      <c r="AD15" s="497">
        <v>1024.9601057759087</v>
      </c>
      <c r="AE15" s="497">
        <v>1000.716876665024</v>
      </c>
      <c r="AF15" s="497">
        <v>1013.0645453026025</v>
      </c>
      <c r="AG15" s="497">
        <v>992.14821094909996</v>
      </c>
      <c r="AH15" s="497">
        <v>1017.0126563453914</v>
      </c>
      <c r="AI15" s="497">
        <v>1013.4780391772277</v>
      </c>
      <c r="AJ15" s="497">
        <v>1013.8103286108508</v>
      </c>
      <c r="AK15" s="497">
        <v>1034.7290800045241</v>
      </c>
      <c r="AL15" s="497">
        <v>1061.439725888876</v>
      </c>
      <c r="AM15" s="497">
        <v>1114.2816983814628</v>
      </c>
      <c r="AN15" s="497">
        <v>1120.0161812336107</v>
      </c>
      <c r="AO15" s="497">
        <v>1093.6673401581966</v>
      </c>
      <c r="AP15" s="497">
        <v>1067.1488250795651</v>
      </c>
      <c r="AQ15" s="497">
        <v>1016.2824451851754</v>
      </c>
      <c r="AR15" s="497">
        <v>976.99009367354245</v>
      </c>
      <c r="AS15" s="498">
        <v>973.6802569870415</v>
      </c>
    </row>
    <row r="16" spans="1:45" ht="13">
      <c r="A16" s="495" t="s">
        <v>870</v>
      </c>
      <c r="B16" s="496" t="s">
        <v>871</v>
      </c>
      <c r="C16" s="497">
        <v>73.664518807947374</v>
      </c>
      <c r="D16" s="497">
        <v>77.823099203902487</v>
      </c>
      <c r="E16" s="497">
        <v>79.233847807192191</v>
      </c>
      <c r="F16" s="497">
        <v>80.933588735087753</v>
      </c>
      <c r="G16" s="497">
        <v>82.389955326713633</v>
      </c>
      <c r="H16" s="497">
        <v>83.962626318989351</v>
      </c>
      <c r="I16" s="497">
        <v>83.557289719888487</v>
      </c>
      <c r="J16" s="497">
        <v>82.063653693928941</v>
      </c>
      <c r="K16" s="497">
        <v>83.49425946689739</v>
      </c>
      <c r="L16" s="497">
        <v>83.806742863143882</v>
      </c>
      <c r="M16" s="497">
        <v>85.534767165178437</v>
      </c>
      <c r="N16" s="497">
        <v>89.796623593685865</v>
      </c>
      <c r="O16" s="497">
        <v>95.689648724809615</v>
      </c>
      <c r="P16" s="497">
        <v>100.7718619126469</v>
      </c>
      <c r="Q16" s="497">
        <v>103.16409013942766</v>
      </c>
      <c r="R16" s="497">
        <v>106.58653798112184</v>
      </c>
      <c r="S16" s="497">
        <v>109.2060579003208</v>
      </c>
      <c r="T16" s="497">
        <v>107.43617603656283</v>
      </c>
      <c r="U16" s="497">
        <v>105.12455696118137</v>
      </c>
      <c r="V16" s="497">
        <v>103.48837768988828</v>
      </c>
      <c r="W16" s="497">
        <v>102.12048865843458</v>
      </c>
      <c r="X16" s="497">
        <v>102.03253483659893</v>
      </c>
      <c r="Y16" s="497">
        <v>100.94006589061622</v>
      </c>
      <c r="Z16" s="497">
        <v>96.483439199648103</v>
      </c>
      <c r="AA16" s="497">
        <v>98.924818920589416</v>
      </c>
      <c r="AB16" s="497">
        <v>105.5066467962582</v>
      </c>
      <c r="AC16" s="497">
        <v>108.91856940155229</v>
      </c>
      <c r="AD16" s="497">
        <v>112.07134455133013</v>
      </c>
      <c r="AE16" s="497">
        <v>109.34469393583529</v>
      </c>
      <c r="AF16" s="497">
        <v>114.46495542484348</v>
      </c>
      <c r="AG16" s="497">
        <v>113.82365929201903</v>
      </c>
      <c r="AH16" s="497">
        <v>117.2125180454339</v>
      </c>
      <c r="AI16" s="497">
        <v>117.45415730341571</v>
      </c>
      <c r="AJ16" s="497">
        <v>116.79697752014546</v>
      </c>
      <c r="AK16" s="497">
        <v>116.83986704225849</v>
      </c>
      <c r="AL16" s="497">
        <v>119.12342456382008</v>
      </c>
      <c r="AM16" s="497">
        <v>124.65432702568782</v>
      </c>
      <c r="AN16" s="497">
        <v>124.5704601239167</v>
      </c>
      <c r="AO16" s="497">
        <v>120.92662261663995</v>
      </c>
      <c r="AP16" s="497">
        <v>118.13757275022</v>
      </c>
      <c r="AQ16" s="497">
        <v>115.06120376157482</v>
      </c>
      <c r="AR16" s="497">
        <v>113.52657170598943</v>
      </c>
      <c r="AS16" s="498">
        <v>113.54817200407355</v>
      </c>
    </row>
    <row r="17" spans="1:45" ht="13">
      <c r="A17" s="495" t="s">
        <v>872</v>
      </c>
      <c r="B17" s="496" t="s">
        <v>873</v>
      </c>
      <c r="C17" s="497">
        <v>223.92215313243898</v>
      </c>
      <c r="D17" s="497">
        <v>210.38067435696664</v>
      </c>
      <c r="E17" s="497">
        <v>212.47808278736667</v>
      </c>
      <c r="F17" s="497">
        <v>208.7217602805012</v>
      </c>
      <c r="G17" s="497">
        <v>206.63354865393478</v>
      </c>
      <c r="H17" s="497">
        <v>205.03467484177182</v>
      </c>
      <c r="I17" s="497">
        <v>202.89095369380871</v>
      </c>
      <c r="J17" s="497">
        <v>207.18284735473409</v>
      </c>
      <c r="K17" s="497">
        <v>211.07962884797982</v>
      </c>
      <c r="L17" s="497">
        <v>212.79780406696176</v>
      </c>
      <c r="M17" s="497">
        <v>223.36055680859664</v>
      </c>
      <c r="N17" s="497">
        <v>248.21755372236265</v>
      </c>
      <c r="O17" s="497">
        <v>275.22020457365181</v>
      </c>
      <c r="P17" s="497">
        <v>290.50178907300432</v>
      </c>
      <c r="Q17" s="497">
        <v>294.8595720451579</v>
      </c>
      <c r="R17" s="497">
        <v>297.24721270986822</v>
      </c>
      <c r="S17" s="497">
        <v>300.95807868020239</v>
      </c>
      <c r="T17" s="497">
        <v>298.1278153005357</v>
      </c>
      <c r="U17" s="497">
        <v>303.26746070460541</v>
      </c>
      <c r="V17" s="497">
        <v>314.67283489221575</v>
      </c>
      <c r="W17" s="497">
        <v>329.78130444912716</v>
      </c>
      <c r="X17" s="497">
        <v>322.12188036849011</v>
      </c>
      <c r="Y17" s="497">
        <v>299.95571139071325</v>
      </c>
      <c r="Z17" s="497">
        <v>293.85786892459015</v>
      </c>
      <c r="AA17" s="497">
        <v>293.17815183248752</v>
      </c>
      <c r="AB17" s="497">
        <v>299.59859408680285</v>
      </c>
      <c r="AC17" s="497">
        <v>309.37501940619825</v>
      </c>
      <c r="AD17" s="497">
        <v>315.90770826262195</v>
      </c>
      <c r="AE17" s="497">
        <v>316.38234516817033</v>
      </c>
      <c r="AF17" s="497">
        <v>321.52145781400912</v>
      </c>
      <c r="AG17" s="497">
        <v>320.46808646621105</v>
      </c>
      <c r="AH17" s="497">
        <v>342.20116729672515</v>
      </c>
      <c r="AI17" s="497">
        <v>355.26918233688434</v>
      </c>
      <c r="AJ17" s="497">
        <v>369.65545566879462</v>
      </c>
      <c r="AK17" s="497">
        <v>393.55877474972488</v>
      </c>
      <c r="AL17" s="497">
        <v>413.83488763506449</v>
      </c>
      <c r="AM17" s="497">
        <v>436.55387477060833</v>
      </c>
      <c r="AN17" s="497">
        <v>445.49108988073976</v>
      </c>
      <c r="AO17" s="497">
        <v>433.20056221952672</v>
      </c>
      <c r="AP17" s="497">
        <v>414.784721280317</v>
      </c>
      <c r="AQ17" s="497">
        <v>385.72245034473264</v>
      </c>
      <c r="AR17" s="497">
        <v>368.9051152267777</v>
      </c>
      <c r="AS17" s="498">
        <v>367.57033865282597</v>
      </c>
    </row>
    <row r="18" spans="1:45" ht="13">
      <c r="A18" s="495" t="s">
        <v>874</v>
      </c>
      <c r="B18" s="496" t="s">
        <v>875</v>
      </c>
      <c r="C18" s="497">
        <v>92.848289585865956</v>
      </c>
      <c r="D18" s="497">
        <v>89.543127507768958</v>
      </c>
      <c r="E18" s="497">
        <v>94.225143402024003</v>
      </c>
      <c r="F18" s="497">
        <v>101.20515059539918</v>
      </c>
      <c r="G18" s="497">
        <v>102.60148039628427</v>
      </c>
      <c r="H18" s="497">
        <v>98.236956579294798</v>
      </c>
      <c r="I18" s="497">
        <v>98.106886990699493</v>
      </c>
      <c r="J18" s="497">
        <v>100.47602414368598</v>
      </c>
      <c r="K18" s="497">
        <v>110.15350341307101</v>
      </c>
      <c r="L18" s="497">
        <v>126.57788582023568</v>
      </c>
      <c r="M18" s="497">
        <v>133.30309724538523</v>
      </c>
      <c r="N18" s="497">
        <v>135.94276204596167</v>
      </c>
      <c r="O18" s="497">
        <v>134.53050899059988</v>
      </c>
      <c r="P18" s="497">
        <v>133.43262678617103</v>
      </c>
      <c r="Q18" s="497">
        <v>134.4195932046716</v>
      </c>
      <c r="R18" s="497">
        <v>131.72302370834973</v>
      </c>
      <c r="S18" s="497">
        <v>127.20392631668031</v>
      </c>
      <c r="T18" s="497">
        <v>122.23962894309611</v>
      </c>
      <c r="U18" s="497">
        <v>121.52689254954072</v>
      </c>
      <c r="V18" s="497">
        <v>124.86540154237562</v>
      </c>
      <c r="W18" s="497">
        <v>125.04725978294739</v>
      </c>
      <c r="X18" s="497">
        <v>120.38199204999715</v>
      </c>
      <c r="Y18" s="497">
        <v>116.90106374056877</v>
      </c>
      <c r="Z18" s="497">
        <v>111.84795729243974</v>
      </c>
      <c r="AA18" s="497">
        <v>111.38590011133033</v>
      </c>
      <c r="AB18" s="497">
        <v>116.30659775470465</v>
      </c>
      <c r="AC18" s="497">
        <v>119.13557683653569</v>
      </c>
      <c r="AD18" s="497">
        <v>121.5491210906813</v>
      </c>
      <c r="AE18" s="497">
        <v>116.88056740702186</v>
      </c>
      <c r="AF18" s="497">
        <v>112.40098850848835</v>
      </c>
      <c r="AG18" s="497">
        <v>102.65230790339137</v>
      </c>
      <c r="AH18" s="497">
        <v>108.70757379571245</v>
      </c>
      <c r="AI18" s="497">
        <v>106.01435842847931</v>
      </c>
      <c r="AJ18" s="497">
        <v>105.01719564723817</v>
      </c>
      <c r="AK18" s="497">
        <v>103.17784977359101</v>
      </c>
      <c r="AL18" s="497">
        <v>103.36652450143131</v>
      </c>
      <c r="AM18" s="497">
        <v>106.01835504261572</v>
      </c>
      <c r="AN18" s="497">
        <v>103.56106928233271</v>
      </c>
      <c r="AO18" s="497">
        <v>99.193707355185822</v>
      </c>
      <c r="AP18" s="497">
        <v>98.994288510338151</v>
      </c>
      <c r="AQ18" s="497">
        <v>97.520190925492614</v>
      </c>
      <c r="AR18" s="497">
        <v>96.863975815283396</v>
      </c>
      <c r="AS18" s="498">
        <v>95.306152547784762</v>
      </c>
    </row>
    <row r="19" spans="1:45" ht="13">
      <c r="A19" s="495" t="s">
        <v>876</v>
      </c>
      <c r="B19" s="496" t="s">
        <v>877</v>
      </c>
      <c r="C19" s="497">
        <v>22.480741400918333</v>
      </c>
      <c r="D19" s="497">
        <v>23.471640359142164</v>
      </c>
      <c r="E19" s="497">
        <v>25.010303591727236</v>
      </c>
      <c r="F19" s="497">
        <v>25.974599110914443</v>
      </c>
      <c r="G19" s="497">
        <v>25.576653493035849</v>
      </c>
      <c r="H19" s="497">
        <v>25.130947420274179</v>
      </c>
      <c r="I19" s="497">
        <v>25.593665209673802</v>
      </c>
      <c r="J19" s="497">
        <v>26.123609310962873</v>
      </c>
      <c r="K19" s="497">
        <v>27.048089239623401</v>
      </c>
      <c r="L19" s="497">
        <v>28.025370251680101</v>
      </c>
      <c r="M19" s="497">
        <v>31.519473439081708</v>
      </c>
      <c r="N19" s="497">
        <v>33.053870456565335</v>
      </c>
      <c r="O19" s="497">
        <v>35.049996399307183</v>
      </c>
      <c r="P19" s="497">
        <v>38.034478376087812</v>
      </c>
      <c r="Q19" s="497">
        <v>38.446914501993717</v>
      </c>
      <c r="R19" s="497">
        <v>40.228636382779158</v>
      </c>
      <c r="S19" s="497">
        <v>42.452303617145816</v>
      </c>
      <c r="T19" s="497">
        <v>43.718823863481077</v>
      </c>
      <c r="U19" s="497">
        <v>44.867055019973662</v>
      </c>
      <c r="V19" s="497">
        <v>46.385904754218053</v>
      </c>
      <c r="W19" s="497">
        <v>48.013222616557172</v>
      </c>
      <c r="X19" s="497">
        <v>48.162622076539947</v>
      </c>
      <c r="Y19" s="497">
        <v>46.833011019214098</v>
      </c>
      <c r="Z19" s="497">
        <v>40.965574063555664</v>
      </c>
      <c r="AA19" s="497">
        <v>38.088971677306397</v>
      </c>
      <c r="AB19" s="497">
        <v>47.627280856223337</v>
      </c>
      <c r="AC19" s="497">
        <v>55.286597451452451</v>
      </c>
      <c r="AD19" s="497">
        <v>58.461071488552534</v>
      </c>
      <c r="AE19" s="497">
        <v>52.98542774187694</v>
      </c>
      <c r="AF19" s="497">
        <v>54.373708186285867</v>
      </c>
      <c r="AG19" s="497">
        <v>53.623254205508275</v>
      </c>
      <c r="AH19" s="497">
        <v>53.482305201221834</v>
      </c>
      <c r="AI19" s="497">
        <v>52.831055300629799</v>
      </c>
      <c r="AJ19" s="497">
        <v>52.257568772254764</v>
      </c>
      <c r="AK19" s="497">
        <v>52.03995813057027</v>
      </c>
      <c r="AL19" s="497">
        <v>52.256099846903112</v>
      </c>
      <c r="AM19" s="497">
        <v>54.936975234056995</v>
      </c>
      <c r="AN19" s="497">
        <v>54.865314247444644</v>
      </c>
      <c r="AO19" s="497">
        <v>54.458157002166168</v>
      </c>
      <c r="AP19" s="497">
        <v>53.705181072619069</v>
      </c>
      <c r="AQ19" s="497">
        <v>51.972451281404716</v>
      </c>
      <c r="AR19" s="497">
        <v>49.512122478387582</v>
      </c>
      <c r="AS19" s="498">
        <v>49.758507616075036</v>
      </c>
    </row>
    <row r="20" spans="1:45" ht="13">
      <c r="A20" s="495" t="s">
        <v>878</v>
      </c>
      <c r="B20" s="496" t="s">
        <v>879</v>
      </c>
      <c r="C20" s="497">
        <v>47.724412045063453</v>
      </c>
      <c r="D20" s="497">
        <v>49.736870750071049</v>
      </c>
      <c r="E20" s="497">
        <v>53.477337554245764</v>
      </c>
      <c r="F20" s="497">
        <v>58.357808017158881</v>
      </c>
      <c r="G20" s="497">
        <v>63.652944077808073</v>
      </c>
      <c r="H20" s="497">
        <v>72.144576954212582</v>
      </c>
      <c r="I20" s="497">
        <v>75.199799763904764</v>
      </c>
      <c r="J20" s="497">
        <v>80.377354489573861</v>
      </c>
      <c r="K20" s="497">
        <v>73.718252072951628</v>
      </c>
      <c r="L20" s="497">
        <v>72.198648271942119</v>
      </c>
      <c r="M20" s="497">
        <v>71.978389250137326</v>
      </c>
      <c r="N20" s="497">
        <v>73.354587324058016</v>
      </c>
      <c r="O20" s="497">
        <v>76.240106531667792</v>
      </c>
      <c r="P20" s="497">
        <v>75.820780098197346</v>
      </c>
      <c r="Q20" s="497">
        <v>73.227507632525885</v>
      </c>
      <c r="R20" s="497">
        <v>72.375825966359272</v>
      </c>
      <c r="S20" s="497">
        <v>72.065106202487087</v>
      </c>
      <c r="T20" s="497">
        <v>74.027734050210498</v>
      </c>
      <c r="U20" s="497">
        <v>75.891904065640517</v>
      </c>
      <c r="V20" s="497">
        <v>74.968674758265848</v>
      </c>
      <c r="W20" s="497">
        <v>75.085832550029878</v>
      </c>
      <c r="X20" s="497">
        <v>73.910180286141383</v>
      </c>
      <c r="Y20" s="497">
        <v>70.811344061468603</v>
      </c>
      <c r="Z20" s="497">
        <v>67.36067361317572</v>
      </c>
      <c r="AA20" s="497">
        <v>76.648977267924536</v>
      </c>
      <c r="AB20" s="497">
        <v>80.231913399778264</v>
      </c>
      <c r="AC20" s="497">
        <v>81.115012919702309</v>
      </c>
      <c r="AD20" s="497">
        <v>84.212157831295372</v>
      </c>
      <c r="AE20" s="497">
        <v>73.551978873678081</v>
      </c>
      <c r="AF20" s="497">
        <v>73.727607043987319</v>
      </c>
      <c r="AG20" s="497">
        <v>74.931880735614499</v>
      </c>
      <c r="AH20" s="497">
        <v>72.575820118202898</v>
      </c>
      <c r="AI20" s="497">
        <v>71.823677983050842</v>
      </c>
      <c r="AJ20" s="497">
        <v>71.355970942663788</v>
      </c>
      <c r="AK20" s="497">
        <v>69.647449877803822</v>
      </c>
      <c r="AL20" s="497">
        <v>67.89423074106611</v>
      </c>
      <c r="AM20" s="497">
        <v>70.229446837629183</v>
      </c>
      <c r="AN20" s="497">
        <v>64.699542712985078</v>
      </c>
      <c r="AO20" s="497">
        <v>63.21469184389295</v>
      </c>
      <c r="AP20" s="497">
        <v>61.165065269371645</v>
      </c>
      <c r="AQ20" s="497">
        <v>57.554801503871566</v>
      </c>
      <c r="AR20" s="497">
        <v>53.922941317586705</v>
      </c>
      <c r="AS20" s="498">
        <v>53.319915744017983</v>
      </c>
    </row>
    <row r="21" spans="1:45" ht="13">
      <c r="A21" s="495" t="s">
        <v>880</v>
      </c>
      <c r="B21" s="496" t="s">
        <v>881</v>
      </c>
      <c r="C21" s="497">
        <v>27.583647028562311</v>
      </c>
      <c r="D21" s="497">
        <v>29.66646470675682</v>
      </c>
      <c r="E21" s="497">
        <v>33.434902936268514</v>
      </c>
      <c r="F21" s="497">
        <v>37.760851818078351</v>
      </c>
      <c r="G21" s="497">
        <v>40.841045817042627</v>
      </c>
      <c r="H21" s="497">
        <v>44.614239337507286</v>
      </c>
      <c r="I21" s="497">
        <v>50.332411950858976</v>
      </c>
      <c r="J21" s="497">
        <v>56.166425097306934</v>
      </c>
      <c r="K21" s="497">
        <v>57.189749194316661</v>
      </c>
      <c r="L21" s="497">
        <v>58.048232464996516</v>
      </c>
      <c r="M21" s="497">
        <v>58.564615002656446</v>
      </c>
      <c r="N21" s="497">
        <v>58.431478268974018</v>
      </c>
      <c r="O21" s="497">
        <v>61.836991608341926</v>
      </c>
      <c r="P21" s="497">
        <v>65.38367249839024</v>
      </c>
      <c r="Q21" s="497">
        <v>64.51216421364353</v>
      </c>
      <c r="R21" s="497">
        <v>63.250402821123117</v>
      </c>
      <c r="S21" s="497">
        <v>62.805765669219319</v>
      </c>
      <c r="T21" s="497">
        <v>61.418801445264975</v>
      </c>
      <c r="U21" s="497">
        <v>61.112986677809737</v>
      </c>
      <c r="V21" s="497">
        <v>62.642764448697342</v>
      </c>
      <c r="W21" s="497">
        <v>64.054818652124069</v>
      </c>
      <c r="X21" s="497">
        <v>62.52274715207529</v>
      </c>
      <c r="Y21" s="497">
        <v>62.705019466005155</v>
      </c>
      <c r="Z21" s="497">
        <v>63.522632340806894</v>
      </c>
      <c r="AA21" s="497">
        <v>67.927365508497758</v>
      </c>
      <c r="AB21" s="497">
        <v>70.499134132340345</v>
      </c>
      <c r="AC21" s="497">
        <v>68.601986035687744</v>
      </c>
      <c r="AD21" s="497">
        <v>69.474676886420824</v>
      </c>
      <c r="AE21" s="497">
        <v>69.145538939395777</v>
      </c>
      <c r="AF21" s="497">
        <v>72.314893057081221</v>
      </c>
      <c r="AG21" s="497">
        <v>69.422334334044592</v>
      </c>
      <c r="AH21" s="497">
        <v>68.292375556257738</v>
      </c>
      <c r="AI21" s="497">
        <v>66.071120529879053</v>
      </c>
      <c r="AJ21" s="497">
        <v>64.354099693788925</v>
      </c>
      <c r="AK21" s="497">
        <v>66.306719506947232</v>
      </c>
      <c r="AL21" s="497">
        <v>68.522941788315237</v>
      </c>
      <c r="AM21" s="497">
        <v>72.025531653550701</v>
      </c>
      <c r="AN21" s="497">
        <v>75.015566245357292</v>
      </c>
      <c r="AO21" s="497">
        <v>76.148004556728949</v>
      </c>
      <c r="AP21" s="497">
        <v>74.679668503028779</v>
      </c>
      <c r="AQ21" s="497">
        <v>71.497031021559366</v>
      </c>
      <c r="AR21" s="497">
        <v>67.880740291003661</v>
      </c>
      <c r="AS21" s="498">
        <v>67.614900874002501</v>
      </c>
    </row>
    <row r="22" spans="1:45" ht="13">
      <c r="A22" s="495" t="s">
        <v>882</v>
      </c>
      <c r="B22" s="496" t="s">
        <v>883</v>
      </c>
      <c r="C22" s="497">
        <v>14.693429001231385</v>
      </c>
      <c r="D22" s="497">
        <v>11.828940223381784</v>
      </c>
      <c r="E22" s="497">
        <v>11.640162463000737</v>
      </c>
      <c r="F22" s="497">
        <v>7.409143433093119</v>
      </c>
      <c r="G22" s="497">
        <v>3.7105514034352907</v>
      </c>
      <c r="H22" s="497">
        <v>4.9884171968614046</v>
      </c>
      <c r="I22" s="497">
        <v>5.9772825262352276</v>
      </c>
      <c r="J22" s="497">
        <v>8.9228912538782801</v>
      </c>
      <c r="K22" s="497">
        <v>10.225730080487178</v>
      </c>
      <c r="L22" s="497">
        <v>11.745077084195833</v>
      </c>
      <c r="M22" s="497">
        <v>14.01831579581766</v>
      </c>
      <c r="N22" s="497">
        <v>15.135813491647944</v>
      </c>
      <c r="O22" s="497">
        <v>15.960404742436687</v>
      </c>
      <c r="P22" s="497">
        <v>19.192145857080238</v>
      </c>
      <c r="Q22" s="497">
        <v>19.572324565370533</v>
      </c>
      <c r="R22" s="497">
        <v>17.813440262861867</v>
      </c>
      <c r="S22" s="497">
        <v>19.88168412350441</v>
      </c>
      <c r="T22" s="497">
        <v>22.043057433076704</v>
      </c>
      <c r="U22" s="497">
        <v>23.401579214225698</v>
      </c>
      <c r="V22" s="497">
        <v>23.937745057991116</v>
      </c>
      <c r="W22" s="497">
        <v>24.607140944175953</v>
      </c>
      <c r="X22" s="497">
        <v>22.502736531209468</v>
      </c>
      <c r="Y22" s="497">
        <v>19.053475496228952</v>
      </c>
      <c r="Z22" s="497">
        <v>18.009295862738014</v>
      </c>
      <c r="AA22" s="497">
        <v>21.194766613497581</v>
      </c>
      <c r="AB22" s="497">
        <v>26.077693152479377</v>
      </c>
      <c r="AC22" s="497">
        <v>27.605779268155153</v>
      </c>
      <c r="AD22" s="497">
        <v>29.287841149350733</v>
      </c>
      <c r="AE22" s="497">
        <v>30.123773126024393</v>
      </c>
      <c r="AF22" s="497">
        <v>29.59242215691873</v>
      </c>
      <c r="AG22" s="497">
        <v>31.345944507300722</v>
      </c>
      <c r="AH22" s="497">
        <v>32.199969434756554</v>
      </c>
      <c r="AI22" s="497">
        <v>31.136685491737509</v>
      </c>
      <c r="AJ22" s="497">
        <v>30.346032835934871</v>
      </c>
      <c r="AK22" s="497">
        <v>29.287366664124708</v>
      </c>
      <c r="AL22" s="497">
        <v>28.478461023428146</v>
      </c>
      <c r="AM22" s="497">
        <v>28.18809232749426</v>
      </c>
      <c r="AN22" s="497">
        <v>26.181008997127897</v>
      </c>
      <c r="AO22" s="497">
        <v>24.39980263644172</v>
      </c>
      <c r="AP22" s="497">
        <v>22.659677144932171</v>
      </c>
      <c r="AQ22" s="497">
        <v>21.125744700986328</v>
      </c>
      <c r="AR22" s="497">
        <v>18.836045817124809</v>
      </c>
      <c r="AS22" s="498">
        <v>16.08069258258071</v>
      </c>
    </row>
    <row r="23" spans="1:45" ht="13">
      <c r="A23" s="495" t="s">
        <v>884</v>
      </c>
      <c r="B23" s="496" t="s">
        <v>885</v>
      </c>
      <c r="C23" s="497">
        <v>67.770764871664554</v>
      </c>
      <c r="D23" s="497">
        <v>74.132995690357731</v>
      </c>
      <c r="E23" s="497">
        <v>77.295817366225833</v>
      </c>
      <c r="F23" s="497">
        <v>90.240992378781328</v>
      </c>
      <c r="G23" s="497">
        <v>105.03730193608961</v>
      </c>
      <c r="H23" s="497">
        <v>105.18970153567642</v>
      </c>
      <c r="I23" s="497">
        <v>106.34985745033057</v>
      </c>
      <c r="J23" s="497">
        <v>112.24575539880709</v>
      </c>
      <c r="K23" s="497">
        <v>113.81554353265815</v>
      </c>
      <c r="L23" s="497">
        <v>119.14009282495191</v>
      </c>
      <c r="M23" s="497">
        <v>122.40152415543128</v>
      </c>
      <c r="N23" s="497">
        <v>125.60465125011906</v>
      </c>
      <c r="O23" s="497">
        <v>138.41848252880635</v>
      </c>
      <c r="P23" s="497">
        <v>158.21862344013115</v>
      </c>
      <c r="Q23" s="497">
        <v>164.30252721387114</v>
      </c>
      <c r="R23" s="497">
        <v>162.51002697560517</v>
      </c>
      <c r="S23" s="497">
        <v>171.44841780573449</v>
      </c>
      <c r="T23" s="497">
        <v>180.75610214314204</v>
      </c>
      <c r="U23" s="497">
        <v>190.50778150850434</v>
      </c>
      <c r="V23" s="497">
        <v>198.20370604936937</v>
      </c>
      <c r="W23" s="497">
        <v>207.82592525817068</v>
      </c>
      <c r="X23" s="497">
        <v>215.11510422154544</v>
      </c>
      <c r="Y23" s="497">
        <v>215.3241037215135</v>
      </c>
      <c r="Z23" s="497">
        <v>210.38502966369199</v>
      </c>
      <c r="AA23" s="497">
        <v>209.45770499340713</v>
      </c>
      <c r="AB23" s="497">
        <v>213.66810376654738</v>
      </c>
      <c r="AC23" s="497">
        <v>217.62635627586351</v>
      </c>
      <c r="AD23" s="497">
        <v>220.98561545756596</v>
      </c>
      <c r="AE23" s="497">
        <v>220.73920939085255</v>
      </c>
      <c r="AF23" s="497">
        <v>223.14986733138588</v>
      </c>
      <c r="AG23" s="497">
        <v>214.8759999999136</v>
      </c>
      <c r="AH23" s="497">
        <v>211.3285737128935</v>
      </c>
      <c r="AI23" s="497">
        <v>202.1411377978072</v>
      </c>
      <c r="AJ23" s="497">
        <v>193.05945318912555</v>
      </c>
      <c r="AK23" s="497">
        <v>192.80273901973564</v>
      </c>
      <c r="AL23" s="497">
        <v>196.46499482300518</v>
      </c>
      <c r="AM23" s="497">
        <v>209.24203341180447</v>
      </c>
      <c r="AN23" s="497">
        <v>213.03244099414584</v>
      </c>
      <c r="AO23" s="497">
        <v>209.66279387950755</v>
      </c>
      <c r="AP23" s="497">
        <v>211.28638979995759</v>
      </c>
      <c r="AQ23" s="497">
        <v>205.79661046380087</v>
      </c>
      <c r="AR23" s="497">
        <v>197.6690568007069</v>
      </c>
      <c r="AS23" s="498">
        <v>201.37965138131526</v>
      </c>
    </row>
    <row r="24" spans="1:45" ht="13">
      <c r="A24" s="495" t="s">
        <v>886</v>
      </c>
      <c r="B24" s="496" t="s">
        <v>887</v>
      </c>
      <c r="C24" s="497">
        <v>5.6617434902722836</v>
      </c>
      <c r="D24" s="497">
        <v>5.8100883377414165</v>
      </c>
      <c r="E24" s="497">
        <v>6.0596520523274346</v>
      </c>
      <c r="F24" s="497">
        <v>6.0607938727968342</v>
      </c>
      <c r="G24" s="497">
        <v>5.9977885934370248</v>
      </c>
      <c r="H24" s="497">
        <v>6.3860632195834377</v>
      </c>
      <c r="I24" s="497">
        <v>6.5658676919622252</v>
      </c>
      <c r="J24" s="497">
        <v>7.1129295160623949</v>
      </c>
      <c r="K24" s="497">
        <v>9.2410500811705614</v>
      </c>
      <c r="L24" s="497">
        <v>9.6718947913195468</v>
      </c>
      <c r="M24" s="497">
        <v>8.9251275537921941</v>
      </c>
      <c r="N24" s="497">
        <v>9.2548666171550327</v>
      </c>
      <c r="O24" s="497">
        <v>9.8321229040548115</v>
      </c>
      <c r="P24" s="497">
        <v>10.282365352709681</v>
      </c>
      <c r="Q24" s="497">
        <v>10.502830136360556</v>
      </c>
      <c r="R24" s="497">
        <v>10.620543716860018</v>
      </c>
      <c r="S24" s="497">
        <v>10.759861346789059</v>
      </c>
      <c r="T24" s="497">
        <v>10.985702459845159</v>
      </c>
      <c r="U24" s="497">
        <v>11.464104055440666</v>
      </c>
      <c r="V24" s="497">
        <v>11.961843391459904</v>
      </c>
      <c r="W24" s="497">
        <v>12.562262344497226</v>
      </c>
      <c r="X24" s="497">
        <v>12.612302120317304</v>
      </c>
      <c r="Y24" s="497">
        <v>12.295464283332361</v>
      </c>
      <c r="Z24" s="497">
        <v>9.2375020655123468</v>
      </c>
      <c r="AA24" s="497">
        <v>13.081357846693402</v>
      </c>
      <c r="AB24" s="497">
        <v>13.673945702654521</v>
      </c>
      <c r="AC24" s="497">
        <v>13.435571663704234</v>
      </c>
      <c r="AD24" s="497">
        <v>13.010569058089951</v>
      </c>
      <c r="AE24" s="497">
        <v>11.563342082168646</v>
      </c>
      <c r="AF24" s="497">
        <v>11.518645779602576</v>
      </c>
      <c r="AG24" s="497">
        <v>11.004743505096904</v>
      </c>
      <c r="AH24" s="497">
        <v>11.012353184187349</v>
      </c>
      <c r="AI24" s="497">
        <v>10.736664005343911</v>
      </c>
      <c r="AJ24" s="497">
        <v>10.967574340904573</v>
      </c>
      <c r="AK24" s="497">
        <v>11.068355239767884</v>
      </c>
      <c r="AL24" s="497">
        <v>11.498160965842414</v>
      </c>
      <c r="AM24" s="497">
        <v>12.433062078015393</v>
      </c>
      <c r="AN24" s="497">
        <v>12.599688749560782</v>
      </c>
      <c r="AO24" s="497">
        <v>12.462998048106813</v>
      </c>
      <c r="AP24" s="497">
        <v>11.736260748780474</v>
      </c>
      <c r="AQ24" s="497">
        <v>10.031961181752621</v>
      </c>
      <c r="AR24" s="497">
        <v>9.8735242206821248</v>
      </c>
      <c r="AS24" s="498">
        <v>9.1019255843656914</v>
      </c>
    </row>
    <row r="25" spans="1:45" ht="13">
      <c r="A25" s="499"/>
      <c r="B25" s="496"/>
      <c r="C25" s="497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497"/>
      <c r="O25" s="497"/>
      <c r="P25" s="497"/>
      <c r="Q25" s="497"/>
      <c r="R25" s="497"/>
      <c r="S25" s="497"/>
      <c r="T25" s="497"/>
      <c r="U25" s="497"/>
      <c r="V25" s="497"/>
      <c r="W25" s="497"/>
      <c r="X25" s="497"/>
      <c r="Y25" s="497"/>
      <c r="Z25" s="497"/>
      <c r="AA25" s="497"/>
      <c r="AB25" s="497"/>
      <c r="AC25" s="497"/>
      <c r="AD25" s="497"/>
      <c r="AE25" s="497"/>
      <c r="AF25" s="497"/>
      <c r="AG25" s="497"/>
      <c r="AH25" s="497"/>
      <c r="AI25" s="497"/>
      <c r="AJ25" s="497"/>
      <c r="AK25" s="497"/>
      <c r="AL25" s="497"/>
      <c r="AM25" s="497"/>
      <c r="AN25" s="497"/>
      <c r="AO25" s="497"/>
      <c r="AP25" s="497"/>
      <c r="AQ25" s="497"/>
      <c r="AR25" s="497"/>
      <c r="AS25" s="498"/>
    </row>
    <row r="26" spans="1:45" ht="13">
      <c r="A26" s="495" t="s">
        <v>283</v>
      </c>
      <c r="B26" s="496" t="s">
        <v>888</v>
      </c>
      <c r="C26" s="497">
        <v>10.061155947991397</v>
      </c>
      <c r="D26" s="497">
        <v>10.549441652066907</v>
      </c>
      <c r="E26" s="497">
        <v>11.550775101997353</v>
      </c>
      <c r="F26" s="497">
        <v>12.152643021055038</v>
      </c>
      <c r="G26" s="497">
        <v>13.096304553276203</v>
      </c>
      <c r="H26" s="497">
        <v>14.069456044213812</v>
      </c>
      <c r="I26" s="497">
        <v>14.457148068831565</v>
      </c>
      <c r="J26" s="497">
        <v>15.158626963666487</v>
      </c>
      <c r="K26" s="497">
        <v>15.836612845595205</v>
      </c>
      <c r="L26" s="497">
        <v>16.276754596736136</v>
      </c>
      <c r="M26" s="497">
        <v>16.593026583966729</v>
      </c>
      <c r="N26" s="497">
        <v>16.938601662585054</v>
      </c>
      <c r="O26" s="497">
        <v>16.92702916635864</v>
      </c>
      <c r="P26" s="497">
        <v>17.401416884392859</v>
      </c>
      <c r="Q26" s="497">
        <v>18.26581860870456</v>
      </c>
      <c r="R26" s="497">
        <v>18.594004752800583</v>
      </c>
      <c r="S26" s="497">
        <v>18.595444176504166</v>
      </c>
      <c r="T26" s="497">
        <v>18.134635748343893</v>
      </c>
      <c r="U26" s="497">
        <v>17.978201545374986</v>
      </c>
      <c r="V26" s="497">
        <v>18.181670260999155</v>
      </c>
      <c r="W26" s="497">
        <v>17.919875275844582</v>
      </c>
      <c r="X26" s="497">
        <v>18.379717980986698</v>
      </c>
      <c r="Y26" s="497">
        <v>18.536397342019793</v>
      </c>
      <c r="Z26" s="497">
        <v>18.466082523574588</v>
      </c>
      <c r="AA26" s="497">
        <v>20.951442234499495</v>
      </c>
      <c r="AB26" s="497">
        <v>23.356475396882299</v>
      </c>
      <c r="AC26" s="497">
        <v>25.069295407126454</v>
      </c>
      <c r="AD26" s="497">
        <v>27.622506953149298</v>
      </c>
      <c r="AE26" s="497">
        <v>29.232762947116044</v>
      </c>
      <c r="AF26" s="497">
        <v>29.148765467836448</v>
      </c>
      <c r="AG26" s="497">
        <v>30.963901918078385</v>
      </c>
      <c r="AH26" s="497">
        <v>31.748484580334004</v>
      </c>
      <c r="AI26" s="497">
        <v>32.381966835033879</v>
      </c>
      <c r="AJ26" s="497">
        <v>32.486970501433603</v>
      </c>
      <c r="AK26" s="497">
        <v>32.551635463426706</v>
      </c>
      <c r="AL26" s="497">
        <v>31.952632679216102</v>
      </c>
      <c r="AM26" s="497">
        <v>30.668391201908939</v>
      </c>
      <c r="AN26" s="497">
        <v>29.39128161976949</v>
      </c>
      <c r="AO26" s="497">
        <v>28.67978139079591</v>
      </c>
      <c r="AP26" s="497">
        <v>27.329703449621999</v>
      </c>
      <c r="AQ26" s="497">
        <v>27.492583780227733</v>
      </c>
      <c r="AR26" s="497">
        <v>25.559529636571476</v>
      </c>
      <c r="AS26" s="498">
        <v>24.408259967664275</v>
      </c>
    </row>
    <row r="27" spans="1:45" ht="13">
      <c r="A27" s="495" t="s">
        <v>889</v>
      </c>
      <c r="B27" s="496" t="s">
        <v>890</v>
      </c>
      <c r="C27" s="487" t="s">
        <v>640</v>
      </c>
      <c r="D27" s="487" t="s">
        <v>640</v>
      </c>
      <c r="E27" s="487" t="s">
        <v>640</v>
      </c>
      <c r="F27" s="487" t="s">
        <v>640</v>
      </c>
      <c r="G27" s="487" t="s">
        <v>640</v>
      </c>
      <c r="H27" s="487" t="s">
        <v>640</v>
      </c>
      <c r="I27" s="487" t="s">
        <v>640</v>
      </c>
      <c r="J27" s="487">
        <v>13.935562721613467</v>
      </c>
      <c r="K27" s="487">
        <v>14.539629485030611</v>
      </c>
      <c r="L27" s="487">
        <v>14.923834287621533</v>
      </c>
      <c r="M27" s="487">
        <v>15.193511353241451</v>
      </c>
      <c r="N27" s="487">
        <v>15.489092880420202</v>
      </c>
      <c r="O27" s="487">
        <v>15.450050157775559</v>
      </c>
      <c r="P27" s="487">
        <v>15.834101306298935</v>
      </c>
      <c r="Q27" s="487">
        <v>16.572627646722225</v>
      </c>
      <c r="R27" s="487">
        <v>16.906800327143511</v>
      </c>
      <c r="S27" s="487">
        <v>16.869259517246071</v>
      </c>
      <c r="T27" s="487">
        <v>16.272167827752789</v>
      </c>
      <c r="U27" s="487">
        <v>16.057567332666505</v>
      </c>
      <c r="V27" s="487">
        <v>16.162361965478716</v>
      </c>
      <c r="W27" s="487">
        <v>15.769141423423363</v>
      </c>
      <c r="X27" s="487">
        <v>16.141668526922324</v>
      </c>
      <c r="Y27" s="487">
        <v>16.289530205821261</v>
      </c>
      <c r="Z27" s="487">
        <v>15.933149649756881</v>
      </c>
      <c r="AA27" s="487">
        <v>17.928131951240182</v>
      </c>
      <c r="AB27" s="487">
        <v>20.050837128931654</v>
      </c>
      <c r="AC27" s="487">
        <v>21.55292188728027</v>
      </c>
      <c r="AD27" s="487">
        <v>23.954968679634938</v>
      </c>
      <c r="AE27" s="487">
        <v>25.336286220321128</v>
      </c>
      <c r="AF27" s="487">
        <v>25.315789746431111</v>
      </c>
      <c r="AG27" s="487">
        <v>27.283435445962517</v>
      </c>
      <c r="AH27" s="487">
        <v>27.981842311208304</v>
      </c>
      <c r="AI27" s="487">
        <v>28.652703417207899</v>
      </c>
      <c r="AJ27" s="487">
        <v>28.776985258413905</v>
      </c>
      <c r="AK27" s="487">
        <v>28.925485913303667</v>
      </c>
      <c r="AL27" s="487">
        <v>28.349670149985258</v>
      </c>
      <c r="AM27" s="487">
        <v>27.180643933286195</v>
      </c>
      <c r="AN27" s="487">
        <v>25.82252571894746</v>
      </c>
      <c r="AO27" s="487">
        <v>25.02204854478553</v>
      </c>
      <c r="AP27" s="487">
        <v>23.718657970131126</v>
      </c>
      <c r="AQ27" s="487">
        <v>23.833978229854107</v>
      </c>
      <c r="AR27" s="487">
        <v>22.082970302875285</v>
      </c>
      <c r="AS27" s="488">
        <v>21.062815859498095</v>
      </c>
    </row>
    <row r="28" spans="1:45" ht="13">
      <c r="A28" s="495" t="s">
        <v>891</v>
      </c>
      <c r="B28" s="496" t="s">
        <v>892</v>
      </c>
      <c r="C28" s="487" t="s">
        <v>640</v>
      </c>
      <c r="D28" s="487" t="s">
        <v>640</v>
      </c>
      <c r="E28" s="487" t="s">
        <v>640</v>
      </c>
      <c r="F28" s="487" t="s">
        <v>640</v>
      </c>
      <c r="G28" s="487" t="s">
        <v>640</v>
      </c>
      <c r="H28" s="487" t="s">
        <v>640</v>
      </c>
      <c r="I28" s="487" t="s">
        <v>640</v>
      </c>
      <c r="J28" s="487">
        <v>1.2230642420530207</v>
      </c>
      <c r="K28" s="487">
        <v>1.2969833605645946</v>
      </c>
      <c r="L28" s="487">
        <v>1.3529203091146034</v>
      </c>
      <c r="M28" s="487">
        <v>1.3995152307252778</v>
      </c>
      <c r="N28" s="487">
        <v>1.4495087821648533</v>
      </c>
      <c r="O28" s="487">
        <v>1.4769790085830812</v>
      </c>
      <c r="P28" s="487">
        <v>1.5673155780939254</v>
      </c>
      <c r="Q28" s="487">
        <v>1.6931909619823362</v>
      </c>
      <c r="R28" s="487">
        <v>1.6872044256570722</v>
      </c>
      <c r="S28" s="487">
        <v>1.7261846592580958</v>
      </c>
      <c r="T28" s="487">
        <v>1.8624679205911048</v>
      </c>
      <c r="U28" s="487">
        <v>1.9206342127084832</v>
      </c>
      <c r="V28" s="487">
        <v>2.0193082955204393</v>
      </c>
      <c r="W28" s="487">
        <v>2.1507338524212192</v>
      </c>
      <c r="X28" s="487">
        <v>2.2380494540643756</v>
      </c>
      <c r="Y28" s="487">
        <v>2.2468671361985324</v>
      </c>
      <c r="Z28" s="487">
        <v>2.5329328738177082</v>
      </c>
      <c r="AA28" s="487">
        <v>3.0233102832593119</v>
      </c>
      <c r="AB28" s="487">
        <v>3.3056382679506462</v>
      </c>
      <c r="AC28" s="487">
        <v>3.5163735198461836</v>
      </c>
      <c r="AD28" s="487">
        <v>3.6675382735143613</v>
      </c>
      <c r="AE28" s="487">
        <v>3.8964767267949139</v>
      </c>
      <c r="AF28" s="487">
        <v>3.8329757214053366</v>
      </c>
      <c r="AG28" s="487">
        <v>3.6804664721158682</v>
      </c>
      <c r="AH28" s="487">
        <v>3.7666422691256995</v>
      </c>
      <c r="AI28" s="487">
        <v>3.7292634178259778</v>
      </c>
      <c r="AJ28" s="487">
        <v>3.7099852430197018</v>
      </c>
      <c r="AK28" s="487">
        <v>3.6261495501230359</v>
      </c>
      <c r="AL28" s="487">
        <v>3.6029625292308447</v>
      </c>
      <c r="AM28" s="487">
        <v>3.4877472686227451</v>
      </c>
      <c r="AN28" s="487">
        <v>3.5687559008220298</v>
      </c>
      <c r="AO28" s="487">
        <v>3.6577328460103775</v>
      </c>
      <c r="AP28" s="487">
        <v>3.6110454794908713</v>
      </c>
      <c r="AQ28" s="487">
        <v>3.6586055503736254</v>
      </c>
      <c r="AR28" s="487">
        <v>3.4765593336961924</v>
      </c>
      <c r="AS28" s="488">
        <v>3.3454441081661797</v>
      </c>
    </row>
    <row r="29" spans="1:45" ht="13">
      <c r="A29" s="495"/>
      <c r="B29" s="496"/>
      <c r="C29" s="497"/>
      <c r="D29" s="497"/>
      <c r="E29" s="497"/>
      <c r="F29" s="497"/>
      <c r="G29" s="497"/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7"/>
      <c r="T29" s="497"/>
      <c r="U29" s="497"/>
      <c r="V29" s="497"/>
      <c r="W29" s="497"/>
      <c r="X29" s="497"/>
      <c r="Y29" s="497"/>
      <c r="Z29" s="497"/>
      <c r="AA29" s="497"/>
      <c r="AB29" s="497"/>
      <c r="AC29" s="497"/>
      <c r="AD29" s="497"/>
      <c r="AE29" s="497"/>
      <c r="AF29" s="497"/>
      <c r="AG29" s="497"/>
      <c r="AH29" s="497"/>
      <c r="AI29" s="497"/>
      <c r="AJ29" s="497"/>
      <c r="AK29" s="497"/>
      <c r="AL29" s="497"/>
      <c r="AM29" s="497"/>
      <c r="AN29" s="497"/>
      <c r="AO29" s="497"/>
      <c r="AP29" s="497"/>
      <c r="AQ29" s="497"/>
      <c r="AR29" s="497"/>
      <c r="AS29" s="498"/>
    </row>
    <row r="30" spans="1:45" ht="13">
      <c r="A30" s="495" t="s">
        <v>273</v>
      </c>
      <c r="B30" s="496" t="s">
        <v>893</v>
      </c>
      <c r="C30" s="497">
        <v>133.55932981122567</v>
      </c>
      <c r="D30" s="497">
        <v>133.77716097913151</v>
      </c>
      <c r="E30" s="497">
        <v>143.70444220958572</v>
      </c>
      <c r="F30" s="497">
        <v>167.40568494070178</v>
      </c>
      <c r="G30" s="497">
        <v>179.76296449645289</v>
      </c>
      <c r="H30" s="497">
        <v>197.30744261131397</v>
      </c>
      <c r="I30" s="497">
        <v>206.39188239366797</v>
      </c>
      <c r="J30" s="497">
        <v>211.25966241653276</v>
      </c>
      <c r="K30" s="497">
        <v>220.24821943845453</v>
      </c>
      <c r="L30" s="497">
        <v>215.11713631532336</v>
      </c>
      <c r="M30" s="497">
        <v>205.63895198566598</v>
      </c>
      <c r="N30" s="497">
        <v>214.26806318865533</v>
      </c>
      <c r="O30" s="497">
        <v>242.13350962488457</v>
      </c>
      <c r="P30" s="497">
        <v>254.40208484252565</v>
      </c>
      <c r="Q30" s="497">
        <v>252.17603883388227</v>
      </c>
      <c r="R30" s="497">
        <v>251.8163776347991</v>
      </c>
      <c r="S30" s="497">
        <v>259.41525830611539</v>
      </c>
      <c r="T30" s="497">
        <v>274.47344379653197</v>
      </c>
      <c r="U30" s="497">
        <v>309.84146413276193</v>
      </c>
      <c r="V30" s="497">
        <v>339.60294261544487</v>
      </c>
      <c r="W30" s="497">
        <v>352.76272272068468</v>
      </c>
      <c r="X30" s="497">
        <v>332.99600386100389</v>
      </c>
      <c r="Y30" s="497">
        <v>329.58066023166032</v>
      </c>
      <c r="Z30" s="497">
        <v>314.78083783783791</v>
      </c>
      <c r="AA30" s="497">
        <v>316.48850965250972</v>
      </c>
      <c r="AB30" s="497">
        <v>352.91884169884173</v>
      </c>
      <c r="AC30" s="497">
        <v>364.30332046332046</v>
      </c>
      <c r="AD30" s="497">
        <v>414.96425096525098</v>
      </c>
      <c r="AE30" s="497">
        <v>448.63837989556134</v>
      </c>
      <c r="AF30" s="497">
        <v>470.74291393556155</v>
      </c>
      <c r="AG30" s="497">
        <v>438.31199250603561</v>
      </c>
      <c r="AH30" s="497">
        <v>417.52474735377183</v>
      </c>
      <c r="AI30" s="497">
        <v>396.48184368364304</v>
      </c>
      <c r="AJ30" s="497">
        <v>393.58966739973204</v>
      </c>
      <c r="AK30" s="497">
        <v>421.06136150059604</v>
      </c>
      <c r="AL30" s="497">
        <v>433.10897987985237</v>
      </c>
      <c r="AM30" s="497">
        <v>434.59638971278179</v>
      </c>
      <c r="AN30" s="497">
        <v>429.17263974375817</v>
      </c>
      <c r="AO30" s="497">
        <v>434.91840305737293</v>
      </c>
      <c r="AP30" s="497">
        <v>444.6334910272127</v>
      </c>
      <c r="AQ30" s="497">
        <v>438.33584326785541</v>
      </c>
      <c r="AR30" s="497">
        <v>426.92070048030422</v>
      </c>
      <c r="AS30" s="498">
        <v>438.9805577544023</v>
      </c>
    </row>
    <row r="31" spans="1:45" ht="13">
      <c r="A31" s="499"/>
      <c r="B31" s="496"/>
      <c r="C31" s="497"/>
      <c r="D31" s="497"/>
      <c r="E31" s="497"/>
      <c r="F31" s="497"/>
      <c r="G31" s="497"/>
      <c r="H31" s="497"/>
      <c r="I31" s="497"/>
      <c r="J31" s="497"/>
      <c r="K31" s="497"/>
      <c r="L31" s="497"/>
      <c r="M31" s="497"/>
      <c r="N31" s="497"/>
      <c r="O31" s="497"/>
      <c r="P31" s="497"/>
      <c r="Q31" s="497"/>
      <c r="R31" s="497"/>
      <c r="S31" s="497"/>
      <c r="T31" s="497"/>
      <c r="U31" s="497"/>
      <c r="V31" s="497"/>
      <c r="W31" s="497"/>
      <c r="X31" s="497"/>
      <c r="Y31" s="497"/>
      <c r="Z31" s="497"/>
      <c r="AA31" s="497"/>
      <c r="AB31" s="497"/>
      <c r="AC31" s="497"/>
      <c r="AD31" s="497"/>
      <c r="AE31" s="497"/>
      <c r="AF31" s="497"/>
      <c r="AG31" s="497"/>
      <c r="AH31" s="497"/>
      <c r="AI31" s="497"/>
      <c r="AJ31" s="497"/>
      <c r="AK31" s="497"/>
      <c r="AL31" s="497"/>
      <c r="AM31" s="497"/>
      <c r="AN31" s="497"/>
      <c r="AO31" s="497"/>
      <c r="AP31" s="497"/>
      <c r="AQ31" s="497"/>
      <c r="AR31" s="497"/>
      <c r="AS31" s="498"/>
    </row>
    <row r="32" spans="1:45" ht="13">
      <c r="A32" s="495" t="s">
        <v>894</v>
      </c>
      <c r="B32" s="496" t="s">
        <v>895</v>
      </c>
      <c r="C32" s="497">
        <v>209.02301587940659</v>
      </c>
      <c r="D32" s="497">
        <v>208.86482906535269</v>
      </c>
      <c r="E32" s="497">
        <v>226.26001424148041</v>
      </c>
      <c r="F32" s="497">
        <v>235.41649398224916</v>
      </c>
      <c r="G32" s="497">
        <v>243.75676749875853</v>
      </c>
      <c r="H32" s="497">
        <v>253.6946346628531</v>
      </c>
      <c r="I32" s="497">
        <v>259.12164376487488</v>
      </c>
      <c r="J32" s="497">
        <v>270.98670360448853</v>
      </c>
      <c r="K32" s="497">
        <v>283.55801400962565</v>
      </c>
      <c r="L32" s="497">
        <v>306.76110055731419</v>
      </c>
      <c r="M32" s="497">
        <v>327.82164066371081</v>
      </c>
      <c r="N32" s="497">
        <v>344.39473091438919</v>
      </c>
      <c r="O32" s="497">
        <v>369.74559212156993</v>
      </c>
      <c r="P32" s="497">
        <v>399.66992142366018</v>
      </c>
      <c r="Q32" s="497">
        <v>424.93759419837744</v>
      </c>
      <c r="R32" s="497">
        <v>445.55474705636362</v>
      </c>
      <c r="S32" s="497">
        <v>463.06861580192111</v>
      </c>
      <c r="T32" s="497">
        <v>477.01244035314943</v>
      </c>
      <c r="U32" s="497">
        <v>496.29314654379039</v>
      </c>
      <c r="V32" s="497">
        <v>521.55426175384105</v>
      </c>
      <c r="W32" s="497">
        <v>548.40498087823175</v>
      </c>
      <c r="X32" s="497">
        <v>548.43345239633982</v>
      </c>
      <c r="Y32" s="497">
        <v>529.29443659925346</v>
      </c>
      <c r="Z32" s="497">
        <v>503.74663088998284</v>
      </c>
      <c r="AA32" s="497">
        <v>507.33538678838374</v>
      </c>
      <c r="AB32" s="497">
        <v>534.4787204564476</v>
      </c>
      <c r="AC32" s="497">
        <v>548.03966367343821</v>
      </c>
      <c r="AD32" s="497">
        <v>564.46381935940985</v>
      </c>
      <c r="AE32" s="497">
        <v>574.86166152391763</v>
      </c>
      <c r="AF32" s="497">
        <v>560.54895676099522</v>
      </c>
      <c r="AG32" s="497">
        <v>556.61486317070808</v>
      </c>
      <c r="AH32" s="497">
        <v>560.28909940542246</v>
      </c>
      <c r="AI32" s="497">
        <v>567.55008980337163</v>
      </c>
      <c r="AJ32" s="497">
        <v>582.28988932699565</v>
      </c>
      <c r="AK32" s="497">
        <v>596.6243396252496</v>
      </c>
      <c r="AL32" s="497">
        <v>627.31867059933154</v>
      </c>
      <c r="AM32" s="497">
        <v>674.51133234116594</v>
      </c>
      <c r="AN32" s="497">
        <v>696.72716761056938</v>
      </c>
      <c r="AO32" s="497">
        <v>726.71800897165542</v>
      </c>
      <c r="AP32" s="497">
        <v>765.42173711645819</v>
      </c>
      <c r="AQ32" s="497">
        <v>773.03828149653532</v>
      </c>
      <c r="AR32" s="497">
        <v>812.80490938563844</v>
      </c>
      <c r="AS32" s="498">
        <v>843.62246440052536</v>
      </c>
    </row>
    <row r="33" spans="1:45" ht="13">
      <c r="A33" s="495" t="s">
        <v>896</v>
      </c>
      <c r="B33" s="496" t="s">
        <v>897</v>
      </c>
      <c r="C33" s="497">
        <v>178.39611887143457</v>
      </c>
      <c r="D33" s="497">
        <v>174.8650764825783</v>
      </c>
      <c r="E33" s="497">
        <v>190.21156338365887</v>
      </c>
      <c r="F33" s="497">
        <v>198.91254167692802</v>
      </c>
      <c r="G33" s="497">
        <v>207.61821374021687</v>
      </c>
      <c r="H33" s="497">
        <v>216.57205424683883</v>
      </c>
      <c r="I33" s="497">
        <v>222.0491622267447</v>
      </c>
      <c r="J33" s="497">
        <v>233.71301066103936</v>
      </c>
      <c r="K33" s="497">
        <v>244.20629651791441</v>
      </c>
      <c r="L33" s="497">
        <v>266.31056272994778</v>
      </c>
      <c r="M33" s="497">
        <v>287.09650298151149</v>
      </c>
      <c r="N33" s="497">
        <v>302.11403981454549</v>
      </c>
      <c r="O33" s="497">
        <v>322.51196804844614</v>
      </c>
      <c r="P33" s="497">
        <v>346.79503476148471</v>
      </c>
      <c r="Q33" s="497">
        <v>369.3328659957063</v>
      </c>
      <c r="R33" s="497">
        <v>387.40593402765711</v>
      </c>
      <c r="S33" s="497">
        <v>401.78906149011522</v>
      </c>
      <c r="T33" s="497">
        <v>412.3898573415467</v>
      </c>
      <c r="U33" s="497">
        <v>426.64028637801658</v>
      </c>
      <c r="V33" s="497">
        <v>443.92712699146591</v>
      </c>
      <c r="W33" s="497">
        <v>462.7590232369912</v>
      </c>
      <c r="X33" s="497">
        <v>462.80450801481624</v>
      </c>
      <c r="Y33" s="497">
        <v>447.79101167077715</v>
      </c>
      <c r="Z33" s="497">
        <v>421.33112973626152</v>
      </c>
      <c r="AA33" s="497">
        <v>419.78448473098598</v>
      </c>
      <c r="AB33" s="497">
        <v>441.00604342555272</v>
      </c>
      <c r="AC33" s="497">
        <v>448.16575575263084</v>
      </c>
      <c r="AD33" s="497">
        <v>459.5594299662767</v>
      </c>
      <c r="AE33" s="497">
        <v>468.01121852778783</v>
      </c>
      <c r="AF33" s="497">
        <v>444.470526430559</v>
      </c>
      <c r="AG33" s="497">
        <v>434.90923961267589</v>
      </c>
      <c r="AH33" s="497">
        <v>435.04187865474307</v>
      </c>
      <c r="AI33" s="497">
        <v>437.23444855868394</v>
      </c>
      <c r="AJ33" s="497">
        <v>445.6886262632886</v>
      </c>
      <c r="AK33" s="497">
        <v>456.97914024465797</v>
      </c>
      <c r="AL33" s="497">
        <v>474.67880127166012</v>
      </c>
      <c r="AM33" s="497">
        <v>509.4107930384647</v>
      </c>
      <c r="AN33" s="497">
        <v>523.12608707613356</v>
      </c>
      <c r="AO33" s="497">
        <v>545.77369065973664</v>
      </c>
      <c r="AP33" s="497">
        <v>574.00848939780849</v>
      </c>
      <c r="AQ33" s="497">
        <v>579.61383495926714</v>
      </c>
      <c r="AR33" s="497">
        <v>610.78687187311448</v>
      </c>
      <c r="AS33" s="498">
        <v>631.41457583602153</v>
      </c>
    </row>
    <row r="34" spans="1:45" ht="13">
      <c r="A34" s="495" t="s">
        <v>898</v>
      </c>
      <c r="B34" s="496" t="s">
        <v>899</v>
      </c>
      <c r="C34" s="497">
        <v>30.626897007972019</v>
      </c>
      <c r="D34" s="497">
        <v>33.999752582774391</v>
      </c>
      <c r="E34" s="497">
        <v>36.04845085782155</v>
      </c>
      <c r="F34" s="497">
        <v>36.50395230532115</v>
      </c>
      <c r="G34" s="497">
        <v>36.138553758541669</v>
      </c>
      <c r="H34" s="497">
        <v>37.122580416014266</v>
      </c>
      <c r="I34" s="497">
        <v>37.072481538130148</v>
      </c>
      <c r="J34" s="497">
        <v>37.273692943449149</v>
      </c>
      <c r="K34" s="497">
        <v>39.351717491711241</v>
      </c>
      <c r="L34" s="497">
        <v>40.450537827366446</v>
      </c>
      <c r="M34" s="497">
        <v>40.725137682199318</v>
      </c>
      <c r="N34" s="497">
        <v>42.280691099843679</v>
      </c>
      <c r="O34" s="497">
        <v>47.233624073123814</v>
      </c>
      <c r="P34" s="497">
        <v>52.874886662175463</v>
      </c>
      <c r="Q34" s="497">
        <v>55.60472820267114</v>
      </c>
      <c r="R34" s="497">
        <v>58.14881302870652</v>
      </c>
      <c r="S34" s="497">
        <v>61.27955431180591</v>
      </c>
      <c r="T34" s="497">
        <v>64.622583011602728</v>
      </c>
      <c r="U34" s="497">
        <v>69.652860165773774</v>
      </c>
      <c r="V34" s="497">
        <v>77.627134762375078</v>
      </c>
      <c r="W34" s="497">
        <v>85.6459576412405</v>
      </c>
      <c r="X34" s="497">
        <v>85.628944381523567</v>
      </c>
      <c r="Y34" s="497">
        <v>81.50342492847625</v>
      </c>
      <c r="Z34" s="497">
        <v>82.415501153721337</v>
      </c>
      <c r="AA34" s="497">
        <v>87.550902057397792</v>
      </c>
      <c r="AB34" s="497">
        <v>93.472677030894886</v>
      </c>
      <c r="AC34" s="497">
        <v>99.873907920807326</v>
      </c>
      <c r="AD34" s="497">
        <v>104.90438939313321</v>
      </c>
      <c r="AE34" s="497">
        <v>106.85044299612976</v>
      </c>
      <c r="AF34" s="497">
        <v>116.07843033043628</v>
      </c>
      <c r="AG34" s="497">
        <v>121.70562355803214</v>
      </c>
      <c r="AH34" s="497">
        <v>125.24722075067942</v>
      </c>
      <c r="AI34" s="497">
        <v>130.31564124468773</v>
      </c>
      <c r="AJ34" s="497">
        <v>136.60126306370705</v>
      </c>
      <c r="AK34" s="497">
        <v>139.64519938059163</v>
      </c>
      <c r="AL34" s="497">
        <v>152.63986932767139</v>
      </c>
      <c r="AM34" s="497">
        <v>165.10053930270124</v>
      </c>
      <c r="AN34" s="497">
        <v>173.60108053443585</v>
      </c>
      <c r="AO34" s="497">
        <v>180.94431831191878</v>
      </c>
      <c r="AP34" s="497">
        <v>191.4132477186497</v>
      </c>
      <c r="AQ34" s="497">
        <v>193.42444653726812</v>
      </c>
      <c r="AR34" s="497">
        <v>202.01803751252402</v>
      </c>
      <c r="AS34" s="498">
        <v>212.20788856450386</v>
      </c>
    </row>
    <row r="35" spans="1:45" ht="13">
      <c r="A35" s="499"/>
      <c r="B35" s="496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Y35" s="497"/>
      <c r="Z35" s="497"/>
      <c r="AA35" s="497"/>
      <c r="AB35" s="497"/>
      <c r="AC35" s="497"/>
      <c r="AD35" s="497"/>
      <c r="AE35" s="497"/>
      <c r="AF35" s="497"/>
      <c r="AG35" s="497"/>
      <c r="AH35" s="497"/>
      <c r="AI35" s="497"/>
      <c r="AJ35" s="497"/>
      <c r="AK35" s="497"/>
      <c r="AL35" s="497"/>
      <c r="AM35" s="497"/>
      <c r="AN35" s="497"/>
      <c r="AO35" s="497"/>
      <c r="AP35" s="497"/>
      <c r="AQ35" s="497"/>
      <c r="AR35" s="497"/>
      <c r="AS35" s="498"/>
    </row>
    <row r="36" spans="1:45" ht="13">
      <c r="A36" s="495" t="s">
        <v>280</v>
      </c>
      <c r="B36" s="496" t="s">
        <v>900</v>
      </c>
      <c r="C36" s="497">
        <v>109.76849979230927</v>
      </c>
      <c r="D36" s="497">
        <v>112.14316567667987</v>
      </c>
      <c r="E36" s="497">
        <v>109.45492819734976</v>
      </c>
      <c r="F36" s="497">
        <v>110.00504373115648</v>
      </c>
      <c r="G36" s="497">
        <v>113.69098469469449</v>
      </c>
      <c r="H36" s="497">
        <v>115.59652298590038</v>
      </c>
      <c r="I36" s="497">
        <v>117.88206911479315</v>
      </c>
      <c r="J36" s="497">
        <v>120.46890793240337</v>
      </c>
      <c r="K36" s="497">
        <v>125.76240005040248</v>
      </c>
      <c r="L36" s="497">
        <v>126.49818529912808</v>
      </c>
      <c r="M36" s="497">
        <v>125.84106594962702</v>
      </c>
      <c r="N36" s="497">
        <v>128.34330746763632</v>
      </c>
      <c r="O36" s="497">
        <v>129.67510995543586</v>
      </c>
      <c r="P36" s="497">
        <v>133.02307956378596</v>
      </c>
      <c r="Q36" s="497">
        <v>136.40163751648578</v>
      </c>
      <c r="R36" s="497">
        <v>143.50722283082084</v>
      </c>
      <c r="S36" s="497">
        <v>154.09175465549498</v>
      </c>
      <c r="T36" s="497">
        <v>158.66307826289724</v>
      </c>
      <c r="U36" s="497">
        <v>162.60989447779266</v>
      </c>
      <c r="V36" s="497">
        <v>165.92218863090307</v>
      </c>
      <c r="W36" s="497">
        <v>166.6265178346535</v>
      </c>
      <c r="X36" s="497">
        <v>167.3901128238341</v>
      </c>
      <c r="Y36" s="497">
        <v>174.69942554409386</v>
      </c>
      <c r="Z36" s="497">
        <v>176.66678031670187</v>
      </c>
      <c r="AA36" s="497">
        <v>183.79541177587063</v>
      </c>
      <c r="AB36" s="497">
        <v>198.04411854132832</v>
      </c>
      <c r="AC36" s="497">
        <v>201.32223781888192</v>
      </c>
      <c r="AD36" s="497">
        <v>199.45833871293434</v>
      </c>
      <c r="AE36" s="497">
        <v>193.89565445409411</v>
      </c>
      <c r="AF36" s="497">
        <v>199.35240505345507</v>
      </c>
      <c r="AG36" s="497">
        <v>196.93738231897686</v>
      </c>
      <c r="AH36" s="497">
        <v>197.18646864104556</v>
      </c>
      <c r="AI36" s="497">
        <v>192.76437886948844</v>
      </c>
      <c r="AJ36" s="497">
        <v>186.42394224350403</v>
      </c>
      <c r="AK36" s="497">
        <v>188.16858247272182</v>
      </c>
      <c r="AL36" s="497">
        <v>192.33429259078605</v>
      </c>
      <c r="AM36" s="497">
        <v>201.52172081799782</v>
      </c>
      <c r="AN36" s="497">
        <v>204.84540114919665</v>
      </c>
      <c r="AO36" s="497">
        <v>208.35428885930071</v>
      </c>
      <c r="AP36" s="497">
        <v>206.01057269404609</v>
      </c>
      <c r="AQ36" s="497">
        <v>200.6121165078786</v>
      </c>
      <c r="AR36" s="497">
        <v>190.64021645906081</v>
      </c>
      <c r="AS36" s="498">
        <v>187.83728438128068</v>
      </c>
    </row>
    <row r="37" spans="1:45" ht="13">
      <c r="A37" s="495" t="s">
        <v>901</v>
      </c>
      <c r="B37" s="496" t="s">
        <v>902</v>
      </c>
      <c r="C37" s="497">
        <v>95.991612127819707</v>
      </c>
      <c r="D37" s="497">
        <v>97.769793541820263</v>
      </c>
      <c r="E37" s="497">
        <v>93.991861982277499</v>
      </c>
      <c r="F37" s="497">
        <v>93.127666473331232</v>
      </c>
      <c r="G37" s="497">
        <v>95.489598702393081</v>
      </c>
      <c r="H37" s="497">
        <v>96.12482520923497</v>
      </c>
      <c r="I37" s="497">
        <v>97.169965682651778</v>
      </c>
      <c r="J37" s="497">
        <v>98.691070242290337</v>
      </c>
      <c r="K37" s="497">
        <v>103.16428880720844</v>
      </c>
      <c r="L37" s="497">
        <v>103.15749662207895</v>
      </c>
      <c r="M37" s="497">
        <v>101.49885135996135</v>
      </c>
      <c r="N37" s="497">
        <v>102.81546878738058</v>
      </c>
      <c r="O37" s="497">
        <v>102.87531564393304</v>
      </c>
      <c r="P37" s="497">
        <v>105.3892756041522</v>
      </c>
      <c r="Q37" s="497">
        <v>107.87487814360374</v>
      </c>
      <c r="R37" s="497">
        <v>113.85305202481281</v>
      </c>
      <c r="S37" s="497">
        <v>123.89510752958465</v>
      </c>
      <c r="T37" s="497">
        <v>127.45427248055512</v>
      </c>
      <c r="U37" s="497">
        <v>130.32691049269496</v>
      </c>
      <c r="V37" s="497">
        <v>132.64233408805097</v>
      </c>
      <c r="W37" s="497">
        <v>131.9051952487784</v>
      </c>
      <c r="X37" s="497">
        <v>130.33580912729244</v>
      </c>
      <c r="Y37" s="497">
        <v>134.35424908193446</v>
      </c>
      <c r="Z37" s="497">
        <v>133.81349475148318</v>
      </c>
      <c r="AA37" s="497">
        <v>139.95808386437812</v>
      </c>
      <c r="AB37" s="497">
        <v>154.02151457259131</v>
      </c>
      <c r="AC37" s="497">
        <v>157.18665579280929</v>
      </c>
      <c r="AD37" s="497">
        <v>155.32647733515932</v>
      </c>
      <c r="AE37" s="497">
        <v>149.57347523805598</v>
      </c>
      <c r="AF37" s="497">
        <v>153.79032026261152</v>
      </c>
      <c r="AG37" s="497">
        <v>150.10232700163493</v>
      </c>
      <c r="AH37" s="497">
        <v>150.16284290702072</v>
      </c>
      <c r="AI37" s="497">
        <v>145.80421583588594</v>
      </c>
      <c r="AJ37" s="497">
        <v>139.19367812111608</v>
      </c>
      <c r="AK37" s="497">
        <v>140.8433229329417</v>
      </c>
      <c r="AL37" s="497">
        <v>144.68005052927174</v>
      </c>
      <c r="AM37" s="497">
        <v>153.18854727823313</v>
      </c>
      <c r="AN37" s="497">
        <v>156.50332320593824</v>
      </c>
      <c r="AO37" s="497">
        <v>160.29994851680038</v>
      </c>
      <c r="AP37" s="497">
        <v>157.99287477441365</v>
      </c>
      <c r="AQ37" s="497">
        <v>153.25598706194359</v>
      </c>
      <c r="AR37" s="497">
        <v>144.47517956047284</v>
      </c>
      <c r="AS37" s="498">
        <v>140.51127783360229</v>
      </c>
    </row>
    <row r="38" spans="1:45" ht="13">
      <c r="A38" s="495" t="s">
        <v>903</v>
      </c>
      <c r="B38" s="496" t="s">
        <v>904</v>
      </c>
      <c r="C38" s="497">
        <v>13.776887664489559</v>
      </c>
      <c r="D38" s="497">
        <v>14.373372134859604</v>
      </c>
      <c r="E38" s="497">
        <v>15.463066215072262</v>
      </c>
      <c r="F38" s="497">
        <v>16.877377257825241</v>
      </c>
      <c r="G38" s="497">
        <v>18.201385992301418</v>
      </c>
      <c r="H38" s="497">
        <v>19.471697776665412</v>
      </c>
      <c r="I38" s="497">
        <v>20.712103432141383</v>
      </c>
      <c r="J38" s="497">
        <v>21.777837690113028</v>
      </c>
      <c r="K38" s="497">
        <v>22.59811124319404</v>
      </c>
      <c r="L38" s="497">
        <v>23.340688677049126</v>
      </c>
      <c r="M38" s="497">
        <v>24.34221458966568</v>
      </c>
      <c r="N38" s="497">
        <v>25.527838680255734</v>
      </c>
      <c r="O38" s="497">
        <v>26.799794311502815</v>
      </c>
      <c r="P38" s="497">
        <v>27.633803959633752</v>
      </c>
      <c r="Q38" s="497">
        <v>28.526759372882033</v>
      </c>
      <c r="R38" s="497">
        <v>29.654170806008025</v>
      </c>
      <c r="S38" s="497">
        <v>30.196647125910339</v>
      </c>
      <c r="T38" s="497">
        <v>31.208805782342115</v>
      </c>
      <c r="U38" s="497">
        <v>32.282983985097708</v>
      </c>
      <c r="V38" s="497">
        <v>33.279854542852078</v>
      </c>
      <c r="W38" s="497">
        <v>34.721322585875086</v>
      </c>
      <c r="X38" s="497">
        <v>37.05430369654168</v>
      </c>
      <c r="Y38" s="497">
        <v>40.345176462159387</v>
      </c>
      <c r="Z38" s="497">
        <v>42.853285565218684</v>
      </c>
      <c r="AA38" s="497">
        <v>43.837327911492501</v>
      </c>
      <c r="AB38" s="497">
        <v>44.022603968737002</v>
      </c>
      <c r="AC38" s="497">
        <v>44.135582026072626</v>
      </c>
      <c r="AD38" s="497">
        <v>44.131861377774996</v>
      </c>
      <c r="AE38" s="497">
        <v>44.322179216038144</v>
      </c>
      <c r="AF38" s="497">
        <v>45.562084790843564</v>
      </c>
      <c r="AG38" s="497">
        <v>46.835055317341933</v>
      </c>
      <c r="AH38" s="497">
        <v>47.023625734024847</v>
      </c>
      <c r="AI38" s="497">
        <v>46.960163033602512</v>
      </c>
      <c r="AJ38" s="497">
        <v>47.230264122387936</v>
      </c>
      <c r="AK38" s="497">
        <v>47.325259539780134</v>
      </c>
      <c r="AL38" s="497">
        <v>47.65424206151431</v>
      </c>
      <c r="AM38" s="497">
        <v>48.33317353976468</v>
      </c>
      <c r="AN38" s="497">
        <v>48.342077943258396</v>
      </c>
      <c r="AO38" s="497">
        <v>48.054340342500339</v>
      </c>
      <c r="AP38" s="497">
        <v>48.017697919632447</v>
      </c>
      <c r="AQ38" s="497">
        <v>47.356129445935018</v>
      </c>
      <c r="AR38" s="497">
        <v>46.165036898587985</v>
      </c>
      <c r="AS38" s="498">
        <v>47.326006547678382</v>
      </c>
    </row>
    <row r="39" spans="1:45" ht="13">
      <c r="A39" s="499"/>
      <c r="B39" s="496"/>
      <c r="C39" s="497"/>
      <c r="D39" s="497"/>
      <c r="E39" s="497"/>
      <c r="F39" s="497"/>
      <c r="G39" s="497"/>
      <c r="H39" s="4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Y39" s="497"/>
      <c r="Z39" s="497"/>
      <c r="AA39" s="497"/>
      <c r="AB39" s="497"/>
      <c r="AC39" s="497"/>
      <c r="AD39" s="497"/>
      <c r="AE39" s="497"/>
      <c r="AF39" s="497"/>
      <c r="AG39" s="497"/>
      <c r="AH39" s="497"/>
      <c r="AI39" s="497"/>
      <c r="AJ39" s="497"/>
      <c r="AK39" s="497"/>
      <c r="AL39" s="497"/>
      <c r="AM39" s="497"/>
      <c r="AN39" s="497"/>
      <c r="AO39" s="497"/>
      <c r="AP39" s="497"/>
      <c r="AQ39" s="497"/>
      <c r="AR39" s="497"/>
      <c r="AS39" s="498"/>
    </row>
    <row r="40" spans="1:45" ht="13">
      <c r="A40" s="495" t="s">
        <v>905</v>
      </c>
      <c r="B40" s="496" t="s">
        <v>906</v>
      </c>
      <c r="C40" s="497">
        <v>23.186103496580451</v>
      </c>
      <c r="D40" s="497">
        <v>24.067855926657909</v>
      </c>
      <c r="E40" s="497">
        <v>24.679946811588728</v>
      </c>
      <c r="F40" s="497">
        <v>25.481660946431727</v>
      </c>
      <c r="G40" s="497">
        <v>26.090697260382079</v>
      </c>
      <c r="H40" s="497">
        <v>26.856326906019461</v>
      </c>
      <c r="I40" s="497">
        <v>28.063608407191758</v>
      </c>
      <c r="J40" s="497">
        <v>28.965827181821219</v>
      </c>
      <c r="K40" s="497">
        <v>30.031538802343999</v>
      </c>
      <c r="L40" s="497">
        <v>30.96827571867837</v>
      </c>
      <c r="M40" s="497">
        <v>32.476233493137158</v>
      </c>
      <c r="N40" s="497">
        <v>34.846753183446808</v>
      </c>
      <c r="O40" s="497">
        <v>37.348124584864323</v>
      </c>
      <c r="P40" s="497">
        <v>39.987205881679138</v>
      </c>
      <c r="Q40" s="497">
        <v>43.33128971383676</v>
      </c>
      <c r="R40" s="497">
        <v>48.35336143578192</v>
      </c>
      <c r="S40" s="497">
        <v>55.648837596888974</v>
      </c>
      <c r="T40" s="497">
        <v>61.938493257800459</v>
      </c>
      <c r="U40" s="497">
        <v>66.323577000227189</v>
      </c>
      <c r="V40" s="497">
        <v>71.272497032658535</v>
      </c>
      <c r="W40" s="497">
        <v>78.391239231315936</v>
      </c>
      <c r="X40" s="497">
        <v>82.879097748456147</v>
      </c>
      <c r="Y40" s="497">
        <v>80.096724433217176</v>
      </c>
      <c r="Z40" s="497">
        <v>75.808937526236477</v>
      </c>
      <c r="AA40" s="497">
        <v>78.636341909077686</v>
      </c>
      <c r="AB40" s="497">
        <v>85.419243528650853</v>
      </c>
      <c r="AC40" s="497">
        <v>90.538244939179862</v>
      </c>
      <c r="AD40" s="497">
        <v>97.842185386196647</v>
      </c>
      <c r="AE40" s="497">
        <v>105.59998940920778</v>
      </c>
      <c r="AF40" s="497">
        <v>119.16633514221516</v>
      </c>
      <c r="AG40" s="497">
        <v>123.0917967415462</v>
      </c>
      <c r="AH40" s="497">
        <v>129.44531105730638</v>
      </c>
      <c r="AI40" s="497">
        <v>127.28034786869237</v>
      </c>
      <c r="AJ40" s="497">
        <v>126.5759761401679</v>
      </c>
      <c r="AK40" s="497">
        <v>129.23881294758891</v>
      </c>
      <c r="AL40" s="497">
        <v>137.82836250264609</v>
      </c>
      <c r="AM40" s="497">
        <v>155.97200465130689</v>
      </c>
      <c r="AN40" s="497">
        <v>162.1067099583048</v>
      </c>
      <c r="AO40" s="497">
        <v>173.87141229183808</v>
      </c>
      <c r="AP40" s="497">
        <v>179.4983732128278</v>
      </c>
      <c r="AQ40" s="497">
        <v>180.98127073992401</v>
      </c>
      <c r="AR40" s="497">
        <v>187.65821333586871</v>
      </c>
      <c r="AS40" s="498">
        <v>200.25446917411563</v>
      </c>
    </row>
    <row r="41" spans="1:45" ht="13">
      <c r="A41" s="495" t="s">
        <v>907</v>
      </c>
      <c r="B41" s="496" t="s">
        <v>908</v>
      </c>
      <c r="C41" s="497">
        <v>10.337105030477087</v>
      </c>
      <c r="D41" s="497">
        <v>10.899135960992091</v>
      </c>
      <c r="E41" s="497">
        <v>11.256799065134906</v>
      </c>
      <c r="F41" s="497">
        <v>11.669984094593385</v>
      </c>
      <c r="G41" s="497">
        <v>11.916122079223912</v>
      </c>
      <c r="H41" s="497">
        <v>12.21209406162615</v>
      </c>
      <c r="I41" s="497">
        <v>12.708993754150072</v>
      </c>
      <c r="J41" s="497">
        <v>13.0952660971694</v>
      </c>
      <c r="K41" s="497">
        <v>13.695902261715515</v>
      </c>
      <c r="L41" s="497">
        <v>14.307050527630279</v>
      </c>
      <c r="M41" s="497">
        <v>14.885949136489897</v>
      </c>
      <c r="N41" s="497">
        <v>15.849177503459055</v>
      </c>
      <c r="O41" s="497">
        <v>17.08932981440902</v>
      </c>
      <c r="P41" s="497">
        <v>18.875159181758555</v>
      </c>
      <c r="Q41" s="497">
        <v>21.084385195716816</v>
      </c>
      <c r="R41" s="497">
        <v>23.035352590815691</v>
      </c>
      <c r="S41" s="497">
        <v>25.172230681889523</v>
      </c>
      <c r="T41" s="497">
        <v>27.295526335088912</v>
      </c>
      <c r="U41" s="497">
        <v>29.285728834573593</v>
      </c>
      <c r="V41" s="497">
        <v>31.588558899051733</v>
      </c>
      <c r="W41" s="497">
        <v>34.961900415839601</v>
      </c>
      <c r="X41" s="497">
        <v>37.504679032054163</v>
      </c>
      <c r="Y41" s="497">
        <v>36.554002013730944</v>
      </c>
      <c r="Z41" s="497">
        <v>36.811699690295711</v>
      </c>
      <c r="AA41" s="497">
        <v>41.729333097310295</v>
      </c>
      <c r="AB41" s="497">
        <v>46.450127342831401</v>
      </c>
      <c r="AC41" s="497">
        <v>49.186649602268638</v>
      </c>
      <c r="AD41" s="497">
        <v>52.220994120369483</v>
      </c>
      <c r="AE41" s="497">
        <v>55.830842569943997</v>
      </c>
      <c r="AF41" s="497">
        <v>63.845549584039709</v>
      </c>
      <c r="AG41" s="497">
        <v>65.332761584144222</v>
      </c>
      <c r="AH41" s="497">
        <v>65.394302550027859</v>
      </c>
      <c r="AI41" s="497">
        <v>64.258181752590446</v>
      </c>
      <c r="AJ41" s="497">
        <v>63.201725514762416</v>
      </c>
      <c r="AK41" s="497">
        <v>62.056145724187765</v>
      </c>
      <c r="AL41" s="497">
        <v>64.281699393346429</v>
      </c>
      <c r="AM41" s="497">
        <v>70.115893260275541</v>
      </c>
      <c r="AN41" s="497">
        <v>68.270497096847237</v>
      </c>
      <c r="AO41" s="497">
        <v>71.468302947127697</v>
      </c>
      <c r="AP41" s="497">
        <v>73.282805338713146</v>
      </c>
      <c r="AQ41" s="497">
        <v>74.17447573205061</v>
      </c>
      <c r="AR41" s="497">
        <v>72.780229031192022</v>
      </c>
      <c r="AS41" s="498">
        <v>73.709396712749864</v>
      </c>
    </row>
    <row r="42" spans="1:45" ht="13">
      <c r="A42" s="495" t="s">
        <v>909</v>
      </c>
      <c r="B42" s="496" t="s">
        <v>910</v>
      </c>
      <c r="C42" s="497">
        <v>5.2033396407544776</v>
      </c>
      <c r="D42" s="497">
        <v>5.5781342877710802</v>
      </c>
      <c r="E42" s="497">
        <v>5.8872844889761096</v>
      </c>
      <c r="F42" s="497">
        <v>6.3301886274537553</v>
      </c>
      <c r="G42" s="497">
        <v>6.7471178999880159</v>
      </c>
      <c r="H42" s="497">
        <v>7.2704656724027377</v>
      </c>
      <c r="I42" s="497">
        <v>8.0341999710922511</v>
      </c>
      <c r="J42" s="497">
        <v>8.5947795059200498</v>
      </c>
      <c r="K42" s="497">
        <v>8.6184185740785857</v>
      </c>
      <c r="L42" s="497">
        <v>8.5892743729806611</v>
      </c>
      <c r="M42" s="497">
        <v>8.5017443727573561</v>
      </c>
      <c r="N42" s="497">
        <v>8.5387670108894795</v>
      </c>
      <c r="O42" s="497">
        <v>8.7701925784922583</v>
      </c>
      <c r="P42" s="497">
        <v>9.1732932048601157</v>
      </c>
      <c r="Q42" s="497">
        <v>9.5926836617161264</v>
      </c>
      <c r="R42" s="497">
        <v>9.9059691775492791</v>
      </c>
      <c r="S42" s="497">
        <v>10.208454197810987</v>
      </c>
      <c r="T42" s="497">
        <v>10.71979313157275</v>
      </c>
      <c r="U42" s="497">
        <v>11.504704448586711</v>
      </c>
      <c r="V42" s="497">
        <v>12.190052547495519</v>
      </c>
      <c r="W42" s="497">
        <v>13.09444833674749</v>
      </c>
      <c r="X42" s="497">
        <v>13.611398367289055</v>
      </c>
      <c r="Y42" s="497">
        <v>13.407781137870487</v>
      </c>
      <c r="Z42" s="497">
        <v>13.299057174289253</v>
      </c>
      <c r="AA42" s="497">
        <v>13.398048868345967</v>
      </c>
      <c r="AB42" s="497">
        <v>13.390339192612567</v>
      </c>
      <c r="AC42" s="497">
        <v>13.428873833936072</v>
      </c>
      <c r="AD42" s="497">
        <v>14.16625416791994</v>
      </c>
      <c r="AE42" s="497">
        <v>15.376075920311006</v>
      </c>
      <c r="AF42" s="497">
        <v>16.944539999406413</v>
      </c>
      <c r="AG42" s="497">
        <v>17.643582917148414</v>
      </c>
      <c r="AH42" s="497">
        <v>19.119142368802805</v>
      </c>
      <c r="AI42" s="497">
        <v>17.141072300474992</v>
      </c>
      <c r="AJ42" s="497">
        <v>16.97760264186617</v>
      </c>
      <c r="AK42" s="497">
        <v>16.471991564057529</v>
      </c>
      <c r="AL42" s="497">
        <v>15.799382844436161</v>
      </c>
      <c r="AM42" s="497">
        <v>17.168656488310837</v>
      </c>
      <c r="AN42" s="497">
        <v>16.895654202869306</v>
      </c>
      <c r="AO42" s="497">
        <v>17.509226476257751</v>
      </c>
      <c r="AP42" s="497">
        <v>18.111961399391774</v>
      </c>
      <c r="AQ42" s="497">
        <v>18.105663886277018</v>
      </c>
      <c r="AR42" s="497">
        <v>17.702459747691819</v>
      </c>
      <c r="AS42" s="498">
        <v>16.858231434711104</v>
      </c>
    </row>
    <row r="43" spans="1:45" ht="13">
      <c r="A43" s="495" t="s">
        <v>911</v>
      </c>
      <c r="B43" s="496" t="s">
        <v>912</v>
      </c>
      <c r="C43" s="497">
        <v>7.6456588253488853</v>
      </c>
      <c r="D43" s="497">
        <v>7.5905856778947403</v>
      </c>
      <c r="E43" s="497">
        <v>7.5358632574777102</v>
      </c>
      <c r="F43" s="497">
        <v>7.4814882243845879</v>
      </c>
      <c r="G43" s="497">
        <v>7.4274572811701489</v>
      </c>
      <c r="H43" s="497">
        <v>7.3737671719905729</v>
      </c>
      <c r="I43" s="497">
        <v>7.3204146819494387</v>
      </c>
      <c r="J43" s="497">
        <v>7.2757815787317659</v>
      </c>
      <c r="K43" s="497">
        <v>7.7172179665498994</v>
      </c>
      <c r="L43" s="497">
        <v>8.0719508180674264</v>
      </c>
      <c r="M43" s="497">
        <v>9.0885399838899055</v>
      </c>
      <c r="N43" s="497">
        <v>10.458808669098271</v>
      </c>
      <c r="O43" s="497">
        <v>11.488602191963047</v>
      </c>
      <c r="P43" s="497">
        <v>11.938753495060467</v>
      </c>
      <c r="Q43" s="497">
        <v>12.654220856403818</v>
      </c>
      <c r="R43" s="497">
        <v>15.412039667416947</v>
      </c>
      <c r="S43" s="497">
        <v>20.268152717188464</v>
      </c>
      <c r="T43" s="497">
        <v>23.923173791138794</v>
      </c>
      <c r="U43" s="497">
        <v>25.533143717066885</v>
      </c>
      <c r="V43" s="497">
        <v>27.493885586111283</v>
      </c>
      <c r="W43" s="497">
        <v>30.334890478728848</v>
      </c>
      <c r="X43" s="497">
        <v>31.763020349112924</v>
      </c>
      <c r="Y43" s="497">
        <v>30.134941281615742</v>
      </c>
      <c r="Z43" s="497">
        <v>25.698180661651516</v>
      </c>
      <c r="AA43" s="497">
        <v>23.50895994342142</v>
      </c>
      <c r="AB43" s="497">
        <v>25.57877699320689</v>
      </c>
      <c r="AC43" s="497">
        <v>27.922721502975151</v>
      </c>
      <c r="AD43" s="497">
        <v>31.454937097907216</v>
      </c>
      <c r="AE43" s="497">
        <v>34.39307091895278</v>
      </c>
      <c r="AF43" s="497">
        <v>38.376245558769035</v>
      </c>
      <c r="AG43" s="497">
        <v>40.115452240253568</v>
      </c>
      <c r="AH43" s="497">
        <v>44.931866138475726</v>
      </c>
      <c r="AI43" s="497">
        <v>45.88109381562694</v>
      </c>
      <c r="AJ43" s="497">
        <v>46.39664798353931</v>
      </c>
      <c r="AK43" s="497">
        <v>50.710675659343622</v>
      </c>
      <c r="AL43" s="497">
        <v>57.747280264863477</v>
      </c>
      <c r="AM43" s="497">
        <v>68.687454902720503</v>
      </c>
      <c r="AN43" s="497">
        <v>76.940558658588259</v>
      </c>
      <c r="AO43" s="497">
        <v>84.893882868452636</v>
      </c>
      <c r="AP43" s="497">
        <v>88.103606474722881</v>
      </c>
      <c r="AQ43" s="497">
        <v>88.701131121596376</v>
      </c>
      <c r="AR43" s="497">
        <v>97.175524556984868</v>
      </c>
      <c r="AS43" s="498">
        <v>109.68684102665465</v>
      </c>
    </row>
    <row r="44" spans="1:45" ht="13">
      <c r="A44" s="499"/>
      <c r="B44" s="496"/>
      <c r="C44" s="497"/>
      <c r="D44" s="497"/>
      <c r="E44" s="497"/>
      <c r="F44" s="497"/>
      <c r="G44" s="497"/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Y44" s="497"/>
      <c r="Z44" s="497"/>
      <c r="AA44" s="497"/>
      <c r="AB44" s="497"/>
      <c r="AC44" s="497"/>
      <c r="AD44" s="497"/>
      <c r="AE44" s="497"/>
      <c r="AF44" s="497"/>
      <c r="AG44" s="497"/>
      <c r="AH44" s="497"/>
      <c r="AI44" s="497"/>
      <c r="AJ44" s="497"/>
      <c r="AK44" s="497"/>
      <c r="AL44" s="497"/>
      <c r="AM44" s="497"/>
      <c r="AN44" s="497"/>
      <c r="AO44" s="497"/>
      <c r="AP44" s="497"/>
      <c r="AQ44" s="497"/>
      <c r="AR44" s="497"/>
      <c r="AS44" s="498"/>
    </row>
    <row r="45" spans="1:45" ht="13">
      <c r="A45" s="495" t="s">
        <v>913</v>
      </c>
      <c r="B45" s="496" t="s">
        <v>914</v>
      </c>
      <c r="C45" s="497">
        <v>517.76611770487727</v>
      </c>
      <c r="D45" s="497">
        <v>513.08354073516671</v>
      </c>
      <c r="E45" s="497">
        <v>511.23754466515334</v>
      </c>
      <c r="F45" s="497">
        <v>513.52372398636942</v>
      </c>
      <c r="G45" s="497">
        <v>517.54695932363813</v>
      </c>
      <c r="H45" s="497">
        <v>525.40593829347927</v>
      </c>
      <c r="I45" s="497">
        <v>528.57692003769557</v>
      </c>
      <c r="J45" s="497">
        <v>529.23582539091228</v>
      </c>
      <c r="K45" s="497">
        <v>526.78597485332853</v>
      </c>
      <c r="L45" s="497">
        <v>532.47679357443417</v>
      </c>
      <c r="M45" s="497">
        <v>546.73493127340373</v>
      </c>
      <c r="N45" s="497">
        <v>555.74726584498899</v>
      </c>
      <c r="O45" s="497">
        <v>567.67597189629339</v>
      </c>
      <c r="P45" s="497">
        <v>592.77388307701415</v>
      </c>
      <c r="Q45" s="497">
        <v>612.37515110006757</v>
      </c>
      <c r="R45" s="497">
        <v>634.06215818560099</v>
      </c>
      <c r="S45" s="497">
        <v>667.04700766650456</v>
      </c>
      <c r="T45" s="497">
        <v>704.88512601585785</v>
      </c>
      <c r="U45" s="497">
        <v>710.80344776344486</v>
      </c>
      <c r="V45" s="497">
        <v>723.76124801168055</v>
      </c>
      <c r="W45" s="497">
        <v>725.42307430151538</v>
      </c>
      <c r="X45" s="497">
        <v>755.0707050332461</v>
      </c>
      <c r="Y45" s="497">
        <v>740.40262295949867</v>
      </c>
      <c r="Z45" s="497">
        <v>736.34952074683258</v>
      </c>
      <c r="AA45" s="497">
        <v>765.05396328613426</v>
      </c>
      <c r="AB45" s="497">
        <v>787.35092819060469</v>
      </c>
      <c r="AC45" s="497">
        <v>818.09231824124322</v>
      </c>
      <c r="AD45" s="497">
        <v>837.10662847390972</v>
      </c>
      <c r="AE45" s="497">
        <v>850.03367576764026</v>
      </c>
      <c r="AF45" s="497">
        <v>861.93971945008138</v>
      </c>
      <c r="AG45" s="497">
        <v>868.0214671987286</v>
      </c>
      <c r="AH45" s="497">
        <v>898.04735292920543</v>
      </c>
      <c r="AI45" s="497">
        <v>914.197231307008</v>
      </c>
      <c r="AJ45" s="497">
        <v>928.51829741969254</v>
      </c>
      <c r="AK45" s="497">
        <v>945.18187154545979</v>
      </c>
      <c r="AL45" s="497">
        <v>979.54599341350172</v>
      </c>
      <c r="AM45" s="497">
        <v>1026.7412494738082</v>
      </c>
      <c r="AN45" s="497">
        <v>1058.8774427520264</v>
      </c>
      <c r="AO45" s="497">
        <v>1088.3308160458018</v>
      </c>
      <c r="AP45" s="497">
        <v>1105.3353581391391</v>
      </c>
      <c r="AQ45" s="497">
        <v>1104.0266469834801</v>
      </c>
      <c r="AR45" s="497">
        <v>1106.4990060083337</v>
      </c>
      <c r="AS45" s="498">
        <v>1093.5105600449335</v>
      </c>
    </row>
    <row r="46" spans="1:45" ht="13">
      <c r="A46" s="495" t="s">
        <v>915</v>
      </c>
      <c r="B46" s="496" t="s">
        <v>916</v>
      </c>
      <c r="C46" s="497">
        <v>142.1716953876051</v>
      </c>
      <c r="D46" s="497">
        <v>141.33390629487826</v>
      </c>
      <c r="E46" s="497">
        <v>138.92476248022564</v>
      </c>
      <c r="F46" s="497">
        <v>139.7083027576569</v>
      </c>
      <c r="G46" s="497">
        <v>140.14214544736896</v>
      </c>
      <c r="H46" s="497">
        <v>142.66211326114964</v>
      </c>
      <c r="I46" s="497">
        <v>141.81351760559355</v>
      </c>
      <c r="J46" s="497">
        <v>142.50412209872735</v>
      </c>
      <c r="K46" s="497">
        <v>142.24523118864769</v>
      </c>
      <c r="L46" s="497">
        <v>145.9054644389972</v>
      </c>
      <c r="M46" s="497">
        <v>153.31508830729814</v>
      </c>
      <c r="N46" s="497">
        <v>159.94627773934209</v>
      </c>
      <c r="O46" s="497">
        <v>169.2007953909563</v>
      </c>
      <c r="P46" s="497">
        <v>190.74527365718575</v>
      </c>
      <c r="Q46" s="497">
        <v>207.24082754529172</v>
      </c>
      <c r="R46" s="497">
        <v>223.75423449038266</v>
      </c>
      <c r="S46" s="497">
        <v>248.50332652509024</v>
      </c>
      <c r="T46" s="497">
        <v>281.13711328727709</v>
      </c>
      <c r="U46" s="497">
        <v>277.49131574369193</v>
      </c>
      <c r="V46" s="497">
        <v>275.24683381666608</v>
      </c>
      <c r="W46" s="497">
        <v>270.01410383551809</v>
      </c>
      <c r="X46" s="497">
        <v>294.10086195825164</v>
      </c>
      <c r="Y46" s="497">
        <v>260.92603867392393</v>
      </c>
      <c r="Z46" s="497">
        <v>243.85563724330038</v>
      </c>
      <c r="AA46" s="497">
        <v>266.99926967268624</v>
      </c>
      <c r="AB46" s="497">
        <v>274.82439856011717</v>
      </c>
      <c r="AC46" s="497">
        <v>288.53574638876108</v>
      </c>
      <c r="AD46" s="497">
        <v>297.03378939156931</v>
      </c>
      <c r="AE46" s="497">
        <v>298.7243246294521</v>
      </c>
      <c r="AF46" s="497">
        <v>293.55751891091865</v>
      </c>
      <c r="AG46" s="497">
        <v>292.61862763698315</v>
      </c>
      <c r="AH46" s="497">
        <v>300.8826294287544</v>
      </c>
      <c r="AI46" s="497">
        <v>308.61450412202515</v>
      </c>
      <c r="AJ46" s="497">
        <v>314.58981421160763</v>
      </c>
      <c r="AK46" s="497">
        <v>319.97635971054422</v>
      </c>
      <c r="AL46" s="497">
        <v>335.18663401945724</v>
      </c>
      <c r="AM46" s="497">
        <v>351.95739328864681</v>
      </c>
      <c r="AN46" s="497">
        <v>354.71335049820073</v>
      </c>
      <c r="AO46" s="497">
        <v>362.92264534750558</v>
      </c>
      <c r="AP46" s="497">
        <v>369.39330311246096</v>
      </c>
      <c r="AQ46" s="497">
        <v>381.93468169456054</v>
      </c>
      <c r="AR46" s="497">
        <v>370.03982113261054</v>
      </c>
      <c r="AS46" s="498">
        <v>352.93274224560503</v>
      </c>
    </row>
    <row r="47" spans="1:45" ht="13">
      <c r="A47" s="495" t="s">
        <v>917</v>
      </c>
      <c r="B47" s="496" t="s">
        <v>918</v>
      </c>
      <c r="C47" s="497">
        <v>7.2534633685844632E-2</v>
      </c>
      <c r="D47" s="497">
        <v>7.6398325671256012E-2</v>
      </c>
      <c r="E47" s="497">
        <v>7.6015306202724384E-2</v>
      </c>
      <c r="F47" s="497">
        <v>7.736877495974756E-2</v>
      </c>
      <c r="G47" s="497">
        <v>7.9942728271368196E-2</v>
      </c>
      <c r="H47" s="497">
        <v>8.0622524002648244E-2</v>
      </c>
      <c r="I47" s="497">
        <v>8.1394322585416304E-2</v>
      </c>
      <c r="J47" s="497">
        <v>8.4225099622731919E-2</v>
      </c>
      <c r="K47" s="497">
        <v>0.10417358358363132</v>
      </c>
      <c r="L47" s="497">
        <v>0.12879810707867154</v>
      </c>
      <c r="M47" s="497">
        <v>0.15815636258317811</v>
      </c>
      <c r="N47" s="497">
        <v>0.19325052912085278</v>
      </c>
      <c r="O47" s="497">
        <v>0.22982399578506107</v>
      </c>
      <c r="P47" s="497">
        <v>0.27868618768160924</v>
      </c>
      <c r="Q47" s="497">
        <v>0.35167500134426322</v>
      </c>
      <c r="R47" s="497">
        <v>0.41813665881730433</v>
      </c>
      <c r="S47" s="497">
        <v>0.48683791562742512</v>
      </c>
      <c r="T47" s="497">
        <v>0.58816615363378788</v>
      </c>
      <c r="U47" s="497">
        <v>0.69026582961325456</v>
      </c>
      <c r="V47" s="497">
        <v>0.80887181171851485</v>
      </c>
      <c r="W47" s="497">
        <v>0.95886212794415737</v>
      </c>
      <c r="X47" s="497">
        <v>1.1095025497905289</v>
      </c>
      <c r="Y47" s="497">
        <v>1.1891370116067697</v>
      </c>
      <c r="Z47" s="497">
        <v>1.3353023737224914</v>
      </c>
      <c r="AA47" s="497">
        <v>1.723084982264921</v>
      </c>
      <c r="AB47" s="497">
        <v>2.2821921441253199</v>
      </c>
      <c r="AC47" s="497">
        <v>5.9090344104468819</v>
      </c>
      <c r="AD47" s="497">
        <v>8.6330010863650433</v>
      </c>
      <c r="AE47" s="497">
        <v>12.257680735807456</v>
      </c>
      <c r="AF47" s="497">
        <v>14.381209411055909</v>
      </c>
      <c r="AG47" s="497">
        <v>15.756049194950631</v>
      </c>
      <c r="AH47" s="497">
        <v>17.383759625384119</v>
      </c>
      <c r="AI47" s="497">
        <v>19.406653793459611</v>
      </c>
      <c r="AJ47" s="497">
        <v>20.694007759681735</v>
      </c>
      <c r="AK47" s="497">
        <v>23.002071681732168</v>
      </c>
      <c r="AL47" s="497">
        <v>25.390364094636297</v>
      </c>
      <c r="AM47" s="497">
        <v>32.2868900423206</v>
      </c>
      <c r="AN47" s="497">
        <v>35.900233914297566</v>
      </c>
      <c r="AO47" s="497">
        <v>42.010115597509916</v>
      </c>
      <c r="AP47" s="497">
        <v>48.397908851619164</v>
      </c>
      <c r="AQ47" s="497">
        <v>49.696290668402874</v>
      </c>
      <c r="AR47" s="497">
        <v>54.765835705935388</v>
      </c>
      <c r="AS47" s="498">
        <v>56.186839295930454</v>
      </c>
    </row>
    <row r="48" spans="1:45" ht="13">
      <c r="A48" s="495" t="s">
        <v>919</v>
      </c>
      <c r="B48" s="496" t="s">
        <v>920</v>
      </c>
      <c r="C48" s="497">
        <v>72.578972943858929</v>
      </c>
      <c r="D48" s="497">
        <v>76.061403441264275</v>
      </c>
      <c r="E48" s="497">
        <v>79.206253263549343</v>
      </c>
      <c r="F48" s="497">
        <v>81.64044971742193</v>
      </c>
      <c r="G48" s="497">
        <v>85.833191491693171</v>
      </c>
      <c r="H48" s="497">
        <v>92.217103421299626</v>
      </c>
      <c r="I48" s="497">
        <v>97.748604004958764</v>
      </c>
      <c r="J48" s="497">
        <v>101.05460204529551</v>
      </c>
      <c r="K48" s="497">
        <v>103.33187018417156</v>
      </c>
      <c r="L48" s="497">
        <v>105.44182086283307</v>
      </c>
      <c r="M48" s="497">
        <v>108.69422782364012</v>
      </c>
      <c r="N48" s="497">
        <v>112.87076481185555</v>
      </c>
      <c r="O48" s="497">
        <v>116.55083105639353</v>
      </c>
      <c r="P48" s="497">
        <v>119.18510904594625</v>
      </c>
      <c r="Q48" s="497">
        <v>122.72957986295724</v>
      </c>
      <c r="R48" s="497">
        <v>129.40673753427183</v>
      </c>
      <c r="S48" s="497">
        <v>137.7999186830088</v>
      </c>
      <c r="T48" s="497">
        <v>143.37252600852028</v>
      </c>
      <c r="U48" s="497">
        <v>150.71882949166763</v>
      </c>
      <c r="V48" s="497">
        <v>159.53560611623107</v>
      </c>
      <c r="W48" s="497">
        <v>168.79605027148799</v>
      </c>
      <c r="X48" s="497">
        <v>185.94984934265963</v>
      </c>
      <c r="Y48" s="497">
        <v>206.78498793201368</v>
      </c>
      <c r="Z48" s="497">
        <v>221.91135713857167</v>
      </c>
      <c r="AA48" s="497">
        <v>230.58125592783304</v>
      </c>
      <c r="AB48" s="497">
        <v>241.04752574562519</v>
      </c>
      <c r="AC48" s="497">
        <v>252.53375576169316</v>
      </c>
      <c r="AD48" s="497">
        <v>258.60661745770489</v>
      </c>
      <c r="AE48" s="497">
        <v>271.21887694873897</v>
      </c>
      <c r="AF48" s="497">
        <v>283.23674862500769</v>
      </c>
      <c r="AG48" s="497">
        <v>290.21750112627973</v>
      </c>
      <c r="AH48" s="497">
        <v>304.00289780752058</v>
      </c>
      <c r="AI48" s="497">
        <v>312.84419021742752</v>
      </c>
      <c r="AJ48" s="497">
        <v>321.00804329018024</v>
      </c>
      <c r="AK48" s="497">
        <v>328.6425566231423</v>
      </c>
      <c r="AL48" s="497">
        <v>341.50609399805239</v>
      </c>
      <c r="AM48" s="497">
        <v>354.23079109988731</v>
      </c>
      <c r="AN48" s="497">
        <v>369.74494322604539</v>
      </c>
      <c r="AO48" s="497">
        <v>387.14480917853729</v>
      </c>
      <c r="AP48" s="497">
        <v>389.9240629719057</v>
      </c>
      <c r="AQ48" s="497">
        <v>375.70012381861477</v>
      </c>
      <c r="AR48" s="497">
        <v>385.24243658854198</v>
      </c>
      <c r="AS48" s="498">
        <v>392.29823790728807</v>
      </c>
    </row>
    <row r="49" spans="1:45" ht="13">
      <c r="A49" s="495" t="s">
        <v>921</v>
      </c>
      <c r="B49" s="496" t="s">
        <v>922</v>
      </c>
      <c r="C49" s="497">
        <v>5.1694675833238239</v>
      </c>
      <c r="D49" s="497">
        <v>5.2960146912533608</v>
      </c>
      <c r="E49" s="497">
        <v>5.2448017767238877</v>
      </c>
      <c r="F49" s="497">
        <v>5.0466653061229163</v>
      </c>
      <c r="G49" s="497">
        <v>5.1797530586076643</v>
      </c>
      <c r="H49" s="497">
        <v>5.8233116862066492</v>
      </c>
      <c r="I49" s="497">
        <v>6.6947372906665841</v>
      </c>
      <c r="J49" s="497">
        <v>7.0643455534820045</v>
      </c>
      <c r="K49" s="497">
        <v>7.1053745586747912</v>
      </c>
      <c r="L49" s="497">
        <v>7.7305076178982777</v>
      </c>
      <c r="M49" s="497">
        <v>8.735164247103123</v>
      </c>
      <c r="N49" s="497">
        <v>9.6100838168603104</v>
      </c>
      <c r="O49" s="497">
        <v>9.0056388241654339</v>
      </c>
      <c r="P49" s="497">
        <v>8.194063578920046</v>
      </c>
      <c r="Q49" s="497">
        <v>8.4662975899677679</v>
      </c>
      <c r="R49" s="497">
        <v>9.1691270469250092</v>
      </c>
      <c r="S49" s="497">
        <v>9.878212196156051</v>
      </c>
      <c r="T49" s="497">
        <v>10.336852829171519</v>
      </c>
      <c r="U49" s="497">
        <v>11.174505285066385</v>
      </c>
      <c r="V49" s="497">
        <v>11.9028020514756</v>
      </c>
      <c r="W49" s="497">
        <v>12.829922611019498</v>
      </c>
      <c r="X49" s="497">
        <v>13.52721871368969</v>
      </c>
      <c r="Y49" s="497">
        <v>14.65519411580593</v>
      </c>
      <c r="Z49" s="497">
        <v>15.999358244284842</v>
      </c>
      <c r="AA49" s="497">
        <v>16.657369984924841</v>
      </c>
      <c r="AB49" s="497">
        <v>17.686875320295151</v>
      </c>
      <c r="AC49" s="497">
        <v>18.550977436848861</v>
      </c>
      <c r="AD49" s="497">
        <v>18.979820822727628</v>
      </c>
      <c r="AE49" s="497">
        <v>19.60868246802842</v>
      </c>
      <c r="AF49" s="497">
        <v>20.547554482288017</v>
      </c>
      <c r="AG49" s="497">
        <v>20.571731556123812</v>
      </c>
      <c r="AH49" s="497">
        <v>21.912116432666899</v>
      </c>
      <c r="AI49" s="497">
        <v>22.345178545868372</v>
      </c>
      <c r="AJ49" s="497">
        <v>23.474389599618256</v>
      </c>
      <c r="AK49" s="497">
        <v>24.203836765316307</v>
      </c>
      <c r="AL49" s="497">
        <v>24.098142975642766</v>
      </c>
      <c r="AM49" s="497">
        <v>26.752430751216465</v>
      </c>
      <c r="AN49" s="497">
        <v>27.942076107672605</v>
      </c>
      <c r="AO49" s="497">
        <v>29.135593416317217</v>
      </c>
      <c r="AP49" s="497">
        <v>29.49053495120679</v>
      </c>
      <c r="AQ49" s="497">
        <v>29.374359529277939</v>
      </c>
      <c r="AR49" s="497">
        <v>29.986535712264665</v>
      </c>
      <c r="AS49" s="498">
        <v>28.969575465057765</v>
      </c>
    </row>
    <row r="50" spans="1:45" ht="13">
      <c r="A50" s="495" t="s">
        <v>923</v>
      </c>
      <c r="B50" s="496" t="s">
        <v>924</v>
      </c>
      <c r="C50" s="497">
        <v>296.91060494037509</v>
      </c>
      <c r="D50" s="497">
        <v>289.45660653239798</v>
      </c>
      <c r="E50" s="497">
        <v>286.94496427684953</v>
      </c>
      <c r="F50" s="497">
        <v>286.20707406677627</v>
      </c>
      <c r="G50" s="497">
        <v>285.45931733516341</v>
      </c>
      <c r="H50" s="497">
        <v>283.75114219755181</v>
      </c>
      <c r="I50" s="497">
        <v>281.37164027277373</v>
      </c>
      <c r="J50" s="497">
        <v>277.65497752416849</v>
      </c>
      <c r="K50" s="497">
        <v>273.10896440452899</v>
      </c>
      <c r="L50" s="497">
        <v>272.35169088670909</v>
      </c>
      <c r="M50" s="497">
        <v>274.89186220376661</v>
      </c>
      <c r="N50" s="497">
        <v>272.1768481055725</v>
      </c>
      <c r="O50" s="497">
        <v>271.72858794674107</v>
      </c>
      <c r="P50" s="497">
        <v>273.35503662797424</v>
      </c>
      <c r="Q50" s="497">
        <v>272.52978262756551</v>
      </c>
      <c r="R50" s="497">
        <v>270.28276502988501</v>
      </c>
      <c r="S50" s="497">
        <v>269.34732634732512</v>
      </c>
      <c r="T50" s="497">
        <v>268.40304903296294</v>
      </c>
      <c r="U50" s="497">
        <v>269.68148741089698</v>
      </c>
      <c r="V50" s="497">
        <v>275.22091621271886</v>
      </c>
      <c r="W50" s="497">
        <v>271.76086615963669</v>
      </c>
      <c r="X50" s="497">
        <v>259.22502577025159</v>
      </c>
      <c r="Y50" s="497">
        <v>255.49848177438628</v>
      </c>
      <c r="Z50" s="497">
        <v>251.732523342051</v>
      </c>
      <c r="AA50" s="497">
        <v>247.39648931136998</v>
      </c>
      <c r="AB50" s="497">
        <v>249.74958856907</v>
      </c>
      <c r="AC50" s="497">
        <v>250.72081636151708</v>
      </c>
      <c r="AD50" s="497">
        <v>251.96879710358206</v>
      </c>
      <c r="AE50" s="497">
        <v>246.35311098561328</v>
      </c>
      <c r="AF50" s="497">
        <v>248.35244864390913</v>
      </c>
      <c r="AG50" s="497">
        <v>246.96705871064341</v>
      </c>
      <c r="AH50" s="497">
        <v>251.92552727351497</v>
      </c>
      <c r="AI50" s="497">
        <v>249.00364005139855</v>
      </c>
      <c r="AJ50" s="497">
        <v>246.7526831705369</v>
      </c>
      <c r="AK50" s="497">
        <v>247.3396485938402</v>
      </c>
      <c r="AL50" s="497">
        <v>251.23214192015988</v>
      </c>
      <c r="AM50" s="497">
        <v>259.25151004391864</v>
      </c>
      <c r="AN50" s="497">
        <v>268.26239704522573</v>
      </c>
      <c r="AO50" s="497">
        <v>264.75665250593175</v>
      </c>
      <c r="AP50" s="497">
        <v>265.70103213428996</v>
      </c>
      <c r="AQ50" s="497">
        <v>264.81176366672634</v>
      </c>
      <c r="AR50" s="497">
        <v>264.12620924523458</v>
      </c>
      <c r="AS50" s="498">
        <v>260.9445695724919</v>
      </c>
    </row>
    <row r="51" spans="1:45" ht="13">
      <c r="A51" s="495" t="s">
        <v>925</v>
      </c>
      <c r="B51" s="496" t="s">
        <v>926</v>
      </c>
      <c r="C51" s="497">
        <v>0.86284221602857059</v>
      </c>
      <c r="D51" s="497">
        <v>0.85921144970156149</v>
      </c>
      <c r="E51" s="497">
        <v>0.84074756160227726</v>
      </c>
      <c r="F51" s="497">
        <v>0.84386336343166557</v>
      </c>
      <c r="G51" s="497">
        <v>0.8526092625335322</v>
      </c>
      <c r="H51" s="497">
        <v>0.87164520326878459</v>
      </c>
      <c r="I51" s="497">
        <v>0.86702654111753474</v>
      </c>
      <c r="J51" s="497">
        <v>0.87355306961611889</v>
      </c>
      <c r="K51" s="497">
        <v>0.89036093372195868</v>
      </c>
      <c r="L51" s="497">
        <v>0.9185116609177888</v>
      </c>
      <c r="M51" s="497">
        <v>0.94043232901255003</v>
      </c>
      <c r="N51" s="497">
        <v>0.95004084223772933</v>
      </c>
      <c r="O51" s="497">
        <v>0.96029468225191406</v>
      </c>
      <c r="P51" s="497">
        <v>1.0157139793063146</v>
      </c>
      <c r="Q51" s="497">
        <v>1.0569884729410268</v>
      </c>
      <c r="R51" s="497">
        <v>1.0311574253191542</v>
      </c>
      <c r="S51" s="497">
        <v>1.0313859992969885</v>
      </c>
      <c r="T51" s="497">
        <v>1.0474187042923788</v>
      </c>
      <c r="U51" s="497">
        <v>1.0470440025086898</v>
      </c>
      <c r="V51" s="497">
        <v>1.0462180028704349</v>
      </c>
      <c r="W51" s="497">
        <v>1.0632692959089987</v>
      </c>
      <c r="X51" s="497">
        <v>1.1582466986029691</v>
      </c>
      <c r="Y51" s="497">
        <v>1.3487834517621191</v>
      </c>
      <c r="Z51" s="497">
        <v>1.5153424049021678</v>
      </c>
      <c r="AA51" s="497">
        <v>1.6964934070553352</v>
      </c>
      <c r="AB51" s="497">
        <v>1.7603478513720139</v>
      </c>
      <c r="AC51" s="497">
        <v>1.841987881976153</v>
      </c>
      <c r="AD51" s="497">
        <v>1.8846026119608987</v>
      </c>
      <c r="AE51" s="497">
        <v>1.8710000000000002</v>
      </c>
      <c r="AF51" s="497">
        <v>1.8642393769020127</v>
      </c>
      <c r="AG51" s="497">
        <v>1.890498973747879</v>
      </c>
      <c r="AH51" s="497">
        <v>1.9404223613644167</v>
      </c>
      <c r="AI51" s="497">
        <v>1.9830645768288815</v>
      </c>
      <c r="AJ51" s="497">
        <v>1.9993593880677365</v>
      </c>
      <c r="AK51" s="497">
        <v>2.0173981708846291</v>
      </c>
      <c r="AL51" s="497">
        <v>2.1326164055530898</v>
      </c>
      <c r="AM51" s="497">
        <v>2.2622342478185544</v>
      </c>
      <c r="AN51" s="497">
        <v>2.3144419605843791</v>
      </c>
      <c r="AO51" s="497">
        <v>2.3610000000000002</v>
      </c>
      <c r="AP51" s="497">
        <v>2.4285161176564083</v>
      </c>
      <c r="AQ51" s="497">
        <v>2.5094276058975429</v>
      </c>
      <c r="AR51" s="497">
        <v>2.3381676237466049</v>
      </c>
      <c r="AS51" s="498">
        <v>2.1785955585602403</v>
      </c>
    </row>
    <row r="52" spans="1:45" ht="13">
      <c r="A52" s="499"/>
      <c r="B52" s="496"/>
      <c r="C52" s="497"/>
      <c r="D52" s="497"/>
      <c r="E52" s="497"/>
      <c r="F52" s="497"/>
      <c r="G52" s="497"/>
      <c r="H52" s="497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Y52" s="497"/>
      <c r="Z52" s="497"/>
      <c r="AA52" s="497"/>
      <c r="AB52" s="497"/>
      <c r="AC52" s="497"/>
      <c r="AD52" s="497"/>
      <c r="AE52" s="497"/>
      <c r="AF52" s="497"/>
      <c r="AG52" s="497"/>
      <c r="AH52" s="497"/>
      <c r="AI52" s="497"/>
      <c r="AJ52" s="497"/>
      <c r="AK52" s="497"/>
      <c r="AL52" s="497"/>
      <c r="AM52" s="497"/>
      <c r="AN52" s="497"/>
      <c r="AO52" s="497"/>
      <c r="AP52" s="497"/>
      <c r="AQ52" s="497"/>
      <c r="AR52" s="497"/>
      <c r="AS52" s="498"/>
    </row>
    <row r="53" spans="1:45" ht="13.5" thickBot="1">
      <c r="A53" s="500"/>
      <c r="B53" s="501" t="s">
        <v>32</v>
      </c>
      <c r="C53" s="502">
        <v>3143.5571585738403</v>
      </c>
      <c r="D53" s="502">
        <v>3121.5063197070622</v>
      </c>
      <c r="E53" s="502">
        <v>3150.297086224783</v>
      </c>
      <c r="F53" s="502">
        <v>3198.9569190247712</v>
      </c>
      <c r="G53" s="502">
        <v>3233.2326236796725</v>
      </c>
      <c r="H53" s="502">
        <v>3265.1598051026676</v>
      </c>
      <c r="I53" s="502">
        <v>3278.7501554844775</v>
      </c>
      <c r="J53" s="502">
        <v>3309.0246366686465</v>
      </c>
      <c r="K53" s="502">
        <v>3294.5363490046102</v>
      </c>
      <c r="L53" s="502">
        <v>3298.8133718254576</v>
      </c>
      <c r="M53" s="502">
        <v>3317.5586264844947</v>
      </c>
      <c r="N53" s="502">
        <v>3358.8886588714399</v>
      </c>
      <c r="O53" s="502">
        <v>3440.3044350009654</v>
      </c>
      <c r="P53" s="502">
        <v>3517.7220181181383</v>
      </c>
      <c r="Q53" s="502">
        <v>3535.0334505453975</v>
      </c>
      <c r="R53" s="502">
        <v>3549.5860199446847</v>
      </c>
      <c r="S53" s="502">
        <v>3599.4432547554175</v>
      </c>
      <c r="T53" s="502">
        <v>3637.1608442905017</v>
      </c>
      <c r="U53" s="502">
        <v>3681.7773496162799</v>
      </c>
      <c r="V53" s="502">
        <v>3747.8051543207271</v>
      </c>
      <c r="W53" s="502">
        <v>3796.3140922045891</v>
      </c>
      <c r="X53" s="502">
        <v>3780.8565805787166</v>
      </c>
      <c r="Y53" s="502">
        <v>3695.5750482145777</v>
      </c>
      <c r="Z53" s="502">
        <v>3624.444170062</v>
      </c>
      <c r="AA53" s="502">
        <v>3671.929118929027</v>
      </c>
      <c r="AB53" s="502">
        <v>3769.9763136149181</v>
      </c>
      <c r="AC53" s="502">
        <v>3862.3908806114218</v>
      </c>
      <c r="AD53" s="502">
        <v>3943.683840552269</v>
      </c>
      <c r="AE53" s="502">
        <v>3939.4634982189282</v>
      </c>
      <c r="AF53" s="502">
        <v>3965.2666150632504</v>
      </c>
      <c r="AG53" s="502">
        <v>3878.768736690904</v>
      </c>
      <c r="AH53" s="502">
        <v>3937.3200149633776</v>
      </c>
      <c r="AI53" s="502">
        <v>3932.2044308997156</v>
      </c>
      <c r="AJ53" s="502">
        <v>3899.9772821431238</v>
      </c>
      <c r="AK53" s="502">
        <v>4006.9319157822206</v>
      </c>
      <c r="AL53" s="502">
        <v>4096.1539579867685</v>
      </c>
      <c r="AM53" s="502">
        <v>4236.1436680880706</v>
      </c>
      <c r="AN53" s="502">
        <v>4279.2336383420634</v>
      </c>
      <c r="AO53" s="502">
        <v>4335.1782652831216</v>
      </c>
      <c r="AP53" s="502">
        <v>4359.5981208248249</v>
      </c>
      <c r="AQ53" s="502">
        <v>4295.1594808557093</v>
      </c>
      <c r="AR53" s="502">
        <v>4293.0521409327284</v>
      </c>
      <c r="AS53" s="503">
        <v>4315.4184989014984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A630-4A56-4855-8BAB-1F1FC4F8400A}">
  <dimension ref="A1:AS5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R8" sqref="AR8"/>
    </sheetView>
  </sheetViews>
  <sheetFormatPr defaultRowHeight="12.5"/>
  <cols>
    <col min="1" max="1" width="8.7265625" style="485"/>
    <col min="2" max="2" width="45.54296875" style="485" customWidth="1"/>
    <col min="3" max="257" width="8.7265625" style="485"/>
    <col min="258" max="258" width="45.54296875" style="485" customWidth="1"/>
    <col min="259" max="513" width="8.7265625" style="485"/>
    <col min="514" max="514" width="45.54296875" style="485" customWidth="1"/>
    <col min="515" max="769" width="8.7265625" style="485"/>
    <col min="770" max="770" width="45.54296875" style="485" customWidth="1"/>
    <col min="771" max="1025" width="8.7265625" style="485"/>
    <col min="1026" max="1026" width="45.54296875" style="485" customWidth="1"/>
    <col min="1027" max="1281" width="8.7265625" style="485"/>
    <col min="1282" max="1282" width="45.54296875" style="485" customWidth="1"/>
    <col min="1283" max="1537" width="8.7265625" style="485"/>
    <col min="1538" max="1538" width="45.54296875" style="485" customWidth="1"/>
    <col min="1539" max="1793" width="8.7265625" style="485"/>
    <col min="1794" max="1794" width="45.54296875" style="485" customWidth="1"/>
    <col min="1795" max="2049" width="8.7265625" style="485"/>
    <col min="2050" max="2050" width="45.54296875" style="485" customWidth="1"/>
    <col min="2051" max="2305" width="8.7265625" style="485"/>
    <col min="2306" max="2306" width="45.54296875" style="485" customWidth="1"/>
    <col min="2307" max="2561" width="8.7265625" style="485"/>
    <col min="2562" max="2562" width="45.54296875" style="485" customWidth="1"/>
    <col min="2563" max="2817" width="8.7265625" style="485"/>
    <col min="2818" max="2818" width="45.54296875" style="485" customWidth="1"/>
    <col min="2819" max="3073" width="8.7265625" style="485"/>
    <col min="3074" max="3074" width="45.54296875" style="485" customWidth="1"/>
    <col min="3075" max="3329" width="8.7265625" style="485"/>
    <col min="3330" max="3330" width="45.54296875" style="485" customWidth="1"/>
    <col min="3331" max="3585" width="8.7265625" style="485"/>
    <col min="3586" max="3586" width="45.54296875" style="485" customWidth="1"/>
    <col min="3587" max="3841" width="8.7265625" style="485"/>
    <col min="3842" max="3842" width="45.54296875" style="485" customWidth="1"/>
    <col min="3843" max="4097" width="8.7265625" style="485"/>
    <col min="4098" max="4098" width="45.54296875" style="485" customWidth="1"/>
    <col min="4099" max="4353" width="8.7265625" style="485"/>
    <col min="4354" max="4354" width="45.54296875" style="485" customWidth="1"/>
    <col min="4355" max="4609" width="8.7265625" style="485"/>
    <col min="4610" max="4610" width="45.54296875" style="485" customWidth="1"/>
    <col min="4611" max="4865" width="8.7265625" style="485"/>
    <col min="4866" max="4866" width="45.54296875" style="485" customWidth="1"/>
    <col min="4867" max="5121" width="8.7265625" style="485"/>
    <col min="5122" max="5122" width="45.54296875" style="485" customWidth="1"/>
    <col min="5123" max="5377" width="8.7265625" style="485"/>
    <col min="5378" max="5378" width="45.54296875" style="485" customWidth="1"/>
    <col min="5379" max="5633" width="8.7265625" style="485"/>
    <col min="5634" max="5634" width="45.54296875" style="485" customWidth="1"/>
    <col min="5635" max="5889" width="8.7265625" style="485"/>
    <col min="5890" max="5890" width="45.54296875" style="485" customWidth="1"/>
    <col min="5891" max="6145" width="8.7265625" style="485"/>
    <col min="6146" max="6146" width="45.54296875" style="485" customWidth="1"/>
    <col min="6147" max="6401" width="8.7265625" style="485"/>
    <col min="6402" max="6402" width="45.54296875" style="485" customWidth="1"/>
    <col min="6403" max="6657" width="8.7265625" style="485"/>
    <col min="6658" max="6658" width="45.54296875" style="485" customWidth="1"/>
    <col min="6659" max="6913" width="8.7265625" style="485"/>
    <col min="6914" max="6914" width="45.54296875" style="485" customWidth="1"/>
    <col min="6915" max="7169" width="8.7265625" style="485"/>
    <col min="7170" max="7170" width="45.54296875" style="485" customWidth="1"/>
    <col min="7171" max="7425" width="8.7265625" style="485"/>
    <col min="7426" max="7426" width="45.54296875" style="485" customWidth="1"/>
    <col min="7427" max="7681" width="8.7265625" style="485"/>
    <col min="7682" max="7682" width="45.54296875" style="485" customWidth="1"/>
    <col min="7683" max="7937" width="8.7265625" style="485"/>
    <col min="7938" max="7938" width="45.54296875" style="485" customWidth="1"/>
    <col min="7939" max="8193" width="8.7265625" style="485"/>
    <col min="8194" max="8194" width="45.54296875" style="485" customWidth="1"/>
    <col min="8195" max="8449" width="8.7265625" style="485"/>
    <col min="8450" max="8450" width="45.54296875" style="485" customWidth="1"/>
    <col min="8451" max="8705" width="8.7265625" style="485"/>
    <col min="8706" max="8706" width="45.54296875" style="485" customWidth="1"/>
    <col min="8707" max="8961" width="8.7265625" style="485"/>
    <col min="8962" max="8962" width="45.54296875" style="485" customWidth="1"/>
    <col min="8963" max="9217" width="8.7265625" style="485"/>
    <col min="9218" max="9218" width="45.54296875" style="485" customWidth="1"/>
    <col min="9219" max="9473" width="8.7265625" style="485"/>
    <col min="9474" max="9474" width="45.54296875" style="485" customWidth="1"/>
    <col min="9475" max="9729" width="8.7265625" style="485"/>
    <col min="9730" max="9730" width="45.54296875" style="485" customWidth="1"/>
    <col min="9731" max="9985" width="8.7265625" style="485"/>
    <col min="9986" max="9986" width="45.54296875" style="485" customWidth="1"/>
    <col min="9987" max="10241" width="8.7265625" style="485"/>
    <col min="10242" max="10242" width="45.54296875" style="485" customWidth="1"/>
    <col min="10243" max="10497" width="8.7265625" style="485"/>
    <col min="10498" max="10498" width="45.54296875" style="485" customWidth="1"/>
    <col min="10499" max="10753" width="8.7265625" style="485"/>
    <col min="10754" max="10754" width="45.54296875" style="485" customWidth="1"/>
    <col min="10755" max="11009" width="8.7265625" style="485"/>
    <col min="11010" max="11010" width="45.54296875" style="485" customWidth="1"/>
    <col min="11011" max="11265" width="8.7265625" style="485"/>
    <col min="11266" max="11266" width="45.54296875" style="485" customWidth="1"/>
    <col min="11267" max="11521" width="8.7265625" style="485"/>
    <col min="11522" max="11522" width="45.54296875" style="485" customWidth="1"/>
    <col min="11523" max="11777" width="8.7265625" style="485"/>
    <col min="11778" max="11778" width="45.54296875" style="485" customWidth="1"/>
    <col min="11779" max="12033" width="8.7265625" style="485"/>
    <col min="12034" max="12034" width="45.54296875" style="485" customWidth="1"/>
    <col min="12035" max="12289" width="8.7265625" style="485"/>
    <col min="12290" max="12290" width="45.54296875" style="485" customWidth="1"/>
    <col min="12291" max="12545" width="8.7265625" style="485"/>
    <col min="12546" max="12546" width="45.54296875" style="485" customWidth="1"/>
    <col min="12547" max="12801" width="8.7265625" style="485"/>
    <col min="12802" max="12802" width="45.54296875" style="485" customWidth="1"/>
    <col min="12803" max="13057" width="8.7265625" style="485"/>
    <col min="13058" max="13058" width="45.54296875" style="485" customWidth="1"/>
    <col min="13059" max="13313" width="8.7265625" style="485"/>
    <col min="13314" max="13314" width="45.54296875" style="485" customWidth="1"/>
    <col min="13315" max="13569" width="8.7265625" style="485"/>
    <col min="13570" max="13570" width="45.54296875" style="485" customWidth="1"/>
    <col min="13571" max="13825" width="8.7265625" style="485"/>
    <col min="13826" max="13826" width="45.54296875" style="485" customWidth="1"/>
    <col min="13827" max="14081" width="8.7265625" style="485"/>
    <col min="14082" max="14082" width="45.54296875" style="485" customWidth="1"/>
    <col min="14083" max="14337" width="8.7265625" style="485"/>
    <col min="14338" max="14338" width="45.54296875" style="485" customWidth="1"/>
    <col min="14339" max="14593" width="8.7265625" style="485"/>
    <col min="14594" max="14594" width="45.54296875" style="485" customWidth="1"/>
    <col min="14595" max="14849" width="8.7265625" style="485"/>
    <col min="14850" max="14850" width="45.54296875" style="485" customWidth="1"/>
    <col min="14851" max="15105" width="8.7265625" style="485"/>
    <col min="15106" max="15106" width="45.54296875" style="485" customWidth="1"/>
    <col min="15107" max="15361" width="8.7265625" style="485"/>
    <col min="15362" max="15362" width="45.54296875" style="485" customWidth="1"/>
    <col min="15363" max="15617" width="8.7265625" style="485"/>
    <col min="15618" max="15618" width="45.54296875" style="485" customWidth="1"/>
    <col min="15619" max="15873" width="8.7265625" style="485"/>
    <col min="15874" max="15874" width="45.54296875" style="485" customWidth="1"/>
    <col min="15875" max="16129" width="8.7265625" style="485"/>
    <col min="16130" max="16130" width="45.54296875" style="485" customWidth="1"/>
    <col min="16131" max="16384" width="8.7265625" style="485"/>
  </cols>
  <sheetData>
    <row r="1" spans="1:45" ht="13">
      <c r="A1" s="322" t="s">
        <v>927</v>
      </c>
      <c r="B1" s="323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</row>
    <row r="2" spans="1:45" ht="13">
      <c r="A2" s="323" t="s">
        <v>845</v>
      </c>
      <c r="B2" s="323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J2" s="504"/>
      <c r="AK2" s="504"/>
      <c r="AL2" s="504"/>
      <c r="AM2" s="504"/>
      <c r="AN2" s="504"/>
      <c r="AO2" s="504"/>
      <c r="AP2" s="504"/>
      <c r="AQ2" s="504"/>
    </row>
    <row r="3" spans="1:45" ht="13.5" thickBot="1">
      <c r="B3" s="323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J3" s="504"/>
      <c r="AK3" s="504"/>
      <c r="AL3" s="504"/>
      <c r="AM3" s="504"/>
      <c r="AN3" s="504"/>
      <c r="AO3" s="504"/>
      <c r="AP3" s="504"/>
      <c r="AQ3" s="504"/>
    </row>
    <row r="4" spans="1:45" ht="13.5" thickBot="1">
      <c r="A4" s="505" t="s">
        <v>854</v>
      </c>
      <c r="B4" s="494"/>
      <c r="C4" s="486">
        <v>1953</v>
      </c>
      <c r="D4" s="486">
        <v>1954</v>
      </c>
      <c r="E4" s="486">
        <v>1955</v>
      </c>
      <c r="F4" s="486">
        <v>1956</v>
      </c>
      <c r="G4" s="486">
        <v>1957</v>
      </c>
      <c r="H4" s="486">
        <v>1958</v>
      </c>
      <c r="I4" s="486">
        <v>1959</v>
      </c>
      <c r="J4" s="486">
        <v>1960</v>
      </c>
      <c r="K4" s="486">
        <v>1961</v>
      </c>
      <c r="L4" s="486">
        <v>1962</v>
      </c>
      <c r="M4" s="486">
        <v>1963</v>
      </c>
      <c r="N4" s="486">
        <v>1964</v>
      </c>
      <c r="O4" s="486">
        <v>1965</v>
      </c>
      <c r="P4" s="486">
        <v>1966</v>
      </c>
      <c r="Q4" s="486">
        <v>1967</v>
      </c>
      <c r="R4" s="486">
        <v>1968</v>
      </c>
      <c r="S4" s="486">
        <v>1969</v>
      </c>
      <c r="T4" s="486">
        <v>1970</v>
      </c>
      <c r="U4" s="486">
        <v>1971</v>
      </c>
      <c r="V4" s="486">
        <v>1972</v>
      </c>
      <c r="W4" s="486">
        <v>1973</v>
      </c>
      <c r="X4" s="486">
        <v>1974</v>
      </c>
      <c r="Y4" s="486">
        <v>1975</v>
      </c>
      <c r="Z4" s="486">
        <v>1976</v>
      </c>
      <c r="AA4" s="486">
        <v>1977</v>
      </c>
      <c r="AB4" s="486">
        <v>1978</v>
      </c>
      <c r="AC4" s="486">
        <v>1979</v>
      </c>
      <c r="AD4" s="486">
        <v>1980</v>
      </c>
      <c r="AE4" s="486">
        <v>1981</v>
      </c>
      <c r="AF4" s="486">
        <v>1982</v>
      </c>
      <c r="AG4" s="486">
        <v>1983</v>
      </c>
      <c r="AH4" s="486">
        <v>1984</v>
      </c>
      <c r="AI4" s="486">
        <v>1985</v>
      </c>
      <c r="AJ4" s="486">
        <v>1986</v>
      </c>
      <c r="AK4" s="486">
        <v>1987</v>
      </c>
      <c r="AL4" s="486">
        <v>1988</v>
      </c>
      <c r="AM4" s="486">
        <v>1989</v>
      </c>
      <c r="AN4" s="486">
        <v>1990</v>
      </c>
      <c r="AO4" s="486">
        <v>1991</v>
      </c>
      <c r="AP4" s="486">
        <v>1992</v>
      </c>
      <c r="AQ4" s="486">
        <v>1993</v>
      </c>
      <c r="AR4" s="486">
        <v>1994</v>
      </c>
      <c r="AS4" s="326">
        <v>1995</v>
      </c>
    </row>
    <row r="5" spans="1:45" ht="13">
      <c r="A5" s="506" t="s">
        <v>347</v>
      </c>
      <c r="B5" s="496" t="s">
        <v>855</v>
      </c>
      <c r="C5" s="497">
        <v>929.54293547286602</v>
      </c>
      <c r="D5" s="497">
        <v>920.42960689322206</v>
      </c>
      <c r="E5" s="497">
        <v>910.94485898236064</v>
      </c>
      <c r="F5" s="497">
        <v>902.06324406967769</v>
      </c>
      <c r="G5" s="497">
        <v>892.46655388686952</v>
      </c>
      <c r="H5" s="497">
        <v>884.93462356477664</v>
      </c>
      <c r="I5" s="497">
        <v>877.09369523228099</v>
      </c>
      <c r="J5" s="497">
        <v>853.40163103070131</v>
      </c>
      <c r="K5" s="497">
        <v>809.25404988800005</v>
      </c>
      <c r="L5" s="497">
        <v>770.44693740446098</v>
      </c>
      <c r="M5" s="497">
        <v>737.01083747358382</v>
      </c>
      <c r="N5" s="497">
        <v>704.07122421715951</v>
      </c>
      <c r="O5" s="497">
        <v>670.03539634539879</v>
      </c>
      <c r="P5" s="497">
        <v>633.41015947146548</v>
      </c>
      <c r="Q5" s="497">
        <v>598.04309719793343</v>
      </c>
      <c r="R5" s="497">
        <v>566.97539758672099</v>
      </c>
      <c r="S5" s="497">
        <v>535.33845605172633</v>
      </c>
      <c r="T5" s="497">
        <v>503.93630098416094</v>
      </c>
      <c r="U5" s="497">
        <v>475.0743398127828</v>
      </c>
      <c r="V5" s="497">
        <v>448.77214184668742</v>
      </c>
      <c r="W5" s="497">
        <v>425.28660587688847</v>
      </c>
      <c r="X5" s="497">
        <v>406.90662171877335</v>
      </c>
      <c r="Y5" s="497">
        <v>399.44129931680459</v>
      </c>
      <c r="Z5" s="497">
        <v>370.88208885750174</v>
      </c>
      <c r="AA5" s="497">
        <v>334.24667856942642</v>
      </c>
      <c r="AB5" s="497">
        <v>321.04726090458217</v>
      </c>
      <c r="AC5" s="497">
        <v>308.457819921956</v>
      </c>
      <c r="AD5" s="497">
        <v>297.33935195333049</v>
      </c>
      <c r="AE5" s="497">
        <v>273.32735726892912</v>
      </c>
      <c r="AF5" s="497">
        <v>244.106524789274</v>
      </c>
      <c r="AG5" s="497">
        <v>230.79275686385392</v>
      </c>
      <c r="AH5" s="497">
        <v>235.49502580890262</v>
      </c>
      <c r="AI5" s="497">
        <v>237.2256084586445</v>
      </c>
      <c r="AJ5" s="497">
        <v>222.92792487749756</v>
      </c>
      <c r="AK5" s="497">
        <v>221.42127983283547</v>
      </c>
      <c r="AL5" s="497">
        <v>217.85674272784519</v>
      </c>
      <c r="AM5" s="497">
        <v>207.01216957374146</v>
      </c>
      <c r="AN5" s="497">
        <v>206.00213929694883</v>
      </c>
      <c r="AO5" s="497">
        <v>196.21392736097295</v>
      </c>
      <c r="AP5" s="497">
        <v>207.69494905422215</v>
      </c>
      <c r="AQ5" s="497">
        <v>184.37781464733499</v>
      </c>
      <c r="AR5" s="497">
        <v>176.99837980909143</v>
      </c>
      <c r="AS5" s="498">
        <v>171.61603276017991</v>
      </c>
    </row>
    <row r="6" spans="1:45" ht="13">
      <c r="A6" s="507" t="s">
        <v>856</v>
      </c>
      <c r="B6" s="496" t="s">
        <v>857</v>
      </c>
      <c r="C6" s="497">
        <v>894.643115798032</v>
      </c>
      <c r="D6" s="497">
        <v>885.19439536785751</v>
      </c>
      <c r="E6" s="497">
        <v>876.36606660394625</v>
      </c>
      <c r="F6" s="497">
        <v>867.39481676819503</v>
      </c>
      <c r="G6" s="497">
        <v>857.52343908492014</v>
      </c>
      <c r="H6" s="497">
        <v>848.28390917694935</v>
      </c>
      <c r="I6" s="497">
        <v>838.77808363974373</v>
      </c>
      <c r="J6" s="497">
        <v>815.128931879231</v>
      </c>
      <c r="K6" s="497">
        <v>769.07830190840252</v>
      </c>
      <c r="L6" s="497">
        <v>730.29706083463009</v>
      </c>
      <c r="M6" s="497">
        <v>697.42809408688242</v>
      </c>
      <c r="N6" s="497">
        <v>664.05375640167813</v>
      </c>
      <c r="O6" s="497">
        <v>629.33789028860065</v>
      </c>
      <c r="P6" s="497">
        <v>594.08234972093192</v>
      </c>
      <c r="Q6" s="497">
        <v>561.07438688627326</v>
      </c>
      <c r="R6" s="497">
        <v>531.00916009579873</v>
      </c>
      <c r="S6" s="497">
        <v>500.81969223001823</v>
      </c>
      <c r="T6" s="497">
        <v>469.93474617129078</v>
      </c>
      <c r="U6" s="497">
        <v>441.31686902474064</v>
      </c>
      <c r="V6" s="497">
        <v>416.61060239882977</v>
      </c>
      <c r="W6" s="497">
        <v>394.44712667825542</v>
      </c>
      <c r="X6" s="497">
        <v>376.20549613163325</v>
      </c>
      <c r="Y6" s="497">
        <v>368.46289680723532</v>
      </c>
      <c r="Z6" s="497">
        <v>342.40759672278517</v>
      </c>
      <c r="AA6" s="497">
        <v>308.02595371581123</v>
      </c>
      <c r="AB6" s="497">
        <v>295.01883741963599</v>
      </c>
      <c r="AC6" s="497">
        <v>283.51203770295302</v>
      </c>
      <c r="AD6" s="497">
        <v>272.79246544350008</v>
      </c>
      <c r="AE6" s="497">
        <v>249.45250939849626</v>
      </c>
      <c r="AF6" s="497">
        <v>221.60874512338833</v>
      </c>
      <c r="AG6" s="497">
        <v>209.99378772882866</v>
      </c>
      <c r="AH6" s="497">
        <v>214.75571692599092</v>
      </c>
      <c r="AI6" s="497">
        <v>216.66032691811867</v>
      </c>
      <c r="AJ6" s="497">
        <v>203.13210413088447</v>
      </c>
      <c r="AK6" s="497">
        <v>203.195913190277</v>
      </c>
      <c r="AL6" s="497">
        <v>200.61965933509458</v>
      </c>
      <c r="AM6" s="497">
        <v>187.150162741548</v>
      </c>
      <c r="AN6" s="497">
        <v>185.60071760205781</v>
      </c>
      <c r="AO6" s="497">
        <v>177.31395723434551</v>
      </c>
      <c r="AP6" s="497">
        <v>191.63590402122767</v>
      </c>
      <c r="AQ6" s="497">
        <v>169.74085630691525</v>
      </c>
      <c r="AR6" s="497">
        <v>161.65850074924245</v>
      </c>
      <c r="AS6" s="498">
        <v>153.06765304247796</v>
      </c>
    </row>
    <row r="7" spans="1:45" ht="13">
      <c r="A7" s="506" t="s">
        <v>858</v>
      </c>
      <c r="B7" s="496" t="s">
        <v>859</v>
      </c>
      <c r="C7" s="497">
        <v>34.899819674834006</v>
      </c>
      <c r="D7" s="497">
        <v>35.235211525364527</v>
      </c>
      <c r="E7" s="497">
        <v>34.57879237841437</v>
      </c>
      <c r="F7" s="497">
        <v>34.668427301482673</v>
      </c>
      <c r="G7" s="497">
        <v>34.943114801949328</v>
      </c>
      <c r="H7" s="497">
        <v>36.65071438782725</v>
      </c>
      <c r="I7" s="497">
        <v>38.315611592537223</v>
      </c>
      <c r="J7" s="497">
        <v>38.272699151470292</v>
      </c>
      <c r="K7" s="497">
        <v>40.175747979597496</v>
      </c>
      <c r="L7" s="497">
        <v>40.149876569830845</v>
      </c>
      <c r="M7" s="497">
        <v>39.582743386701374</v>
      </c>
      <c r="N7" s="497">
        <v>40.017467815481368</v>
      </c>
      <c r="O7" s="497">
        <v>40.697506056798183</v>
      </c>
      <c r="P7" s="497">
        <v>39.327809750533532</v>
      </c>
      <c r="Q7" s="497">
        <v>36.968710311660203</v>
      </c>
      <c r="R7" s="497">
        <v>35.966237490922232</v>
      </c>
      <c r="S7" s="497">
        <v>34.518763821708063</v>
      </c>
      <c r="T7" s="497">
        <v>34.001554812870133</v>
      </c>
      <c r="U7" s="497">
        <v>33.75747078804217</v>
      </c>
      <c r="V7" s="497">
        <v>32.161539447857656</v>
      </c>
      <c r="W7" s="497">
        <v>30.83947919863304</v>
      </c>
      <c r="X7" s="497">
        <v>30.701125587140076</v>
      </c>
      <c r="Y7" s="497">
        <v>30.978402509569261</v>
      </c>
      <c r="Z7" s="497">
        <v>28.474492134716545</v>
      </c>
      <c r="AA7" s="497">
        <v>26.220724853615224</v>
      </c>
      <c r="AB7" s="497">
        <v>26.028423484946185</v>
      </c>
      <c r="AC7" s="497">
        <v>24.945782219003</v>
      </c>
      <c r="AD7" s="497">
        <v>24.546886509830429</v>
      </c>
      <c r="AE7" s="497">
        <v>23.874847870432866</v>
      </c>
      <c r="AF7" s="497">
        <v>22.497779665885663</v>
      </c>
      <c r="AG7" s="497">
        <v>20.798969135025246</v>
      </c>
      <c r="AH7" s="497">
        <v>20.739308882911708</v>
      </c>
      <c r="AI7" s="497">
        <v>20.565281540525831</v>
      </c>
      <c r="AJ7" s="497">
        <v>19.795820746613096</v>
      </c>
      <c r="AK7" s="497">
        <v>18.225366642558484</v>
      </c>
      <c r="AL7" s="497">
        <v>17.237083392750616</v>
      </c>
      <c r="AM7" s="497">
        <v>19.862006832193469</v>
      </c>
      <c r="AN7" s="497">
        <v>20.401421694891017</v>
      </c>
      <c r="AO7" s="497">
        <v>18.899970126627434</v>
      </c>
      <c r="AP7" s="497">
        <v>16.059045032994472</v>
      </c>
      <c r="AQ7" s="497">
        <v>14.636958340419728</v>
      </c>
      <c r="AR7" s="497">
        <v>15.339879059848995</v>
      </c>
      <c r="AS7" s="498">
        <v>18.548379717701934</v>
      </c>
    </row>
    <row r="8" spans="1:45" ht="13">
      <c r="A8" s="507"/>
      <c r="B8" s="496"/>
      <c r="C8" s="497"/>
      <c r="D8" s="497"/>
      <c r="E8" s="497"/>
      <c r="F8" s="497"/>
      <c r="G8" s="497"/>
      <c r="H8" s="497"/>
      <c r="I8" s="497"/>
      <c r="J8" s="497"/>
      <c r="K8" s="497"/>
      <c r="L8" s="497"/>
      <c r="M8" s="497"/>
      <c r="N8" s="497"/>
      <c r="O8" s="497"/>
      <c r="P8" s="497"/>
      <c r="Q8" s="497"/>
      <c r="R8" s="497"/>
      <c r="S8" s="497"/>
      <c r="T8" s="497"/>
      <c r="U8" s="497"/>
      <c r="V8" s="497"/>
      <c r="W8" s="497"/>
      <c r="X8" s="497"/>
      <c r="Y8" s="497"/>
      <c r="Z8" s="497"/>
      <c r="AA8" s="497"/>
      <c r="AB8" s="497"/>
      <c r="AC8" s="497"/>
      <c r="AD8" s="497"/>
      <c r="AE8" s="497"/>
      <c r="AF8" s="497"/>
      <c r="AG8" s="497"/>
      <c r="AH8" s="497"/>
      <c r="AI8" s="497"/>
      <c r="AJ8" s="497"/>
      <c r="AK8" s="497"/>
      <c r="AL8" s="497"/>
      <c r="AM8" s="497"/>
      <c r="AN8" s="497"/>
      <c r="AO8" s="497"/>
      <c r="AP8" s="497"/>
      <c r="AQ8" s="497"/>
      <c r="AR8" s="497"/>
      <c r="AS8" s="498"/>
    </row>
    <row r="9" spans="1:45" ht="13">
      <c r="A9" s="506" t="s">
        <v>348</v>
      </c>
      <c r="B9" s="496" t="s">
        <v>860</v>
      </c>
      <c r="C9" s="497">
        <v>28.957712461644597</v>
      </c>
      <c r="D9" s="497">
        <v>27.410735446080409</v>
      </c>
      <c r="E9" s="497">
        <v>27.143465836203607</v>
      </c>
      <c r="F9" s="497">
        <v>29.904353876286137</v>
      </c>
      <c r="G9" s="497">
        <v>30.796842008919825</v>
      </c>
      <c r="H9" s="497">
        <v>28.19633989825703</v>
      </c>
      <c r="I9" s="497">
        <v>25.559439341294887</v>
      </c>
      <c r="J9" s="497">
        <v>24.752771744036117</v>
      </c>
      <c r="K9" s="497">
        <v>21.788124769434251</v>
      </c>
      <c r="L9" s="497">
        <v>18.58833917498233</v>
      </c>
      <c r="M9" s="497">
        <v>18.694831725101949</v>
      </c>
      <c r="N9" s="497">
        <v>18.411024153793598</v>
      </c>
      <c r="O9" s="497">
        <v>17.489281344571804</v>
      </c>
      <c r="P9" s="497">
        <v>17.936541676239109</v>
      </c>
      <c r="Q9" s="497">
        <v>17.945975526649857</v>
      </c>
      <c r="R9" s="497">
        <v>17.292304510976251</v>
      </c>
      <c r="S9" s="497">
        <v>17.553007102555206</v>
      </c>
      <c r="T9" s="497">
        <v>16.892782735859484</v>
      </c>
      <c r="U9" s="497">
        <v>15.933010051951252</v>
      </c>
      <c r="V9" s="497">
        <v>16.08002983654757</v>
      </c>
      <c r="W9" s="497">
        <v>17.408939607632021</v>
      </c>
      <c r="X9" s="497">
        <v>17.289389525252421</v>
      </c>
      <c r="Y9" s="497">
        <v>15.827882725782189</v>
      </c>
      <c r="Z9" s="497">
        <v>14.255090462181904</v>
      </c>
      <c r="AA9" s="497">
        <v>14.031608221552272</v>
      </c>
      <c r="AB9" s="497">
        <v>15.016486898471488</v>
      </c>
      <c r="AC9" s="497">
        <v>16.19693331917107</v>
      </c>
      <c r="AD9" s="497">
        <v>17.156888214305837</v>
      </c>
      <c r="AE9" s="497">
        <v>16.475571755179054</v>
      </c>
      <c r="AF9" s="497">
        <v>16.639056742945193</v>
      </c>
      <c r="AG9" s="497">
        <v>15.748577061834606</v>
      </c>
      <c r="AH9" s="497">
        <v>15.64388268970948</v>
      </c>
      <c r="AI9" s="497">
        <v>15.19850827568729</v>
      </c>
      <c r="AJ9" s="497">
        <v>14.730464368475204</v>
      </c>
      <c r="AK9" s="497">
        <v>13.93251520327696</v>
      </c>
      <c r="AL9" s="497">
        <v>14.198694245124745</v>
      </c>
      <c r="AM9" s="497">
        <v>15.717270473169801</v>
      </c>
      <c r="AN9" s="497">
        <v>16.288099712529302</v>
      </c>
      <c r="AO9" s="497">
        <v>16.112034207839447</v>
      </c>
      <c r="AP9" s="497">
        <v>15.100999999999999</v>
      </c>
      <c r="AQ9" s="497">
        <v>14.183878991596638</v>
      </c>
      <c r="AR9" s="497">
        <v>13.509950735595467</v>
      </c>
      <c r="AS9" s="498">
        <v>12.905161800881105</v>
      </c>
    </row>
    <row r="10" spans="1:45" ht="13">
      <c r="A10" s="506" t="s">
        <v>861</v>
      </c>
      <c r="B10" s="496" t="s">
        <v>862</v>
      </c>
      <c r="C10" s="487" t="s">
        <v>640</v>
      </c>
      <c r="D10" s="487" t="s">
        <v>640</v>
      </c>
      <c r="E10" s="487" t="s">
        <v>640</v>
      </c>
      <c r="F10" s="487" t="s">
        <v>640</v>
      </c>
      <c r="G10" s="487" t="s">
        <v>640</v>
      </c>
      <c r="H10" s="487" t="s">
        <v>640</v>
      </c>
      <c r="I10" s="487" t="s">
        <v>640</v>
      </c>
      <c r="J10" s="487">
        <v>5.069</v>
      </c>
      <c r="K10" s="487">
        <v>4.5487674130219071</v>
      </c>
      <c r="L10" s="487">
        <v>3.8990983998415354</v>
      </c>
      <c r="M10" s="487">
        <v>3.7492628144932532</v>
      </c>
      <c r="N10" s="487">
        <v>3.7586735338659079</v>
      </c>
      <c r="O10" s="487">
        <v>3.6196504675907488</v>
      </c>
      <c r="P10" s="487">
        <v>3.4076880429907965</v>
      </c>
      <c r="Q10" s="487">
        <v>3.0250811081250739</v>
      </c>
      <c r="R10" s="487">
        <v>2.6038576256322434</v>
      </c>
      <c r="S10" s="487">
        <v>2.3158409471886503</v>
      </c>
      <c r="T10" s="487">
        <v>1.8963812573090524</v>
      </c>
      <c r="U10" s="487">
        <v>1.4409401731814786</v>
      </c>
      <c r="V10" s="487">
        <v>1.3511353595107454</v>
      </c>
      <c r="W10" s="487">
        <v>1.2594980516208585</v>
      </c>
      <c r="X10" s="487">
        <v>1.160595734020375</v>
      </c>
      <c r="Y10" s="487">
        <v>1.1285293499715527</v>
      </c>
      <c r="Z10" s="487">
        <v>1.1350062855901288</v>
      </c>
      <c r="AA10" s="487">
        <v>1.1266795500315678</v>
      </c>
      <c r="AB10" s="487">
        <v>1.1479260326578584</v>
      </c>
      <c r="AC10" s="487">
        <v>1.1730750633910132</v>
      </c>
      <c r="AD10" s="487">
        <v>1.1514549493706394</v>
      </c>
      <c r="AE10" s="487">
        <v>1.1470706444127199</v>
      </c>
      <c r="AF10" s="487">
        <v>1.1627286790564879</v>
      </c>
      <c r="AG10" s="487">
        <v>1.1669280390615779</v>
      </c>
      <c r="AH10" s="487">
        <v>1.1585293190513972</v>
      </c>
      <c r="AI10" s="487">
        <v>1.1484014508038265</v>
      </c>
      <c r="AJ10" s="487">
        <v>1.143955069621966</v>
      </c>
      <c r="AK10" s="487">
        <v>1.0579917001059989</v>
      </c>
      <c r="AL10" s="487">
        <v>0.99327215179225326</v>
      </c>
      <c r="AM10" s="487">
        <v>0.94806727644333955</v>
      </c>
      <c r="AN10" s="487">
        <v>0.9157075022864668</v>
      </c>
      <c r="AO10" s="487">
        <v>0.82973420783944396</v>
      </c>
      <c r="AP10" s="487">
        <v>0.71825000000000006</v>
      </c>
      <c r="AQ10" s="487">
        <v>0.62708823529411761</v>
      </c>
      <c r="AR10" s="487">
        <v>0.54768033791995474</v>
      </c>
      <c r="AS10" s="488">
        <v>0.18781114505536314</v>
      </c>
    </row>
    <row r="11" spans="1:45" ht="13">
      <c r="A11" s="506" t="s">
        <v>863</v>
      </c>
      <c r="B11" s="496" t="s">
        <v>864</v>
      </c>
      <c r="C11" s="487" t="s">
        <v>640</v>
      </c>
      <c r="D11" s="487" t="s">
        <v>640</v>
      </c>
      <c r="E11" s="487" t="s">
        <v>640</v>
      </c>
      <c r="F11" s="487" t="s">
        <v>640</v>
      </c>
      <c r="G11" s="487" t="s">
        <v>640</v>
      </c>
      <c r="H11" s="487" t="s">
        <v>640</v>
      </c>
      <c r="I11" s="487" t="s">
        <v>640</v>
      </c>
      <c r="J11" s="487">
        <v>0</v>
      </c>
      <c r="K11" s="487">
        <v>0</v>
      </c>
      <c r="L11" s="487">
        <v>0</v>
      </c>
      <c r="M11" s="487">
        <v>0</v>
      </c>
      <c r="N11" s="487">
        <v>0</v>
      </c>
      <c r="O11" s="487">
        <v>0</v>
      </c>
      <c r="P11" s="487">
        <v>0</v>
      </c>
      <c r="Q11" s="487">
        <v>0</v>
      </c>
      <c r="R11" s="487">
        <v>0</v>
      </c>
      <c r="S11" s="487">
        <v>0</v>
      </c>
      <c r="T11" s="487">
        <v>0</v>
      </c>
      <c r="U11" s="487">
        <v>0</v>
      </c>
      <c r="V11" s="487">
        <v>0</v>
      </c>
      <c r="W11" s="487">
        <v>0</v>
      </c>
      <c r="X11" s="487">
        <v>0</v>
      </c>
      <c r="Y11" s="487">
        <v>0</v>
      </c>
      <c r="Z11" s="487">
        <v>0</v>
      </c>
      <c r="AA11" s="487">
        <v>0</v>
      </c>
      <c r="AB11" s="487">
        <v>0</v>
      </c>
      <c r="AC11" s="487">
        <v>0</v>
      </c>
      <c r="AD11" s="487">
        <v>0</v>
      </c>
      <c r="AE11" s="487">
        <v>0.16126274780120395</v>
      </c>
      <c r="AF11" s="487">
        <v>0.19625075430981812</v>
      </c>
      <c r="AG11" s="487">
        <v>0.15067244485855347</v>
      </c>
      <c r="AH11" s="487">
        <v>0.10534235908101072</v>
      </c>
      <c r="AI11" s="487">
        <v>9.7862741233917167E-2</v>
      </c>
      <c r="AJ11" s="487">
        <v>0.1438927143639393</v>
      </c>
      <c r="AK11" s="487">
        <v>0.17726870814325207</v>
      </c>
      <c r="AL11" s="487">
        <v>0.12537424333901601</v>
      </c>
      <c r="AM11" s="487">
        <v>0.1137621809727624</v>
      </c>
      <c r="AN11" s="487">
        <v>0.1270328090783156</v>
      </c>
      <c r="AO11" s="487">
        <v>0.12329999999999999</v>
      </c>
      <c r="AP11" s="487">
        <v>0.10800000000000001</v>
      </c>
      <c r="AQ11" s="487">
        <v>8.413109243697478E-2</v>
      </c>
      <c r="AR11" s="487">
        <v>0.10896002459520393</v>
      </c>
      <c r="AS11" s="488">
        <v>9.6032564050010233E-2</v>
      </c>
    </row>
    <row r="12" spans="1:45" ht="13">
      <c r="A12" s="506" t="s">
        <v>865</v>
      </c>
      <c r="B12" s="496" t="s">
        <v>866</v>
      </c>
      <c r="C12" s="487" t="s">
        <v>640</v>
      </c>
      <c r="D12" s="487" t="s">
        <v>640</v>
      </c>
      <c r="E12" s="487" t="s">
        <v>640</v>
      </c>
      <c r="F12" s="487" t="s">
        <v>640</v>
      </c>
      <c r="G12" s="487" t="s">
        <v>640</v>
      </c>
      <c r="H12" s="487" t="s">
        <v>640</v>
      </c>
      <c r="I12" s="487" t="s">
        <v>640</v>
      </c>
      <c r="J12" s="487">
        <v>8.9285066748257993</v>
      </c>
      <c r="K12" s="487">
        <v>8.4991905996079709</v>
      </c>
      <c r="L12" s="487">
        <v>7.5319575818658775</v>
      </c>
      <c r="M12" s="487">
        <v>7.1098289318319416</v>
      </c>
      <c r="N12" s="487">
        <v>6.5557933781471514</v>
      </c>
      <c r="O12" s="487">
        <v>5.7389487812090287</v>
      </c>
      <c r="P12" s="487">
        <v>5.4639701383731714</v>
      </c>
      <c r="Q12" s="487">
        <v>5.193936622350364</v>
      </c>
      <c r="R12" s="487">
        <v>4.5868287485670223</v>
      </c>
      <c r="S12" s="487">
        <v>4.1532577140993086</v>
      </c>
      <c r="T12" s="487">
        <v>4.2307189320048932</v>
      </c>
      <c r="U12" s="487">
        <v>4.2559698209080539</v>
      </c>
      <c r="V12" s="487">
        <v>3.8787360268633253</v>
      </c>
      <c r="W12" s="487">
        <v>4.1338605640634585</v>
      </c>
      <c r="X12" s="487">
        <v>4.1745415108708759</v>
      </c>
      <c r="Y12" s="487">
        <v>3.9979139030489947</v>
      </c>
      <c r="Z12" s="487">
        <v>4.0944759229279519</v>
      </c>
      <c r="AA12" s="487">
        <v>3.9796778340210519</v>
      </c>
      <c r="AB12" s="487">
        <v>4.1412997271938297</v>
      </c>
      <c r="AC12" s="487">
        <v>5.1336633739562645</v>
      </c>
      <c r="AD12" s="487">
        <v>5.483643652681347</v>
      </c>
      <c r="AE12" s="487">
        <v>4.8726474812644645</v>
      </c>
      <c r="AF12" s="487">
        <v>4.9753974920400328</v>
      </c>
      <c r="AG12" s="487">
        <v>4.5395604140995554</v>
      </c>
      <c r="AH12" s="487">
        <v>4.3140467165440315</v>
      </c>
      <c r="AI12" s="487">
        <v>4.2065023996840196</v>
      </c>
      <c r="AJ12" s="487">
        <v>3.4313808046469019</v>
      </c>
      <c r="AK12" s="487">
        <v>2.3446661916552016</v>
      </c>
      <c r="AL12" s="487">
        <v>1.9461206418471741</v>
      </c>
      <c r="AM12" s="487">
        <v>2.7818683718132124</v>
      </c>
      <c r="AN12" s="487">
        <v>2.8729921892420611</v>
      </c>
      <c r="AO12" s="487">
        <v>2.7882500000000001</v>
      </c>
      <c r="AP12" s="487">
        <v>2.3294999999999999</v>
      </c>
      <c r="AQ12" s="487">
        <v>1.7322825630252097</v>
      </c>
      <c r="AR12" s="487">
        <v>1.3322818537496528</v>
      </c>
      <c r="AS12" s="488">
        <v>1.3300190609259317</v>
      </c>
    </row>
    <row r="13" spans="1:45" ht="13">
      <c r="A13" s="506" t="s">
        <v>867</v>
      </c>
      <c r="B13" s="496" t="s">
        <v>868</v>
      </c>
      <c r="C13" s="487" t="s">
        <v>640</v>
      </c>
      <c r="D13" s="487" t="s">
        <v>640</v>
      </c>
      <c r="E13" s="487" t="s">
        <v>640</v>
      </c>
      <c r="F13" s="487" t="s">
        <v>640</v>
      </c>
      <c r="G13" s="487" t="s">
        <v>640</v>
      </c>
      <c r="H13" s="487" t="s">
        <v>640</v>
      </c>
      <c r="I13" s="487" t="s">
        <v>640</v>
      </c>
      <c r="J13" s="487">
        <v>10.755265069210315</v>
      </c>
      <c r="K13" s="487">
        <v>8.7401667568043742</v>
      </c>
      <c r="L13" s="487">
        <v>7.1572831932749175</v>
      </c>
      <c r="M13" s="487">
        <v>7.8357399787767532</v>
      </c>
      <c r="N13" s="487">
        <v>8.0965572417805394</v>
      </c>
      <c r="O13" s="487">
        <v>8.1306820957720269</v>
      </c>
      <c r="P13" s="487">
        <v>9.0648834948751418</v>
      </c>
      <c r="Q13" s="487">
        <v>9.7269577961744194</v>
      </c>
      <c r="R13" s="487">
        <v>10.101618136776986</v>
      </c>
      <c r="S13" s="487">
        <v>11.083908441267246</v>
      </c>
      <c r="T13" s="487">
        <v>10.765682546545539</v>
      </c>
      <c r="U13" s="487">
        <v>10.236100057861719</v>
      </c>
      <c r="V13" s="487">
        <v>10.850158450173499</v>
      </c>
      <c r="W13" s="487">
        <v>12.015580991947703</v>
      </c>
      <c r="X13" s="487">
        <v>11.954252280361169</v>
      </c>
      <c r="Y13" s="487">
        <v>10.701439472761642</v>
      </c>
      <c r="Z13" s="487">
        <v>9.0256082536638225</v>
      </c>
      <c r="AA13" s="487">
        <v>8.925250837499652</v>
      </c>
      <c r="AB13" s="487">
        <v>9.7272611386198005</v>
      </c>
      <c r="AC13" s="487">
        <v>9.8901948818237919</v>
      </c>
      <c r="AD13" s="487">
        <v>10.521789612253853</v>
      </c>
      <c r="AE13" s="487">
        <v>10.294590881700667</v>
      </c>
      <c r="AF13" s="487">
        <v>10.304679817538855</v>
      </c>
      <c r="AG13" s="487">
        <v>9.8914161638149203</v>
      </c>
      <c r="AH13" s="487">
        <v>10.065964295033041</v>
      </c>
      <c r="AI13" s="487">
        <v>9.7457416839655266</v>
      </c>
      <c r="AJ13" s="487">
        <v>10.011235779842396</v>
      </c>
      <c r="AK13" s="487">
        <v>10.352588603372507</v>
      </c>
      <c r="AL13" s="487">
        <v>11.133927208146302</v>
      </c>
      <c r="AM13" s="487">
        <v>11.873572643940486</v>
      </c>
      <c r="AN13" s="487">
        <v>12.372367211922459</v>
      </c>
      <c r="AO13" s="487">
        <v>12.370750000000001</v>
      </c>
      <c r="AP13" s="487">
        <v>11.94525</v>
      </c>
      <c r="AQ13" s="487">
        <v>11.740377100840336</v>
      </c>
      <c r="AR13" s="487">
        <v>11.521028519330656</v>
      </c>
      <c r="AS13" s="488">
        <v>11.2912990308498</v>
      </c>
    </row>
    <row r="14" spans="1:45" ht="13">
      <c r="A14" s="507"/>
      <c r="B14" s="496"/>
      <c r="C14" s="497"/>
      <c r="D14" s="497"/>
      <c r="E14" s="497"/>
      <c r="F14" s="497"/>
      <c r="G14" s="497"/>
      <c r="H14" s="497"/>
      <c r="I14" s="497"/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  <c r="V14" s="497"/>
      <c r="W14" s="497"/>
      <c r="X14" s="497"/>
      <c r="Y14" s="497"/>
      <c r="Z14" s="497"/>
      <c r="AA14" s="497"/>
      <c r="AB14" s="497"/>
      <c r="AC14" s="497"/>
      <c r="AD14" s="497"/>
      <c r="AE14" s="497"/>
      <c r="AF14" s="497"/>
      <c r="AG14" s="497"/>
      <c r="AH14" s="497"/>
      <c r="AI14" s="497"/>
      <c r="AJ14" s="497"/>
      <c r="AK14" s="497"/>
      <c r="AL14" s="497"/>
      <c r="AM14" s="497"/>
      <c r="AN14" s="497"/>
      <c r="AO14" s="497"/>
      <c r="AP14" s="497"/>
      <c r="AQ14" s="497"/>
      <c r="AR14" s="497"/>
      <c r="AS14" s="498"/>
    </row>
    <row r="15" spans="1:45" ht="13">
      <c r="A15" s="506" t="s">
        <v>296</v>
      </c>
      <c r="B15" s="496" t="s">
        <v>869</v>
      </c>
      <c r="C15" s="497">
        <v>477.89037634796381</v>
      </c>
      <c r="D15" s="497">
        <v>477.61438453061032</v>
      </c>
      <c r="E15" s="497">
        <v>495.68623360367752</v>
      </c>
      <c r="F15" s="497">
        <v>515.34946238459668</v>
      </c>
      <c r="G15" s="497">
        <v>530.90627014224594</v>
      </c>
      <c r="H15" s="497">
        <v>536.66593021180438</v>
      </c>
      <c r="I15" s="497">
        <v>548.21834078694781</v>
      </c>
      <c r="J15" s="497">
        <v>568.86512745814844</v>
      </c>
      <c r="K15" s="497">
        <v>588.484641612357</v>
      </c>
      <c r="L15" s="497">
        <v>614.89384838494152</v>
      </c>
      <c r="M15" s="497">
        <v>640.29716292876333</v>
      </c>
      <c r="N15" s="497">
        <v>674.7760228337587</v>
      </c>
      <c r="O15" s="497">
        <v>722.73832746945936</v>
      </c>
      <c r="P15" s="497">
        <v>768.70063420817928</v>
      </c>
      <c r="Q15" s="497">
        <v>782.47916179142283</v>
      </c>
      <c r="R15" s="497">
        <v>785.25762242232486</v>
      </c>
      <c r="S15" s="497">
        <v>801.9830850855069</v>
      </c>
      <c r="T15" s="497">
        <v>808.96246841017364</v>
      </c>
      <c r="U15" s="497">
        <v>826.12105729917687</v>
      </c>
      <c r="V15" s="497">
        <v>849.66894419128334</v>
      </c>
      <c r="W15" s="497">
        <v>877.54913995170273</v>
      </c>
      <c r="X15" s="497">
        <v>872.85332136387979</v>
      </c>
      <c r="Y15" s="497">
        <v>845.84090228453351</v>
      </c>
      <c r="Z15" s="497">
        <v>818.66724579274478</v>
      </c>
      <c r="AA15" s="497">
        <v>837.15070327624403</v>
      </c>
      <c r="AB15" s="497">
        <v>878.44800579134471</v>
      </c>
      <c r="AC15" s="497">
        <v>905.39107112871375</v>
      </c>
      <c r="AD15" s="497">
        <v>930.04041257418123</v>
      </c>
      <c r="AE15" s="497">
        <v>911.71278867866329</v>
      </c>
      <c r="AF15" s="497">
        <v>920.84861994947516</v>
      </c>
      <c r="AG15" s="497">
        <v>900.11698595218058</v>
      </c>
      <c r="AH15" s="497">
        <v>918.448696193763</v>
      </c>
      <c r="AI15" s="497">
        <v>912.93781553383701</v>
      </c>
      <c r="AJ15" s="497">
        <v>910.20766363758094</v>
      </c>
      <c r="AK15" s="497">
        <v>926.09509710320299</v>
      </c>
      <c r="AL15" s="497">
        <v>947.2901212427638</v>
      </c>
      <c r="AM15" s="497">
        <v>992.15631643300321</v>
      </c>
      <c r="AN15" s="497">
        <v>995.12057321282509</v>
      </c>
      <c r="AO15" s="497">
        <v>970.20256394533169</v>
      </c>
      <c r="AP15" s="497">
        <v>946.61486686388162</v>
      </c>
      <c r="AQ15" s="497">
        <v>898.07294375556864</v>
      </c>
      <c r="AR15" s="497">
        <v>863.1572497559531</v>
      </c>
      <c r="AS15" s="498">
        <v>860.31931449695571</v>
      </c>
    </row>
    <row r="16" spans="1:45" ht="13">
      <c r="A16" s="506" t="s">
        <v>870</v>
      </c>
      <c r="B16" s="496" t="s">
        <v>871</v>
      </c>
      <c r="C16" s="497">
        <v>57.747743889388026</v>
      </c>
      <c r="D16" s="497">
        <v>61.505767764060636</v>
      </c>
      <c r="E16" s="497">
        <v>63.085727037313362</v>
      </c>
      <c r="F16" s="497">
        <v>65.01872480921817</v>
      </c>
      <c r="G16" s="497">
        <v>66.788515346632479</v>
      </c>
      <c r="H16" s="497">
        <v>68.580592658194348</v>
      </c>
      <c r="I16" s="497">
        <v>68.767275601143297</v>
      </c>
      <c r="J16" s="497">
        <v>68.124557502413552</v>
      </c>
      <c r="K16" s="497">
        <v>69.521259818162008</v>
      </c>
      <c r="L16" s="497">
        <v>69.996075254442744</v>
      </c>
      <c r="M16" s="497">
        <v>71.697023471627688</v>
      </c>
      <c r="N16" s="497">
        <v>75.666457659892046</v>
      </c>
      <c r="O16" s="497">
        <v>81.093119805347897</v>
      </c>
      <c r="P16" s="497">
        <v>85.792875487366373</v>
      </c>
      <c r="Q16" s="497">
        <v>88.217016004919273</v>
      </c>
      <c r="R16" s="497">
        <v>91.597229881350032</v>
      </c>
      <c r="S16" s="497">
        <v>94.274381521473231</v>
      </c>
      <c r="T16" s="497">
        <v>93.177252780534857</v>
      </c>
      <c r="U16" s="497">
        <v>91.59683757646286</v>
      </c>
      <c r="V16" s="497">
        <v>90.563307921066752</v>
      </c>
      <c r="W16" s="497">
        <v>89.733619059886777</v>
      </c>
      <c r="X16" s="497">
        <v>90.060908432054219</v>
      </c>
      <c r="Y16" s="497">
        <v>89.483260835391491</v>
      </c>
      <c r="Z16" s="497">
        <v>85.903043962372564</v>
      </c>
      <c r="AA16" s="497">
        <v>88.517742130222928</v>
      </c>
      <c r="AB16" s="497">
        <v>94.793482782259147</v>
      </c>
      <c r="AC16" s="497">
        <v>98.226518893200037</v>
      </c>
      <c r="AD16" s="497">
        <v>101.44903987704856</v>
      </c>
      <c r="AE16" s="497">
        <v>99.520566062586695</v>
      </c>
      <c r="AF16" s="497">
        <v>102.90278605741911</v>
      </c>
      <c r="AG16" s="497">
        <v>102.40900822485905</v>
      </c>
      <c r="AH16" s="497">
        <v>104.88294221171601</v>
      </c>
      <c r="AI16" s="497">
        <v>105.01319946916757</v>
      </c>
      <c r="AJ16" s="497">
        <v>104.2007572986568</v>
      </c>
      <c r="AK16" s="497">
        <v>104.06182264800847</v>
      </c>
      <c r="AL16" s="497">
        <v>106.10014393384611</v>
      </c>
      <c r="AM16" s="497">
        <v>110.83845554609783</v>
      </c>
      <c r="AN16" s="497">
        <v>110.75220480292197</v>
      </c>
      <c r="AO16" s="497">
        <v>107.42528252298337</v>
      </c>
      <c r="AP16" s="497">
        <v>104.90246981574576</v>
      </c>
      <c r="AQ16" s="497">
        <v>104.4768842520774</v>
      </c>
      <c r="AR16" s="497">
        <v>103.07145457681354</v>
      </c>
      <c r="AS16" s="498">
        <v>103.04125557179242</v>
      </c>
    </row>
    <row r="17" spans="1:45" ht="13">
      <c r="A17" s="506" t="s">
        <v>872</v>
      </c>
      <c r="B17" s="496" t="s">
        <v>873</v>
      </c>
      <c r="C17" s="497">
        <v>179.96255446413963</v>
      </c>
      <c r="D17" s="497">
        <v>172.70052582338431</v>
      </c>
      <c r="E17" s="497">
        <v>176.07772307781636</v>
      </c>
      <c r="F17" s="497">
        <v>173.82550411311766</v>
      </c>
      <c r="G17" s="497">
        <v>172.61794105555359</v>
      </c>
      <c r="H17" s="497">
        <v>172.6773517142046</v>
      </c>
      <c r="I17" s="497">
        <v>171.77983818611625</v>
      </c>
      <c r="J17" s="497">
        <v>175.92799214365365</v>
      </c>
      <c r="K17" s="497">
        <v>180.70845025232623</v>
      </c>
      <c r="L17" s="497">
        <v>183.20487852354924</v>
      </c>
      <c r="M17" s="497">
        <v>192.28599264903946</v>
      </c>
      <c r="N17" s="497">
        <v>213.18797486798297</v>
      </c>
      <c r="O17" s="497">
        <v>235.6365805872714</v>
      </c>
      <c r="P17" s="497">
        <v>248.82064751468462</v>
      </c>
      <c r="Q17" s="497">
        <v>253.97343036264655</v>
      </c>
      <c r="R17" s="497">
        <v>257.75562737345638</v>
      </c>
      <c r="S17" s="497">
        <v>262.19862670157698</v>
      </c>
      <c r="T17" s="497">
        <v>260.67794927496408</v>
      </c>
      <c r="U17" s="497">
        <v>265.66004336558291</v>
      </c>
      <c r="V17" s="497">
        <v>275.88366295660387</v>
      </c>
      <c r="W17" s="497">
        <v>290.03310594841594</v>
      </c>
      <c r="X17" s="497">
        <v>285.0929962775823</v>
      </c>
      <c r="Y17" s="497">
        <v>267.34124990764445</v>
      </c>
      <c r="Z17" s="497">
        <v>262.91086015056334</v>
      </c>
      <c r="AA17" s="497">
        <v>263.07911222840369</v>
      </c>
      <c r="AB17" s="497">
        <v>269.33604275225315</v>
      </c>
      <c r="AC17" s="497">
        <v>278.32876819597919</v>
      </c>
      <c r="AD17" s="497">
        <v>285.34115874383843</v>
      </c>
      <c r="AE17" s="497">
        <v>287.22275567077259</v>
      </c>
      <c r="AF17" s="497">
        <v>291.7022949309121</v>
      </c>
      <c r="AG17" s="497">
        <v>289.63147948758331</v>
      </c>
      <c r="AH17" s="497">
        <v>307.74822305865257</v>
      </c>
      <c r="AI17" s="497">
        <v>318.85139117879635</v>
      </c>
      <c r="AJ17" s="497">
        <v>330.65323996287407</v>
      </c>
      <c r="AK17" s="497">
        <v>350.88681848739162</v>
      </c>
      <c r="AL17" s="497">
        <v>367.90083317528229</v>
      </c>
      <c r="AM17" s="497">
        <v>387.52019557868925</v>
      </c>
      <c r="AN17" s="497">
        <v>394.86093390762363</v>
      </c>
      <c r="AO17" s="497">
        <v>383.64423350637054</v>
      </c>
      <c r="AP17" s="497">
        <v>367.27487064137074</v>
      </c>
      <c r="AQ17" s="497">
        <v>342.0832352011094</v>
      </c>
      <c r="AR17" s="497">
        <v>327.12771199083329</v>
      </c>
      <c r="AS17" s="498">
        <v>325.91200029271118</v>
      </c>
    </row>
    <row r="18" spans="1:45" ht="13">
      <c r="A18" s="506" t="s">
        <v>874</v>
      </c>
      <c r="B18" s="496" t="s">
        <v>875</v>
      </c>
      <c r="C18" s="497">
        <v>78.927955962429465</v>
      </c>
      <c r="D18" s="497">
        <v>76.255701659575678</v>
      </c>
      <c r="E18" s="497">
        <v>80.355643687047362</v>
      </c>
      <c r="F18" s="497">
        <v>86.287941488731548</v>
      </c>
      <c r="G18" s="497">
        <v>87.480968886671576</v>
      </c>
      <c r="H18" s="497">
        <v>83.853447587454539</v>
      </c>
      <c r="I18" s="497">
        <v>83.822796085988784</v>
      </c>
      <c r="J18" s="497">
        <v>85.922863112516765</v>
      </c>
      <c r="K18" s="497">
        <v>93.892606649487149</v>
      </c>
      <c r="L18" s="497">
        <v>107.39806502394077</v>
      </c>
      <c r="M18" s="497">
        <v>112.82882052480812</v>
      </c>
      <c r="N18" s="497">
        <v>114.94058769819584</v>
      </c>
      <c r="O18" s="497">
        <v>113.73847536813683</v>
      </c>
      <c r="P18" s="497">
        <v>112.70066188657687</v>
      </c>
      <c r="Q18" s="497">
        <v>113.29640372186223</v>
      </c>
      <c r="R18" s="497">
        <v>110.85108780294024</v>
      </c>
      <c r="S18" s="497">
        <v>106.92871290011581</v>
      </c>
      <c r="T18" s="497">
        <v>102.62757459800244</v>
      </c>
      <c r="U18" s="497">
        <v>101.8477835514467</v>
      </c>
      <c r="V18" s="497">
        <v>104.4911464624019</v>
      </c>
      <c r="W18" s="497">
        <v>104.52644075885505</v>
      </c>
      <c r="X18" s="497">
        <v>100.57070897873672</v>
      </c>
      <c r="Y18" s="497">
        <v>97.568253814839352</v>
      </c>
      <c r="Z18" s="497">
        <v>93.238620075010715</v>
      </c>
      <c r="AA18" s="497">
        <v>92.782360418636785</v>
      </c>
      <c r="AB18" s="497">
        <v>96.790998109045518</v>
      </c>
      <c r="AC18" s="497">
        <v>99.017782954919284</v>
      </c>
      <c r="AD18" s="497">
        <v>100.96589741332943</v>
      </c>
      <c r="AE18" s="497">
        <v>97.266048482466374</v>
      </c>
      <c r="AF18" s="497">
        <v>94.131690362226976</v>
      </c>
      <c r="AG18" s="497">
        <v>86.587447277969773</v>
      </c>
      <c r="AH18" s="497">
        <v>92.293397200647362</v>
      </c>
      <c r="AI18" s="497">
        <v>90.575610569487793</v>
      </c>
      <c r="AJ18" s="497">
        <v>90.267494761524517</v>
      </c>
      <c r="AK18" s="497">
        <v>89.208428585799993</v>
      </c>
      <c r="AL18" s="497">
        <v>89.909728008360858</v>
      </c>
      <c r="AM18" s="497">
        <v>92.801527775103096</v>
      </c>
      <c r="AN18" s="497">
        <v>91.232488716443456</v>
      </c>
      <c r="AO18" s="497">
        <v>87.812122916492171</v>
      </c>
      <c r="AP18" s="497">
        <v>87.623730615076425</v>
      </c>
      <c r="AQ18" s="497">
        <v>82.151346518593755</v>
      </c>
      <c r="AR18" s="497">
        <v>81.629769694520988</v>
      </c>
      <c r="AS18" s="498">
        <v>80.312127179291139</v>
      </c>
    </row>
    <row r="19" spans="1:45" ht="13">
      <c r="A19" s="506" t="s">
        <v>876</v>
      </c>
      <c r="B19" s="496" t="s">
        <v>877</v>
      </c>
      <c r="C19" s="497">
        <v>20.566580952181553</v>
      </c>
      <c r="D19" s="497">
        <v>21.578538179636844</v>
      </c>
      <c r="E19" s="497">
        <v>23.141504141752705</v>
      </c>
      <c r="F19" s="497">
        <v>24.153509260762824</v>
      </c>
      <c r="G19" s="497">
        <v>23.845373230482043</v>
      </c>
      <c r="H19" s="497">
        <v>23.503776566198862</v>
      </c>
      <c r="I19" s="497">
        <v>24.053224075176153</v>
      </c>
      <c r="J19" s="497">
        <v>24.67398057966291</v>
      </c>
      <c r="K19" s="497">
        <v>25.540690570247932</v>
      </c>
      <c r="L19" s="497">
        <v>26.465491253990102</v>
      </c>
      <c r="M19" s="497">
        <v>29.727161842484829</v>
      </c>
      <c r="N19" s="497">
        <v>31.163793036558218</v>
      </c>
      <c r="O19" s="497">
        <v>33.026658418803258</v>
      </c>
      <c r="P19" s="497">
        <v>35.830965447584148</v>
      </c>
      <c r="Q19" s="497">
        <v>36.249199866084332</v>
      </c>
      <c r="R19" s="497">
        <v>37.914863884124784</v>
      </c>
      <c r="S19" s="497">
        <v>40.001756386225978</v>
      </c>
      <c r="T19" s="497">
        <v>41.16930519063704</v>
      </c>
      <c r="U19" s="497">
        <v>42.195276978291488</v>
      </c>
      <c r="V19" s="497">
        <v>43.578658949389002</v>
      </c>
      <c r="W19" s="497">
        <v>45.098374043240582</v>
      </c>
      <c r="X19" s="497">
        <v>45.25474955752469</v>
      </c>
      <c r="Y19" s="497">
        <v>44.050465744203734</v>
      </c>
      <c r="Z19" s="497">
        <v>38.469398601276012</v>
      </c>
      <c r="AA19" s="497">
        <v>35.660134126543909</v>
      </c>
      <c r="AB19" s="497">
        <v>44.508031362606843</v>
      </c>
      <c r="AC19" s="497">
        <v>51.561120231702134</v>
      </c>
      <c r="AD19" s="497">
        <v>54.483433181633345</v>
      </c>
      <c r="AE19" s="497">
        <v>49.303893791324114</v>
      </c>
      <c r="AF19" s="497">
        <v>50.376014300847089</v>
      </c>
      <c r="AG19" s="497">
        <v>49.442183567053164</v>
      </c>
      <c r="AH19" s="497">
        <v>49.073427093878081</v>
      </c>
      <c r="AI19" s="497">
        <v>48.263294707376787</v>
      </c>
      <c r="AJ19" s="497">
        <v>47.500956673841955</v>
      </c>
      <c r="AK19" s="497">
        <v>47.082730036429943</v>
      </c>
      <c r="AL19" s="497">
        <v>47.009545787194426</v>
      </c>
      <c r="AM19" s="497">
        <v>49.140164930567586</v>
      </c>
      <c r="AN19" s="497">
        <v>48.808348849414763</v>
      </c>
      <c r="AO19" s="497">
        <v>48.241390972663694</v>
      </c>
      <c r="AP19" s="497">
        <v>47.545364748887465</v>
      </c>
      <c r="AQ19" s="497">
        <v>43.99956320087415</v>
      </c>
      <c r="AR19" s="497">
        <v>41.91610925774124</v>
      </c>
      <c r="AS19" s="498">
        <v>42.126125111968548</v>
      </c>
    </row>
    <row r="20" spans="1:45" ht="13">
      <c r="A20" s="506" t="s">
        <v>878</v>
      </c>
      <c r="B20" s="496" t="s">
        <v>879</v>
      </c>
      <c r="C20" s="497">
        <v>40.901272937967427</v>
      </c>
      <c r="D20" s="497">
        <v>40.149526053188112</v>
      </c>
      <c r="E20" s="497">
        <v>40.753337493282231</v>
      </c>
      <c r="F20" s="497">
        <v>42.137084117332307</v>
      </c>
      <c r="G20" s="497">
        <v>44.02305012236156</v>
      </c>
      <c r="H20" s="497">
        <v>46.423667441419049</v>
      </c>
      <c r="I20" s="497">
        <v>50.513202456085935</v>
      </c>
      <c r="J20" s="497">
        <v>51.118359465416759</v>
      </c>
      <c r="K20" s="497">
        <v>49.38309478253413</v>
      </c>
      <c r="L20" s="497">
        <v>49.789820653557435</v>
      </c>
      <c r="M20" s="497">
        <v>50.552713864008396</v>
      </c>
      <c r="N20" s="497">
        <v>52.759639220679823</v>
      </c>
      <c r="O20" s="497">
        <v>56.116294098190792</v>
      </c>
      <c r="P20" s="497">
        <v>57.231190723725696</v>
      </c>
      <c r="Q20" s="497">
        <v>56.703255030566652</v>
      </c>
      <c r="R20" s="497">
        <v>57.227798922668796</v>
      </c>
      <c r="S20" s="497">
        <v>58.053756034604788</v>
      </c>
      <c r="T20" s="497">
        <v>60.554981754795705</v>
      </c>
      <c r="U20" s="497">
        <v>63.120052955631969</v>
      </c>
      <c r="V20" s="497">
        <v>63.493613284596421</v>
      </c>
      <c r="W20" s="497">
        <v>64.635570156831136</v>
      </c>
      <c r="X20" s="497">
        <v>64.603423091649418</v>
      </c>
      <c r="Y20" s="497">
        <v>62.875652606551725</v>
      </c>
      <c r="Z20" s="497">
        <v>60.77823520057693</v>
      </c>
      <c r="AA20" s="497">
        <v>70.286773100670189</v>
      </c>
      <c r="AB20" s="497">
        <v>74.536964371433243</v>
      </c>
      <c r="AC20" s="497">
        <v>76.325147508339057</v>
      </c>
      <c r="AD20" s="497">
        <v>80.336546768804226</v>
      </c>
      <c r="AE20" s="497">
        <v>71.467854370813015</v>
      </c>
      <c r="AF20" s="497">
        <v>71.040007979606258</v>
      </c>
      <c r="AG20" s="497">
        <v>71.521395688194531</v>
      </c>
      <c r="AH20" s="497">
        <v>68.611568055667632</v>
      </c>
      <c r="AI20" s="497">
        <v>67.280952132529563</v>
      </c>
      <c r="AJ20" s="497">
        <v>66.214751348694406</v>
      </c>
      <c r="AK20" s="497">
        <v>64.016702856160535</v>
      </c>
      <c r="AL20" s="497">
        <v>61.7717946737856</v>
      </c>
      <c r="AM20" s="497">
        <v>63.316586272704654</v>
      </c>
      <c r="AN20" s="497">
        <v>57.739641602977677</v>
      </c>
      <c r="AO20" s="497">
        <v>56.001000000000005</v>
      </c>
      <c r="AP20" s="497">
        <v>54.212249999999997</v>
      </c>
      <c r="AQ20" s="497">
        <v>50.95899982987833</v>
      </c>
      <c r="AR20" s="497">
        <v>47.759845874729038</v>
      </c>
      <c r="AS20" s="498">
        <v>47.213465772354716</v>
      </c>
    </row>
    <row r="21" spans="1:45" ht="13">
      <c r="A21" s="506" t="s">
        <v>880</v>
      </c>
      <c r="B21" s="496" t="s">
        <v>881</v>
      </c>
      <c r="C21" s="497">
        <v>25.748030232678261</v>
      </c>
      <c r="D21" s="497">
        <v>27.79724412074868</v>
      </c>
      <c r="E21" s="497">
        <v>31.323747532788147</v>
      </c>
      <c r="F21" s="497">
        <v>35.335334478862521</v>
      </c>
      <c r="G21" s="497">
        <v>38.170480685059317</v>
      </c>
      <c r="H21" s="497">
        <v>41.624164988722256</v>
      </c>
      <c r="I21" s="497">
        <v>46.823772776682546</v>
      </c>
      <c r="J21" s="497">
        <v>52.139838399833494</v>
      </c>
      <c r="K21" s="497">
        <v>53.114088175054867</v>
      </c>
      <c r="L21" s="497">
        <v>53.883959451296775</v>
      </c>
      <c r="M21" s="497">
        <v>54.301445851221985</v>
      </c>
      <c r="N21" s="497">
        <v>54.150090960729287</v>
      </c>
      <c r="O21" s="497">
        <v>57.284821881407481</v>
      </c>
      <c r="P21" s="497">
        <v>60.552130249445142</v>
      </c>
      <c r="Q21" s="497">
        <v>59.72751386021914</v>
      </c>
      <c r="R21" s="497">
        <v>58.489256291772648</v>
      </c>
      <c r="S21" s="497">
        <v>58.041507540749407</v>
      </c>
      <c r="T21" s="497">
        <v>56.764734079719055</v>
      </c>
      <c r="U21" s="497">
        <v>56.470815087389838</v>
      </c>
      <c r="V21" s="497">
        <v>57.862491802584771</v>
      </c>
      <c r="W21" s="497">
        <v>59.129247854587604</v>
      </c>
      <c r="X21" s="497">
        <v>57.662530173665502</v>
      </c>
      <c r="Y21" s="497">
        <v>57.801390493034901</v>
      </c>
      <c r="Z21" s="497">
        <v>58.532962695707646</v>
      </c>
      <c r="AA21" s="497">
        <v>62.568218040142781</v>
      </c>
      <c r="AB21" s="497">
        <v>64.935461618498849</v>
      </c>
      <c r="AC21" s="497">
        <v>63.244681296349611</v>
      </c>
      <c r="AD21" s="497">
        <v>64.085723507547641</v>
      </c>
      <c r="AE21" s="497">
        <v>63.710641033664693</v>
      </c>
      <c r="AF21" s="497">
        <v>66.410750000000007</v>
      </c>
      <c r="AG21" s="497">
        <v>63.487000000000002</v>
      </c>
      <c r="AH21" s="497">
        <v>62.184249999999999</v>
      </c>
      <c r="AI21" s="497">
        <v>59.927250000000001</v>
      </c>
      <c r="AJ21" s="497">
        <v>58.12149999999999</v>
      </c>
      <c r="AK21" s="497">
        <v>59.644749999999995</v>
      </c>
      <c r="AL21" s="497">
        <v>61.377249999999989</v>
      </c>
      <c r="AM21" s="497">
        <v>64.230051127474852</v>
      </c>
      <c r="AN21" s="497">
        <v>66.63465338242456</v>
      </c>
      <c r="AO21" s="497">
        <v>67.4405</v>
      </c>
      <c r="AP21" s="497">
        <v>66.144499999999994</v>
      </c>
      <c r="AQ21" s="497">
        <v>63.337568772717475</v>
      </c>
      <c r="AR21" s="497">
        <v>60.130772197374718</v>
      </c>
      <c r="AS21" s="498">
        <v>59.915284237200879</v>
      </c>
    </row>
    <row r="22" spans="1:45" ht="13">
      <c r="A22" s="506" t="s">
        <v>882</v>
      </c>
      <c r="B22" s="496" t="s">
        <v>883</v>
      </c>
      <c r="C22" s="497">
        <v>12.205992805795745</v>
      </c>
      <c r="D22" s="497">
        <v>10.096606663034333</v>
      </c>
      <c r="E22" s="497">
        <v>10.201339573507859</v>
      </c>
      <c r="F22" s="497">
        <v>6.6625372156066129</v>
      </c>
      <c r="G22" s="497">
        <v>3.4213957120786929</v>
      </c>
      <c r="H22" s="497">
        <v>4.713616808520217</v>
      </c>
      <c r="I22" s="497">
        <v>5.7845305503885678</v>
      </c>
      <c r="J22" s="497">
        <v>8.4492474948192626</v>
      </c>
      <c r="K22" s="497">
        <v>9.8464157486042616</v>
      </c>
      <c r="L22" s="497">
        <v>11.322263254047698</v>
      </c>
      <c r="M22" s="497">
        <v>13.369452092834274</v>
      </c>
      <c r="N22" s="497">
        <v>14.427437534635391</v>
      </c>
      <c r="O22" s="497">
        <v>15.182125698173282</v>
      </c>
      <c r="P22" s="497">
        <v>18.151966118939633</v>
      </c>
      <c r="Q22" s="497">
        <v>18.542229105356277</v>
      </c>
      <c r="R22" s="497">
        <v>16.958554094400846</v>
      </c>
      <c r="S22" s="497">
        <v>18.94945688081253</v>
      </c>
      <c r="T22" s="497">
        <v>21.043617973358849</v>
      </c>
      <c r="U22" s="497">
        <v>22.364472085802621</v>
      </c>
      <c r="V22" s="497">
        <v>22.89951313634328</v>
      </c>
      <c r="W22" s="497">
        <v>23.556353646027354</v>
      </c>
      <c r="X22" s="497">
        <v>21.491434805506202</v>
      </c>
      <c r="Y22" s="497">
        <v>18.180745826835697</v>
      </c>
      <c r="Z22" s="497">
        <v>17.251997618338365</v>
      </c>
      <c r="AA22" s="497">
        <v>20.339002991409721</v>
      </c>
      <c r="AB22" s="497">
        <v>25.007161504229085</v>
      </c>
      <c r="AC22" s="497">
        <v>26.452360576860237</v>
      </c>
      <c r="AD22" s="497">
        <v>28.044851329764249</v>
      </c>
      <c r="AE22" s="497">
        <v>28.781909990361136</v>
      </c>
      <c r="AF22" s="497">
        <v>28.012420310589096</v>
      </c>
      <c r="AG22" s="497">
        <v>29.477047496463054</v>
      </c>
      <c r="AH22" s="497">
        <v>30.062734542133093</v>
      </c>
      <c r="AI22" s="497">
        <v>28.848147557964303</v>
      </c>
      <c r="AJ22" s="497">
        <v>27.909066612496954</v>
      </c>
      <c r="AK22" s="497">
        <v>26.721025115767461</v>
      </c>
      <c r="AL22" s="497">
        <v>25.752051636385687</v>
      </c>
      <c r="AM22" s="497">
        <v>25.273027638004187</v>
      </c>
      <c r="AN22" s="497">
        <v>23.270578680665945</v>
      </c>
      <c r="AO22" s="497">
        <v>21.543032632927641</v>
      </c>
      <c r="AP22" s="497">
        <v>20.006760867221146</v>
      </c>
      <c r="AQ22" s="497">
        <v>18.6557212947233</v>
      </c>
      <c r="AR22" s="497">
        <v>16.617991278723288</v>
      </c>
      <c r="AS22" s="498">
        <v>14.181008415343797</v>
      </c>
    </row>
    <row r="23" spans="1:45" ht="13">
      <c r="A23" s="506" t="s">
        <v>884</v>
      </c>
      <c r="B23" s="496" t="s">
        <v>885</v>
      </c>
      <c r="C23" s="497">
        <v>57.33810778186227</v>
      </c>
      <c r="D23" s="497">
        <v>62.928198476047598</v>
      </c>
      <c r="E23" s="497">
        <v>65.955137345032597</v>
      </c>
      <c r="F23" s="497">
        <v>77.143737697600756</v>
      </c>
      <c r="G23" s="497">
        <v>89.831005016767335</v>
      </c>
      <c r="H23" s="497">
        <v>90.264039705487377</v>
      </c>
      <c r="I23" s="497">
        <v>91.515482715995759</v>
      </c>
      <c r="J23" s="497">
        <v>96.929549321475974</v>
      </c>
      <c r="K23" s="497">
        <v>99.203273100281237</v>
      </c>
      <c r="L23" s="497">
        <v>105.19118930430166</v>
      </c>
      <c r="M23" s="497">
        <v>108.45649683331779</v>
      </c>
      <c r="N23" s="497">
        <v>111.11352933178479</v>
      </c>
      <c r="O23" s="497">
        <v>122.80562640248817</v>
      </c>
      <c r="P23" s="497">
        <v>141.37593398893279</v>
      </c>
      <c r="Q23" s="497">
        <v>147.3184924707609</v>
      </c>
      <c r="R23" s="497">
        <v>145.88592300542405</v>
      </c>
      <c r="S23" s="497">
        <v>154.81374977569448</v>
      </c>
      <c r="T23" s="497">
        <v>164.01086614165189</v>
      </c>
      <c r="U23" s="497">
        <v>173.50704621086862</v>
      </c>
      <c r="V23" s="497">
        <v>181.09664761711588</v>
      </c>
      <c r="W23" s="497">
        <v>190.50803344460638</v>
      </c>
      <c r="X23" s="497">
        <v>197.71029610442102</v>
      </c>
      <c r="Y23" s="497">
        <v>198.35921409152402</v>
      </c>
      <c r="Z23" s="497">
        <v>193.90655015009125</v>
      </c>
      <c r="AA23" s="497">
        <v>193.00976251955765</v>
      </c>
      <c r="AB23" s="497">
        <v>197.09831967665716</v>
      </c>
      <c r="AC23" s="497">
        <v>200.95346963973719</v>
      </c>
      <c r="AD23" s="497">
        <v>204.37149728934472</v>
      </c>
      <c r="AE23" s="497">
        <v>204.38278857268892</v>
      </c>
      <c r="AF23" s="497">
        <v>206.25714429095567</v>
      </c>
      <c r="AG23" s="497">
        <v>197.99467014923292</v>
      </c>
      <c r="AH23" s="497">
        <v>194.02065517588306</v>
      </c>
      <c r="AI23" s="497">
        <v>184.84795612367577</v>
      </c>
      <c r="AJ23" s="497">
        <v>175.81110127355103</v>
      </c>
      <c r="AK23" s="497">
        <v>174.85836764319623</v>
      </c>
      <c r="AL23" s="497">
        <v>177.48297970724784</v>
      </c>
      <c r="AM23" s="497">
        <v>188.24068328747546</v>
      </c>
      <c r="AN23" s="497">
        <v>190.88356848324031</v>
      </c>
      <c r="AO23" s="497">
        <v>187.27711997801615</v>
      </c>
      <c r="AP23" s="497">
        <v>188.71784668362696</v>
      </c>
      <c r="AQ23" s="497">
        <v>183.7235667270223</v>
      </c>
      <c r="AR23" s="497">
        <v>176.35471774320723</v>
      </c>
      <c r="AS23" s="498">
        <v>179.73725055991784</v>
      </c>
    </row>
    <row r="24" spans="1:45" ht="13">
      <c r="A24" s="506" t="s">
        <v>886</v>
      </c>
      <c r="B24" s="496" t="s">
        <v>887</v>
      </c>
      <c r="C24" s="497">
        <v>4.4921373215214269</v>
      </c>
      <c r="D24" s="497">
        <v>4.6022757909341045</v>
      </c>
      <c r="E24" s="497">
        <v>4.792073715136894</v>
      </c>
      <c r="F24" s="497">
        <v>4.7850892033643655</v>
      </c>
      <c r="G24" s="497">
        <v>4.7275400866393795</v>
      </c>
      <c r="H24" s="497">
        <v>5.0252727416031195</v>
      </c>
      <c r="I24" s="497">
        <v>5.1582183393704639</v>
      </c>
      <c r="J24" s="497">
        <v>5.5787394383561635</v>
      </c>
      <c r="K24" s="497">
        <v>7.2747625156591971</v>
      </c>
      <c r="L24" s="497">
        <v>7.6421056658150261</v>
      </c>
      <c r="M24" s="497">
        <v>7.0780557994207864</v>
      </c>
      <c r="N24" s="497">
        <v>7.3665125233003543</v>
      </c>
      <c r="O24" s="497">
        <v>7.8546252096402878</v>
      </c>
      <c r="P24" s="497">
        <v>8.2442627909240773</v>
      </c>
      <c r="Q24" s="497">
        <v>8.4516213690074959</v>
      </c>
      <c r="R24" s="497">
        <v>8.5772811661872002</v>
      </c>
      <c r="S24" s="497">
        <v>8.7211373442537017</v>
      </c>
      <c r="T24" s="497">
        <v>8.9361866165098114</v>
      </c>
      <c r="U24" s="497">
        <v>9.3587294876998293</v>
      </c>
      <c r="V24" s="497">
        <v>9.7999020611814966</v>
      </c>
      <c r="W24" s="497">
        <v>10.328395039251989</v>
      </c>
      <c r="X24" s="497">
        <v>10.406273942739784</v>
      </c>
      <c r="Y24" s="497">
        <v>10.180668964508218</v>
      </c>
      <c r="Z24" s="497">
        <v>7.6755773388079884</v>
      </c>
      <c r="AA24" s="497">
        <v>10.907597720656291</v>
      </c>
      <c r="AB24" s="497">
        <v>11.441543614361697</v>
      </c>
      <c r="AC24" s="497">
        <v>11.281221831626864</v>
      </c>
      <c r="AD24" s="497">
        <v>10.962264462870722</v>
      </c>
      <c r="AE24" s="497">
        <v>10.056330703985694</v>
      </c>
      <c r="AF24" s="497">
        <v>10.015511716918857</v>
      </c>
      <c r="AG24" s="497">
        <v>9.5667540608249251</v>
      </c>
      <c r="AH24" s="497">
        <v>9.571498855185407</v>
      </c>
      <c r="AI24" s="497">
        <v>9.3300137948388127</v>
      </c>
      <c r="AJ24" s="497">
        <v>9.5287957059410768</v>
      </c>
      <c r="AK24" s="497">
        <v>9.6144517304487138</v>
      </c>
      <c r="AL24" s="497">
        <v>9.9857943206611086</v>
      </c>
      <c r="AM24" s="497">
        <v>10.795624276886173</v>
      </c>
      <c r="AN24" s="497">
        <v>10.938154787112811</v>
      </c>
      <c r="AO24" s="497">
        <v>10.817881415878126</v>
      </c>
      <c r="AP24" s="497">
        <v>10.187073491953102</v>
      </c>
      <c r="AQ24" s="497">
        <v>8.6860579585724604</v>
      </c>
      <c r="AR24" s="497">
        <v>8.5488771420097329</v>
      </c>
      <c r="AS24" s="498">
        <v>7.8807973563751226</v>
      </c>
    </row>
    <row r="25" spans="1:45" ht="13">
      <c r="A25" s="507"/>
      <c r="B25" s="496"/>
      <c r="C25" s="497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497"/>
      <c r="O25" s="497"/>
      <c r="P25" s="497"/>
      <c r="Q25" s="497"/>
      <c r="R25" s="497"/>
      <c r="S25" s="497"/>
      <c r="T25" s="497"/>
      <c r="U25" s="497"/>
      <c r="V25" s="497"/>
      <c r="W25" s="497"/>
      <c r="X25" s="497"/>
      <c r="Y25" s="497"/>
      <c r="Z25" s="497"/>
      <c r="AA25" s="497"/>
      <c r="AB25" s="497"/>
      <c r="AC25" s="497"/>
      <c r="AD25" s="497"/>
      <c r="AE25" s="497"/>
      <c r="AF25" s="497"/>
      <c r="AG25" s="497"/>
      <c r="AH25" s="497"/>
      <c r="AI25" s="497"/>
      <c r="AJ25" s="497"/>
      <c r="AK25" s="497"/>
      <c r="AL25" s="497"/>
      <c r="AM25" s="497"/>
      <c r="AN25" s="497"/>
      <c r="AO25" s="497"/>
      <c r="AP25" s="497"/>
      <c r="AQ25" s="497"/>
      <c r="AR25" s="497"/>
      <c r="AS25" s="498"/>
    </row>
    <row r="26" spans="1:45" ht="13">
      <c r="A26" s="506" t="s">
        <v>283</v>
      </c>
      <c r="B26" s="496" t="s">
        <v>888</v>
      </c>
      <c r="C26" s="497">
        <v>9.8203063137856681</v>
      </c>
      <c r="D26" s="497">
        <v>10.324718002394679</v>
      </c>
      <c r="E26" s="497">
        <v>11.335176076914356</v>
      </c>
      <c r="F26" s="497">
        <v>11.957851805327746</v>
      </c>
      <c r="G26" s="497">
        <v>12.920917605648489</v>
      </c>
      <c r="H26" s="497">
        <v>13.918132335325687</v>
      </c>
      <c r="I26" s="497">
        <v>14.339772518388241</v>
      </c>
      <c r="J26" s="497">
        <v>15.073499999999999</v>
      </c>
      <c r="K26" s="497">
        <v>15.725462360341586</v>
      </c>
      <c r="L26" s="497">
        <v>16.139706988507136</v>
      </c>
      <c r="M26" s="497">
        <v>16.430090447629347</v>
      </c>
      <c r="N26" s="497">
        <v>16.748589691924835</v>
      </c>
      <c r="O26" s="497">
        <v>16.713571640842016</v>
      </c>
      <c r="P26" s="497">
        <v>17.157957255236965</v>
      </c>
      <c r="Q26" s="497">
        <v>17.985083801389738</v>
      </c>
      <c r="R26" s="497">
        <v>18.281768089496449</v>
      </c>
      <c r="S26" s="497">
        <v>18.257505896253324</v>
      </c>
      <c r="T26" s="497">
        <v>17.781719333215069</v>
      </c>
      <c r="U26" s="497">
        <v>17.604135022600115</v>
      </c>
      <c r="V26" s="497">
        <v>17.779019811806151</v>
      </c>
      <c r="W26" s="497">
        <v>17.500260701492447</v>
      </c>
      <c r="X26" s="497">
        <v>17.924323871259826</v>
      </c>
      <c r="Y26" s="497">
        <v>18.051307391736387</v>
      </c>
      <c r="Z26" s="497">
        <v>17.961790949585929</v>
      </c>
      <c r="AA26" s="497">
        <v>20.352865286318234</v>
      </c>
      <c r="AB26" s="497">
        <v>22.656104682785532</v>
      </c>
      <c r="AC26" s="497">
        <v>24.282620154538662</v>
      </c>
      <c r="AD26" s="497">
        <v>26.714089825978917</v>
      </c>
      <c r="AE26" s="497">
        <v>28.22520277929144</v>
      </c>
      <c r="AF26" s="497">
        <v>28.118302323966102</v>
      </c>
      <c r="AG26" s="497">
        <v>29.838518567810702</v>
      </c>
      <c r="AH26" s="497">
        <v>30.568988939964846</v>
      </c>
      <c r="AI26" s="497">
        <v>31.152330692538015</v>
      </c>
      <c r="AJ26" s="497">
        <v>31.227541578130719</v>
      </c>
      <c r="AK26" s="497">
        <v>31.264086416186068</v>
      </c>
      <c r="AL26" s="497">
        <v>30.663684990437432</v>
      </c>
      <c r="AM26" s="497">
        <v>29.406700094450123</v>
      </c>
      <c r="AN26" s="497">
        <v>28.155898031550521</v>
      </c>
      <c r="AO26" s="497">
        <v>27.454116921703633</v>
      </c>
      <c r="AP26" s="497">
        <v>26.159831186638602</v>
      </c>
      <c r="AQ26" s="497">
        <v>26.225020439383464</v>
      </c>
      <c r="AR26" s="497">
        <v>24.379953478216798</v>
      </c>
      <c r="AS26" s="498">
        <v>23.281429660727973</v>
      </c>
    </row>
    <row r="27" spans="1:45" ht="13">
      <c r="A27" s="506" t="s">
        <v>889</v>
      </c>
      <c r="B27" s="496" t="s">
        <v>890</v>
      </c>
      <c r="C27" s="487" t="s">
        <v>640</v>
      </c>
      <c r="D27" s="487" t="s">
        <v>640</v>
      </c>
      <c r="E27" s="487" t="s">
        <v>640</v>
      </c>
      <c r="F27" s="487" t="s">
        <v>640</v>
      </c>
      <c r="G27" s="487" t="s">
        <v>640</v>
      </c>
      <c r="H27" s="487" t="s">
        <v>640</v>
      </c>
      <c r="I27" s="487" t="s">
        <v>640</v>
      </c>
      <c r="J27" s="487">
        <v>13.851260043057597</v>
      </c>
      <c r="K27" s="487">
        <v>14.430436713319915</v>
      </c>
      <c r="L27" s="487">
        <v>14.789959171271096</v>
      </c>
      <c r="M27" s="487">
        <v>15.035026244673153</v>
      </c>
      <c r="N27" s="487">
        <v>15.304901980698288</v>
      </c>
      <c r="O27" s="487">
        <v>15.243758014973126</v>
      </c>
      <c r="P27" s="487">
        <v>15.599554785845784</v>
      </c>
      <c r="Q27" s="487">
        <v>16.30293642037859</v>
      </c>
      <c r="R27" s="487">
        <v>16.60697783309968</v>
      </c>
      <c r="S27" s="487">
        <v>16.545464418301609</v>
      </c>
      <c r="T27" s="487">
        <v>15.936067270788321</v>
      </c>
      <c r="U27" s="487">
        <v>15.702446501846328</v>
      </c>
      <c r="V27" s="487">
        <v>15.781317660440347</v>
      </c>
      <c r="W27" s="487">
        <v>15.374336123700948</v>
      </c>
      <c r="X27" s="487">
        <v>15.713960757519747</v>
      </c>
      <c r="Y27" s="487">
        <v>15.834112901717578</v>
      </c>
      <c r="Z27" s="487">
        <v>15.464424800412138</v>
      </c>
      <c r="AA27" s="487">
        <v>17.374533399552025</v>
      </c>
      <c r="AB27" s="487">
        <v>19.402406873977618</v>
      </c>
      <c r="AC27" s="487">
        <v>20.824436189395271</v>
      </c>
      <c r="AD27" s="487">
        <v>23.110306782010934</v>
      </c>
      <c r="AE27" s="487">
        <v>24.403393359795274</v>
      </c>
      <c r="AF27" s="487">
        <v>24.373076628999911</v>
      </c>
      <c r="AG27" s="487">
        <v>26.256470960703084</v>
      </c>
      <c r="AH27" s="487">
        <v>26.917157777599382</v>
      </c>
      <c r="AI27" s="487">
        <v>27.550869615170697</v>
      </c>
      <c r="AJ27" s="487">
        <v>27.658611180658035</v>
      </c>
      <c r="AK27" s="487">
        <v>27.789599928084904</v>
      </c>
      <c r="AL27" s="487">
        <v>27.224877312543288</v>
      </c>
      <c r="AM27" s="487">
        <v>26.091194187124351</v>
      </c>
      <c r="AN27" s="487">
        <v>24.776904829591672</v>
      </c>
      <c r="AO27" s="487">
        <v>24.001142657403761</v>
      </c>
      <c r="AP27" s="487">
        <v>22.750930746712104</v>
      </c>
      <c r="AQ27" s="487">
        <v>22.783076983493142</v>
      </c>
      <c r="AR27" s="487">
        <v>21.10927548823561</v>
      </c>
      <c r="AS27" s="488">
        <v>20.134102271478948</v>
      </c>
    </row>
    <row r="28" spans="1:45" ht="13">
      <c r="A28" s="506" t="s">
        <v>891</v>
      </c>
      <c r="B28" s="496" t="s">
        <v>892</v>
      </c>
      <c r="C28" s="487" t="s">
        <v>640</v>
      </c>
      <c r="D28" s="487" t="s">
        <v>640</v>
      </c>
      <c r="E28" s="487" t="s">
        <v>640</v>
      </c>
      <c r="F28" s="487" t="s">
        <v>640</v>
      </c>
      <c r="G28" s="487" t="s">
        <v>640</v>
      </c>
      <c r="H28" s="487" t="s">
        <v>640</v>
      </c>
      <c r="I28" s="487" t="s">
        <v>640</v>
      </c>
      <c r="J28" s="487">
        <v>1.2222399569424025</v>
      </c>
      <c r="K28" s="487">
        <v>1.2950256470216706</v>
      </c>
      <c r="L28" s="487">
        <v>1.3497478172360378</v>
      </c>
      <c r="M28" s="487">
        <v>1.3950642029561933</v>
      </c>
      <c r="N28" s="487">
        <v>1.4436877112265465</v>
      </c>
      <c r="O28" s="487">
        <v>1.4698136258688888</v>
      </c>
      <c r="P28" s="487">
        <v>1.5584024693911818</v>
      </c>
      <c r="Q28" s="487">
        <v>1.6821473810111469</v>
      </c>
      <c r="R28" s="487">
        <v>1.6747902563967672</v>
      </c>
      <c r="S28" s="487">
        <v>1.7120414779517132</v>
      </c>
      <c r="T28" s="487">
        <v>1.8456520624267476</v>
      </c>
      <c r="U28" s="487">
        <v>1.9016885207537884</v>
      </c>
      <c r="V28" s="487">
        <v>1.9977021513658026</v>
      </c>
      <c r="W28" s="487">
        <v>2.1259245777915008</v>
      </c>
      <c r="X28" s="487">
        <v>2.2103631137400792</v>
      </c>
      <c r="Y28" s="487">
        <v>2.2171944900188096</v>
      </c>
      <c r="Z28" s="487">
        <v>2.4973661491737915</v>
      </c>
      <c r="AA28" s="487">
        <v>2.9783318867662079</v>
      </c>
      <c r="AB28" s="487">
        <v>3.2536978088079143</v>
      </c>
      <c r="AC28" s="487">
        <v>3.4581839651433892</v>
      </c>
      <c r="AD28" s="487">
        <v>3.603783043967983</v>
      </c>
      <c r="AE28" s="487">
        <v>3.8218094194961663</v>
      </c>
      <c r="AF28" s="487">
        <v>3.7452256949661908</v>
      </c>
      <c r="AG28" s="487">
        <v>3.5820476071076186</v>
      </c>
      <c r="AH28" s="487">
        <v>3.6518311623654642</v>
      </c>
      <c r="AI28" s="487">
        <v>3.6014610773673197</v>
      </c>
      <c r="AJ28" s="487">
        <v>3.5689303974726845</v>
      </c>
      <c r="AK28" s="487">
        <v>3.4744864881011637</v>
      </c>
      <c r="AL28" s="487">
        <v>3.438807677894145</v>
      </c>
      <c r="AM28" s="487">
        <v>3.3155059073257713</v>
      </c>
      <c r="AN28" s="487">
        <v>3.3789932019588487</v>
      </c>
      <c r="AO28" s="487">
        <v>3.4529742642998729</v>
      </c>
      <c r="AP28" s="487">
        <v>3.4089004399264971</v>
      </c>
      <c r="AQ28" s="487">
        <v>3.4419434558903208</v>
      </c>
      <c r="AR28" s="487">
        <v>3.2706779899811869</v>
      </c>
      <c r="AS28" s="488">
        <v>3.1473273892490243</v>
      </c>
    </row>
    <row r="29" spans="1:45" ht="13">
      <c r="A29" s="506"/>
      <c r="B29" s="496"/>
      <c r="C29" s="497"/>
      <c r="D29" s="497"/>
      <c r="E29" s="497"/>
      <c r="F29" s="497"/>
      <c r="G29" s="497"/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497"/>
      <c r="S29" s="497"/>
      <c r="T29" s="497"/>
      <c r="U29" s="497"/>
      <c r="V29" s="497"/>
      <c r="W29" s="497"/>
      <c r="X29" s="497"/>
      <c r="Y29" s="497"/>
      <c r="Z29" s="497"/>
      <c r="AA29" s="497"/>
      <c r="AB29" s="497"/>
      <c r="AC29" s="497"/>
      <c r="AD29" s="497"/>
      <c r="AE29" s="497"/>
      <c r="AF29" s="497"/>
      <c r="AG29" s="497"/>
      <c r="AH29" s="497"/>
      <c r="AI29" s="497"/>
      <c r="AJ29" s="497"/>
      <c r="AK29" s="497"/>
      <c r="AL29" s="497"/>
      <c r="AM29" s="497"/>
      <c r="AN29" s="497"/>
      <c r="AO29" s="497"/>
      <c r="AP29" s="497"/>
      <c r="AQ29" s="497"/>
      <c r="AR29" s="497"/>
      <c r="AS29" s="498"/>
    </row>
    <row r="30" spans="1:45" ht="13">
      <c r="A30" s="506" t="s">
        <v>273</v>
      </c>
      <c r="B30" s="496" t="s">
        <v>893</v>
      </c>
      <c r="C30" s="497">
        <v>126.25179654570475</v>
      </c>
      <c r="D30" s="497">
        <v>126.59539178367613</v>
      </c>
      <c r="E30" s="497">
        <v>136.1376307170224</v>
      </c>
      <c r="F30" s="497">
        <v>158.76316824398955</v>
      </c>
      <c r="G30" s="497">
        <v>170.6674992817897</v>
      </c>
      <c r="H30" s="497">
        <v>187.52734689715007</v>
      </c>
      <c r="I30" s="497">
        <v>196.37390794103092</v>
      </c>
      <c r="J30" s="497">
        <v>201.22283953412108</v>
      </c>
      <c r="K30" s="497">
        <v>208.97113572670267</v>
      </c>
      <c r="L30" s="497">
        <v>203.30849847952859</v>
      </c>
      <c r="M30" s="497">
        <v>193.59133136968521</v>
      </c>
      <c r="N30" s="497">
        <v>200.92375578164288</v>
      </c>
      <c r="O30" s="497">
        <v>226.15975568209143</v>
      </c>
      <c r="P30" s="497">
        <v>236.67963690128505</v>
      </c>
      <c r="Q30" s="497">
        <v>233.67755781051548</v>
      </c>
      <c r="R30" s="497">
        <v>232.41450124894033</v>
      </c>
      <c r="S30" s="497">
        <v>238.47006981584568</v>
      </c>
      <c r="T30" s="497">
        <v>251.29902251321639</v>
      </c>
      <c r="U30" s="497">
        <v>282.53681615034293</v>
      </c>
      <c r="V30" s="497">
        <v>308.4216652291891</v>
      </c>
      <c r="W30" s="497">
        <v>319.07065419542425</v>
      </c>
      <c r="X30" s="497">
        <v>299.962320910541</v>
      </c>
      <c r="Y30" s="497">
        <v>296.10638535501863</v>
      </c>
      <c r="Z30" s="497">
        <v>281.86396834672513</v>
      </c>
      <c r="AA30" s="497">
        <v>294.32257898162919</v>
      </c>
      <c r="AB30" s="497">
        <v>310.59644627142308</v>
      </c>
      <c r="AC30" s="497">
        <v>314.72146440373081</v>
      </c>
      <c r="AD30" s="497">
        <v>357.21289007319507</v>
      </c>
      <c r="AE30" s="497">
        <v>379.77548694516969</v>
      </c>
      <c r="AF30" s="497">
        <v>370.94964032289801</v>
      </c>
      <c r="AG30" s="497">
        <v>347.78159412545949</v>
      </c>
      <c r="AH30" s="497">
        <v>330.34558985676739</v>
      </c>
      <c r="AI30" s="497">
        <v>314.81280066911762</v>
      </c>
      <c r="AJ30" s="497">
        <v>310.82127394923151</v>
      </c>
      <c r="AK30" s="497">
        <v>335.72504277351783</v>
      </c>
      <c r="AL30" s="497">
        <v>352.23886748571363</v>
      </c>
      <c r="AM30" s="497">
        <v>352.61679059391605</v>
      </c>
      <c r="AN30" s="497">
        <v>347.27008658160781</v>
      </c>
      <c r="AO30" s="497">
        <v>345.82897043281326</v>
      </c>
      <c r="AP30" s="497">
        <v>336.88117388519447</v>
      </c>
      <c r="AQ30" s="497">
        <v>336.52110270690662</v>
      </c>
      <c r="AR30" s="497">
        <v>323.11416428034732</v>
      </c>
      <c r="AS30" s="498">
        <v>326.91442066176307</v>
      </c>
    </row>
    <row r="31" spans="1:45" ht="13">
      <c r="A31" s="507"/>
      <c r="B31" s="496"/>
      <c r="C31" s="497"/>
      <c r="D31" s="497"/>
      <c r="E31" s="497"/>
      <c r="F31" s="497"/>
      <c r="G31" s="497"/>
      <c r="H31" s="497"/>
      <c r="I31" s="497"/>
      <c r="J31" s="497"/>
      <c r="K31" s="497"/>
      <c r="L31" s="497"/>
      <c r="M31" s="497"/>
      <c r="N31" s="497"/>
      <c r="O31" s="497"/>
      <c r="P31" s="497"/>
      <c r="Q31" s="497"/>
      <c r="R31" s="497"/>
      <c r="S31" s="497"/>
      <c r="T31" s="497"/>
      <c r="U31" s="497"/>
      <c r="V31" s="497"/>
      <c r="W31" s="497"/>
      <c r="X31" s="497"/>
      <c r="Y31" s="497"/>
      <c r="Z31" s="497"/>
      <c r="AA31" s="497"/>
      <c r="AB31" s="497"/>
      <c r="AC31" s="497"/>
      <c r="AD31" s="497"/>
      <c r="AE31" s="497"/>
      <c r="AF31" s="497"/>
      <c r="AG31" s="497"/>
      <c r="AH31" s="497"/>
      <c r="AI31" s="497"/>
      <c r="AJ31" s="497"/>
      <c r="AK31" s="497"/>
      <c r="AL31" s="497"/>
      <c r="AM31" s="497"/>
      <c r="AN31" s="497"/>
      <c r="AO31" s="497"/>
      <c r="AP31" s="497"/>
      <c r="AQ31" s="497"/>
      <c r="AR31" s="497"/>
      <c r="AS31" s="498"/>
    </row>
    <row r="32" spans="1:45" ht="13">
      <c r="A32" s="506" t="s">
        <v>894</v>
      </c>
      <c r="B32" s="496" t="s">
        <v>895</v>
      </c>
      <c r="C32" s="497">
        <v>114.27846811361083</v>
      </c>
      <c r="D32" s="497">
        <v>115.71360016532151</v>
      </c>
      <c r="E32" s="497">
        <v>126.4953852784776</v>
      </c>
      <c r="F32" s="497">
        <v>132.78833243874647</v>
      </c>
      <c r="G32" s="497">
        <v>138.64664782881945</v>
      </c>
      <c r="H32" s="497">
        <v>145.63533644753528</v>
      </c>
      <c r="I32" s="497">
        <v>150.08232681312523</v>
      </c>
      <c r="J32" s="497">
        <v>158.22046531212698</v>
      </c>
      <c r="K32" s="497">
        <v>166.08342737112775</v>
      </c>
      <c r="L32" s="497">
        <v>179.83951210850361</v>
      </c>
      <c r="M32" s="497">
        <v>192.18901646583689</v>
      </c>
      <c r="N32" s="497">
        <v>202.09580976074565</v>
      </c>
      <c r="O32" s="497">
        <v>217.65296944301491</v>
      </c>
      <c r="P32" s="497">
        <v>236.23020011240436</v>
      </c>
      <c r="Q32" s="497">
        <v>251.72314046565666</v>
      </c>
      <c r="R32" s="497">
        <v>264.37320551225264</v>
      </c>
      <c r="S32" s="497">
        <v>275.0919660845351</v>
      </c>
      <c r="T32" s="497">
        <v>283.83834240069814</v>
      </c>
      <c r="U32" s="497">
        <v>296.18087114948116</v>
      </c>
      <c r="V32" s="497">
        <v>312.92898758658373</v>
      </c>
      <c r="W32" s="497">
        <v>330.75477309079747</v>
      </c>
      <c r="X32" s="497">
        <v>330.91254667131022</v>
      </c>
      <c r="Y32" s="497">
        <v>319.19517907967503</v>
      </c>
      <c r="Z32" s="497">
        <v>304.87790869198568</v>
      </c>
      <c r="AA32" s="497">
        <v>308.0873761717047</v>
      </c>
      <c r="AB32" s="497">
        <v>325.25771830505278</v>
      </c>
      <c r="AC32" s="497">
        <v>334.83771186788505</v>
      </c>
      <c r="AD32" s="497">
        <v>345.78943101651441</v>
      </c>
      <c r="AE32" s="497">
        <v>355.91558239357289</v>
      </c>
      <c r="AF32" s="497">
        <v>359.19489317653893</v>
      </c>
      <c r="AG32" s="497">
        <v>357.90100919077997</v>
      </c>
      <c r="AH32" s="497">
        <v>362.72249811667979</v>
      </c>
      <c r="AI32" s="497">
        <v>365.35575338828619</v>
      </c>
      <c r="AJ32" s="497">
        <v>371.95185909415682</v>
      </c>
      <c r="AK32" s="497">
        <v>382.86749970948239</v>
      </c>
      <c r="AL32" s="497">
        <v>403.15301699629134</v>
      </c>
      <c r="AM32" s="497">
        <v>431.60460585206954</v>
      </c>
      <c r="AN32" s="497">
        <v>445.83698807162926</v>
      </c>
      <c r="AO32" s="497">
        <v>462.80779170156984</v>
      </c>
      <c r="AP32" s="497">
        <v>482.07213524893837</v>
      </c>
      <c r="AQ32" s="497">
        <v>478.81620776946681</v>
      </c>
      <c r="AR32" s="497">
        <v>489.639294101041</v>
      </c>
      <c r="AS32" s="498">
        <v>500.70596998171254</v>
      </c>
    </row>
    <row r="33" spans="1:45" ht="13">
      <c r="A33" s="506" t="s">
        <v>896</v>
      </c>
      <c r="B33" s="496" t="s">
        <v>897</v>
      </c>
      <c r="C33" s="497">
        <v>94.565111289152625</v>
      </c>
      <c r="D33" s="497">
        <v>93.699982020159254</v>
      </c>
      <c r="E33" s="497">
        <v>103.0182346712089</v>
      </c>
      <c r="F33" s="497">
        <v>108.8757229886223</v>
      </c>
      <c r="G33" s="497">
        <v>114.83598310176413</v>
      </c>
      <c r="H33" s="497">
        <v>121.03516624681924</v>
      </c>
      <c r="I33" s="497">
        <v>125.37438802847765</v>
      </c>
      <c r="J33" s="497">
        <v>133.30546794245535</v>
      </c>
      <c r="K33" s="497">
        <v>139.29528635306517</v>
      </c>
      <c r="L33" s="497">
        <v>151.90862898903384</v>
      </c>
      <c r="M33" s="497">
        <v>163.77078952336376</v>
      </c>
      <c r="N33" s="497">
        <v>172.34311418855842</v>
      </c>
      <c r="O33" s="497">
        <v>183.98539554987761</v>
      </c>
      <c r="P33" s="497">
        <v>197.84490614186922</v>
      </c>
      <c r="Q33" s="497">
        <v>210.70965924725471</v>
      </c>
      <c r="R33" s="497">
        <v>221.02797418766036</v>
      </c>
      <c r="S33" s="497">
        <v>229.24167290666298</v>
      </c>
      <c r="T33" s="497">
        <v>235.29782906795444</v>
      </c>
      <c r="U33" s="497">
        <v>243.43683420168807</v>
      </c>
      <c r="V33" s="497">
        <v>253.3089866566194</v>
      </c>
      <c r="W33" s="497">
        <v>264.06344969537872</v>
      </c>
      <c r="X33" s="497">
        <v>264.09821169773198</v>
      </c>
      <c r="Y33" s="497">
        <v>255.53931970556911</v>
      </c>
      <c r="Z33" s="497">
        <v>240.44756992593349</v>
      </c>
      <c r="AA33" s="497">
        <v>239.57291046634293</v>
      </c>
      <c r="AB33" s="497">
        <v>251.69254259343421</v>
      </c>
      <c r="AC33" s="497">
        <v>255.78728768067324</v>
      </c>
      <c r="AD33" s="497">
        <v>262.29888824198167</v>
      </c>
      <c r="AE33" s="497">
        <v>270.56942190763959</v>
      </c>
      <c r="AF33" s="497">
        <v>267.34792797709764</v>
      </c>
      <c r="AG33" s="497">
        <v>263.2646937885969</v>
      </c>
      <c r="AH33" s="497">
        <v>267.79453389767292</v>
      </c>
      <c r="AI33" s="497">
        <v>266.57864422178773</v>
      </c>
      <c r="AJ33" s="497">
        <v>269.44587327533463</v>
      </c>
      <c r="AK33" s="497">
        <v>278.01345698347666</v>
      </c>
      <c r="AL33" s="497">
        <v>289.85188957340421</v>
      </c>
      <c r="AM33" s="497">
        <v>310.05393131203601</v>
      </c>
      <c r="AN33" s="497">
        <v>320.37949151235796</v>
      </c>
      <c r="AO33" s="497">
        <v>331.62324999999998</v>
      </c>
      <c r="AP33" s="497">
        <v>343.47375</v>
      </c>
      <c r="AQ33" s="497">
        <v>342.00021767349233</v>
      </c>
      <c r="AR33" s="497">
        <v>347.79471119405167</v>
      </c>
      <c r="AS33" s="498">
        <v>351.62146309890841</v>
      </c>
    </row>
    <row r="34" spans="1:45" ht="13">
      <c r="A34" s="506" t="s">
        <v>898</v>
      </c>
      <c r="B34" s="496" t="s">
        <v>899</v>
      </c>
      <c r="C34" s="497">
        <v>19.713356824458199</v>
      </c>
      <c r="D34" s="497">
        <v>22.013618145162251</v>
      </c>
      <c r="E34" s="497">
        <v>23.477150607268698</v>
      </c>
      <c r="F34" s="497">
        <v>23.912609450124162</v>
      </c>
      <c r="G34" s="497">
        <v>23.810664727055322</v>
      </c>
      <c r="H34" s="497">
        <v>24.600170200716036</v>
      </c>
      <c r="I34" s="497">
        <v>24.707938784647581</v>
      </c>
      <c r="J34" s="497">
        <v>24.914997369671635</v>
      </c>
      <c r="K34" s="497">
        <v>26.788141018062589</v>
      </c>
      <c r="L34" s="497">
        <v>27.93088311946978</v>
      </c>
      <c r="M34" s="497">
        <v>28.418226942473119</v>
      </c>
      <c r="N34" s="497">
        <v>29.752695572187243</v>
      </c>
      <c r="O34" s="497">
        <v>33.667573893137316</v>
      </c>
      <c r="P34" s="497">
        <v>38.385293970535145</v>
      </c>
      <c r="Q34" s="497">
        <v>41.013481218401949</v>
      </c>
      <c r="R34" s="497">
        <v>43.345231324592262</v>
      </c>
      <c r="S34" s="497">
        <v>45.850293177872111</v>
      </c>
      <c r="T34" s="497">
        <v>48.540513332743728</v>
      </c>
      <c r="U34" s="497">
        <v>52.744036947793063</v>
      </c>
      <c r="V34" s="497">
        <v>59.620000929964334</v>
      </c>
      <c r="W34" s="497">
        <v>66.691323395418777</v>
      </c>
      <c r="X34" s="497">
        <v>66.814334973578269</v>
      </c>
      <c r="Y34" s="497">
        <v>63.655859374105923</v>
      </c>
      <c r="Z34" s="497">
        <v>64.430338766052174</v>
      </c>
      <c r="AA34" s="497">
        <v>68.514465705361772</v>
      </c>
      <c r="AB34" s="497">
        <v>73.565175711618579</v>
      </c>
      <c r="AC34" s="497">
        <v>79.050424187211803</v>
      </c>
      <c r="AD34" s="497">
        <v>83.490542774532742</v>
      </c>
      <c r="AE34" s="497">
        <v>85.346160485933268</v>
      </c>
      <c r="AF34" s="497">
        <v>91.846965199441286</v>
      </c>
      <c r="AG34" s="497">
        <v>94.636315402183044</v>
      </c>
      <c r="AH34" s="497">
        <v>94.927964219006867</v>
      </c>
      <c r="AI34" s="497">
        <v>98.777109166498448</v>
      </c>
      <c r="AJ34" s="497">
        <v>102.50598581882218</v>
      </c>
      <c r="AK34" s="497">
        <v>104.85404272600574</v>
      </c>
      <c r="AL34" s="497">
        <v>113.30112742288713</v>
      </c>
      <c r="AM34" s="497">
        <v>121.55067454003351</v>
      </c>
      <c r="AN34" s="497">
        <v>125.45749655927131</v>
      </c>
      <c r="AO34" s="497">
        <v>131.18454170156986</v>
      </c>
      <c r="AP34" s="497">
        <v>138.59838524893837</v>
      </c>
      <c r="AQ34" s="497">
        <v>136.81599009597448</v>
      </c>
      <c r="AR34" s="497">
        <v>141.84458290698933</v>
      </c>
      <c r="AS34" s="498">
        <v>149.08450688280413</v>
      </c>
    </row>
    <row r="35" spans="1:45" ht="13">
      <c r="A35" s="507"/>
      <c r="B35" s="496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Y35" s="497"/>
      <c r="Z35" s="497"/>
      <c r="AA35" s="497"/>
      <c r="AB35" s="497"/>
      <c r="AC35" s="497"/>
      <c r="AD35" s="497"/>
      <c r="AE35" s="497"/>
      <c r="AF35" s="497"/>
      <c r="AG35" s="497"/>
      <c r="AH35" s="497"/>
      <c r="AI35" s="497"/>
      <c r="AJ35" s="497"/>
      <c r="AK35" s="497"/>
      <c r="AL35" s="497"/>
      <c r="AM35" s="497"/>
      <c r="AN35" s="497"/>
      <c r="AO35" s="497"/>
      <c r="AP35" s="497"/>
      <c r="AQ35" s="497"/>
      <c r="AR35" s="497"/>
      <c r="AS35" s="498"/>
    </row>
    <row r="36" spans="1:45" ht="13">
      <c r="A36" s="506" t="s">
        <v>280</v>
      </c>
      <c r="B36" s="496" t="s">
        <v>928</v>
      </c>
      <c r="C36" s="497">
        <v>100.68147985440106</v>
      </c>
      <c r="D36" s="497">
        <v>103.18066835010262</v>
      </c>
      <c r="E36" s="497">
        <v>101.15063237301368</v>
      </c>
      <c r="F36" s="497">
        <v>102.04754189315656</v>
      </c>
      <c r="G36" s="497">
        <v>105.7215966351621</v>
      </c>
      <c r="H36" s="497">
        <v>107.77426866268189</v>
      </c>
      <c r="I36" s="497">
        <v>110.18146004118333</v>
      </c>
      <c r="J36" s="497">
        <v>112.85642515481629</v>
      </c>
      <c r="K36" s="497">
        <v>117.77049896391119</v>
      </c>
      <c r="L36" s="497">
        <v>118.38539762831707</v>
      </c>
      <c r="M36" s="497">
        <v>117.62971637434286</v>
      </c>
      <c r="N36" s="497">
        <v>119.94454998973879</v>
      </c>
      <c r="O36" s="497">
        <v>121.28699736710038</v>
      </c>
      <c r="P36" s="497">
        <v>124.40011679684268</v>
      </c>
      <c r="Q36" s="497">
        <v>127.51700696857084</v>
      </c>
      <c r="R36" s="497">
        <v>133.93640058417367</v>
      </c>
      <c r="S36" s="497">
        <v>143.40362217914048</v>
      </c>
      <c r="T36" s="497">
        <v>147.51737532554426</v>
      </c>
      <c r="U36" s="497">
        <v>151.26317505185563</v>
      </c>
      <c r="V36" s="497">
        <v>154.31590729055625</v>
      </c>
      <c r="W36" s="497">
        <v>154.97309027827902</v>
      </c>
      <c r="X36" s="497">
        <v>155.61311861918983</v>
      </c>
      <c r="Y36" s="497">
        <v>162.26352603247301</v>
      </c>
      <c r="Z36" s="497">
        <v>164.47417785351075</v>
      </c>
      <c r="AA36" s="497">
        <v>170.64877101924347</v>
      </c>
      <c r="AB36" s="497">
        <v>183.28455717178204</v>
      </c>
      <c r="AC36" s="497">
        <v>186.72406216198971</v>
      </c>
      <c r="AD36" s="497">
        <v>184.72885965727363</v>
      </c>
      <c r="AE36" s="497">
        <v>178.94880596044126</v>
      </c>
      <c r="AF36" s="497">
        <v>183.37128969093339</v>
      </c>
      <c r="AG36" s="497">
        <v>180.75715994208073</v>
      </c>
      <c r="AH36" s="497">
        <v>180.45329573120858</v>
      </c>
      <c r="AI36" s="497">
        <v>175.82782770869218</v>
      </c>
      <c r="AJ36" s="497">
        <v>169.36594589003849</v>
      </c>
      <c r="AK36" s="497">
        <v>170.37692392536624</v>
      </c>
      <c r="AL36" s="497">
        <v>173.48594017269639</v>
      </c>
      <c r="AM36" s="497">
        <v>181.08954472586805</v>
      </c>
      <c r="AN36" s="497">
        <v>183.36063387563701</v>
      </c>
      <c r="AO36" s="497">
        <v>185.87394145232932</v>
      </c>
      <c r="AP36" s="497">
        <v>183.84910127865675</v>
      </c>
      <c r="AQ36" s="497">
        <v>178.15475704065224</v>
      </c>
      <c r="AR36" s="497">
        <v>169.4418495919669</v>
      </c>
      <c r="AS36" s="498">
        <v>167.14242100078607</v>
      </c>
    </row>
    <row r="37" spans="1:45" ht="13">
      <c r="A37" s="506" t="s">
        <v>901</v>
      </c>
      <c r="B37" s="496" t="s">
        <v>902</v>
      </c>
      <c r="C37" s="497">
        <v>86.965869572729503</v>
      </c>
      <c r="D37" s="497">
        <v>88.862758224752739</v>
      </c>
      <c r="E37" s="497">
        <v>85.738122468879979</v>
      </c>
      <c r="F37" s="497">
        <v>85.215401280230623</v>
      </c>
      <c r="G37" s="497">
        <v>87.558272232072511</v>
      </c>
      <c r="H37" s="497">
        <v>88.331816621476577</v>
      </c>
      <c r="I37" s="497">
        <v>89.488262319406942</v>
      </c>
      <c r="J37" s="497">
        <v>91.085634991025231</v>
      </c>
      <c r="K37" s="497">
        <v>95.183481947660994</v>
      </c>
      <c r="L37" s="497">
        <v>95.060073240636342</v>
      </c>
      <c r="M37" s="497">
        <v>93.307598426285963</v>
      </c>
      <c r="N37" s="497">
        <v>94.442058259681914</v>
      </c>
      <c r="O37" s="497">
        <v>94.518297251207841</v>
      </c>
      <c r="P37" s="497">
        <v>96.802998538522914</v>
      </c>
      <c r="Q37" s="497">
        <v>99.032892023286664</v>
      </c>
      <c r="R37" s="497">
        <v>104.33152147843438</v>
      </c>
      <c r="S37" s="497">
        <v>113.26222115208338</v>
      </c>
      <c r="T37" s="497">
        <v>116.37088947608166</v>
      </c>
      <c r="U37" s="497">
        <v>119.0500577770762</v>
      </c>
      <c r="V37" s="497">
        <v>121.11364546688668</v>
      </c>
      <c r="W37" s="497">
        <v>120.33853100683081</v>
      </c>
      <c r="X37" s="497">
        <v>118.65760815167673</v>
      </c>
      <c r="Y37" s="497">
        <v>122.03266763702871</v>
      </c>
      <c r="Z37" s="497">
        <v>121.7494875522008</v>
      </c>
      <c r="AA37" s="497">
        <v>126.95032643711768</v>
      </c>
      <c r="AB37" s="497">
        <v>139.40878964203631</v>
      </c>
      <c r="AC37" s="497">
        <v>142.74307844179742</v>
      </c>
      <c r="AD37" s="497">
        <v>140.75896796114858</v>
      </c>
      <c r="AE37" s="497">
        <v>134.79671117091573</v>
      </c>
      <c r="AF37" s="497">
        <v>138.11242237927445</v>
      </c>
      <c r="AG37" s="497">
        <v>134.36575544289539</v>
      </c>
      <c r="AH37" s="497">
        <v>134.00760005433756</v>
      </c>
      <c r="AI37" s="497">
        <v>129.57712893367096</v>
      </c>
      <c r="AJ37" s="497">
        <v>122.9823018600477</v>
      </c>
      <c r="AK37" s="497">
        <v>124.03333016717642</v>
      </c>
      <c r="AL37" s="497">
        <v>126.95445775936214</v>
      </c>
      <c r="AM37" s="497">
        <v>134.03130956870856</v>
      </c>
      <c r="AN37" s="497">
        <v>136.429937027905</v>
      </c>
      <c r="AO37" s="497">
        <v>139.35797860977038</v>
      </c>
      <c r="AP37" s="497">
        <v>137.36860781448144</v>
      </c>
      <c r="AQ37" s="497">
        <v>132.31465306722814</v>
      </c>
      <c r="AR37" s="497">
        <v>124.75470737557772</v>
      </c>
      <c r="AS37" s="498">
        <v>121.33147559256189</v>
      </c>
    </row>
    <row r="38" spans="1:45" ht="13">
      <c r="A38" s="506" t="s">
        <v>903</v>
      </c>
      <c r="B38" s="496" t="s">
        <v>904</v>
      </c>
      <c r="C38" s="497">
        <v>13.715610281671557</v>
      </c>
      <c r="D38" s="497">
        <v>14.317910125349886</v>
      </c>
      <c r="E38" s="497">
        <v>15.412509904133694</v>
      </c>
      <c r="F38" s="497">
        <v>16.832140612925937</v>
      </c>
      <c r="G38" s="497">
        <v>18.16332440308959</v>
      </c>
      <c r="H38" s="497">
        <v>19.442452041205307</v>
      </c>
      <c r="I38" s="497">
        <v>20.693197721776389</v>
      </c>
      <c r="J38" s="497">
        <v>21.770790163791062</v>
      </c>
      <c r="K38" s="497">
        <v>22.587017016250201</v>
      </c>
      <c r="L38" s="497">
        <v>23.32532438768073</v>
      </c>
      <c r="M38" s="497">
        <v>24.322117948056899</v>
      </c>
      <c r="N38" s="497">
        <v>25.502491730056867</v>
      </c>
      <c r="O38" s="497">
        <v>26.768700115892543</v>
      </c>
      <c r="P38" s="497">
        <v>27.597118258319767</v>
      </c>
      <c r="Q38" s="497">
        <v>28.484114945284176</v>
      </c>
      <c r="R38" s="497">
        <v>29.604879105739293</v>
      </c>
      <c r="S38" s="497">
        <v>30.141401027057107</v>
      </c>
      <c r="T38" s="497">
        <v>31.146485849462614</v>
      </c>
      <c r="U38" s="497">
        <v>32.213117274779435</v>
      </c>
      <c r="V38" s="497">
        <v>33.202261823669581</v>
      </c>
      <c r="W38" s="497">
        <v>34.634559271448211</v>
      </c>
      <c r="X38" s="497">
        <v>36.955510467513093</v>
      </c>
      <c r="Y38" s="497">
        <v>40.230858395444294</v>
      </c>
      <c r="Z38" s="497">
        <v>42.724690301309963</v>
      </c>
      <c r="AA38" s="497">
        <v>43.698444582125788</v>
      </c>
      <c r="AB38" s="497">
        <v>43.87576752974573</v>
      </c>
      <c r="AC38" s="497">
        <v>43.980983720192299</v>
      </c>
      <c r="AD38" s="497">
        <v>43.969891696125053</v>
      </c>
      <c r="AE38" s="497">
        <v>44.152094789525535</v>
      </c>
      <c r="AF38" s="497">
        <v>45.258867311658939</v>
      </c>
      <c r="AG38" s="497">
        <v>46.391404499185342</v>
      </c>
      <c r="AH38" s="497">
        <v>46.445695676871026</v>
      </c>
      <c r="AI38" s="497">
        <v>46.250698775021228</v>
      </c>
      <c r="AJ38" s="497">
        <v>46.383644029990784</v>
      </c>
      <c r="AK38" s="497">
        <v>46.343593758189826</v>
      </c>
      <c r="AL38" s="497">
        <v>46.531482413334253</v>
      </c>
      <c r="AM38" s="497">
        <v>47.058235157159494</v>
      </c>
      <c r="AN38" s="497">
        <v>46.930696847732001</v>
      </c>
      <c r="AO38" s="497">
        <v>46.515962842558928</v>
      </c>
      <c r="AP38" s="497">
        <v>46.480493464175296</v>
      </c>
      <c r="AQ38" s="497">
        <v>45.840103973424107</v>
      </c>
      <c r="AR38" s="497">
        <v>44.687142216389184</v>
      </c>
      <c r="AS38" s="498">
        <v>45.810945408224185</v>
      </c>
    </row>
    <row r="39" spans="1:45" ht="13">
      <c r="A39" s="507"/>
      <c r="B39" s="496"/>
      <c r="C39" s="497"/>
      <c r="D39" s="497"/>
      <c r="E39" s="497"/>
      <c r="F39" s="497"/>
      <c r="G39" s="497"/>
      <c r="H39" s="4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Y39" s="497"/>
      <c r="Z39" s="497"/>
      <c r="AA39" s="497"/>
      <c r="AB39" s="497"/>
      <c r="AC39" s="497"/>
      <c r="AD39" s="497"/>
      <c r="AE39" s="497"/>
      <c r="AF39" s="497"/>
      <c r="AG39" s="497"/>
      <c r="AH39" s="497"/>
      <c r="AI39" s="497"/>
      <c r="AJ39" s="497"/>
      <c r="AK39" s="497"/>
      <c r="AL39" s="497"/>
      <c r="AM39" s="497"/>
      <c r="AN39" s="497"/>
      <c r="AO39" s="497"/>
      <c r="AP39" s="497"/>
      <c r="AQ39" s="497"/>
      <c r="AR39" s="497"/>
      <c r="AS39" s="498"/>
    </row>
    <row r="40" spans="1:45" ht="13">
      <c r="A40" s="506" t="s">
        <v>905</v>
      </c>
      <c r="B40" s="496" t="s">
        <v>906</v>
      </c>
      <c r="C40" s="497">
        <v>19.724273565600697</v>
      </c>
      <c r="D40" s="497">
        <v>20.641787638604782</v>
      </c>
      <c r="E40" s="497">
        <v>21.301157028151138</v>
      </c>
      <c r="F40" s="497">
        <v>22.146574047371345</v>
      </c>
      <c r="G40" s="497">
        <v>22.807827955088374</v>
      </c>
      <c r="H40" s="497">
        <v>23.624663140735628</v>
      </c>
      <c r="I40" s="497">
        <v>24.876856759517619</v>
      </c>
      <c r="J40" s="497">
        <v>25.828732479547348</v>
      </c>
      <c r="K40" s="497">
        <v>26.787322849922525</v>
      </c>
      <c r="L40" s="497">
        <v>27.653767113319894</v>
      </c>
      <c r="M40" s="497">
        <v>28.866029554984582</v>
      </c>
      <c r="N40" s="497">
        <v>30.823641954675185</v>
      </c>
      <c r="O40" s="497">
        <v>33.038506461488105</v>
      </c>
      <c r="P40" s="497">
        <v>35.589729769377904</v>
      </c>
      <c r="Q40" s="497">
        <v>38.763012563532214</v>
      </c>
      <c r="R40" s="497">
        <v>42.976086324437588</v>
      </c>
      <c r="S40" s="497">
        <v>48.830761883939658</v>
      </c>
      <c r="T40" s="497">
        <v>54.105796495751378</v>
      </c>
      <c r="U40" s="497">
        <v>58.146108648316115</v>
      </c>
      <c r="V40" s="497">
        <v>62.665388478031602</v>
      </c>
      <c r="W40" s="497">
        <v>69.119437944645966</v>
      </c>
      <c r="X40" s="497">
        <v>73.410266105176447</v>
      </c>
      <c r="Y40" s="497">
        <v>71.332848908020523</v>
      </c>
      <c r="Z40" s="497">
        <v>68.519440764847729</v>
      </c>
      <c r="AA40" s="497">
        <v>72.159493321201111</v>
      </c>
      <c r="AB40" s="497">
        <v>78.586231500888672</v>
      </c>
      <c r="AC40" s="497">
        <v>83.312672961382034</v>
      </c>
      <c r="AD40" s="497">
        <v>89.960794227151922</v>
      </c>
      <c r="AE40" s="497">
        <v>97.220931473326118</v>
      </c>
      <c r="AF40" s="497">
        <v>109.32205289213437</v>
      </c>
      <c r="AG40" s="497">
        <v>112.25797381068728</v>
      </c>
      <c r="AH40" s="497">
        <v>116.86535976980626</v>
      </c>
      <c r="AI40" s="497">
        <v>113.9496195126207</v>
      </c>
      <c r="AJ40" s="497">
        <v>112.57881657989553</v>
      </c>
      <c r="AK40" s="497">
        <v>113.61184356859194</v>
      </c>
      <c r="AL40" s="497">
        <v>119.73918064153341</v>
      </c>
      <c r="AM40" s="497">
        <v>134.20394391559202</v>
      </c>
      <c r="AN40" s="497">
        <v>137.63506620707432</v>
      </c>
      <c r="AO40" s="497">
        <v>146.69300000000001</v>
      </c>
      <c r="AP40" s="497">
        <v>151.32124999999999</v>
      </c>
      <c r="AQ40" s="497">
        <v>151.90690814364939</v>
      </c>
      <c r="AR40" s="497">
        <v>157.05918082165999</v>
      </c>
      <c r="AS40" s="498">
        <v>165.83358937892956</v>
      </c>
    </row>
    <row r="41" spans="1:45" ht="13">
      <c r="A41" s="506" t="s">
        <v>907</v>
      </c>
      <c r="B41" s="496" t="s">
        <v>908</v>
      </c>
      <c r="C41" s="497">
        <v>10.05287111945024</v>
      </c>
      <c r="D41" s="497">
        <v>10.612444781220889</v>
      </c>
      <c r="E41" s="497">
        <v>10.974122996418352</v>
      </c>
      <c r="F41" s="497">
        <v>11.390848085847704</v>
      </c>
      <c r="G41" s="497">
        <v>11.645307957588242</v>
      </c>
      <c r="H41" s="497">
        <v>11.949115700069704</v>
      </c>
      <c r="I41" s="497">
        <v>12.450469778188895</v>
      </c>
      <c r="J41" s="497">
        <v>12.8445</v>
      </c>
      <c r="K41" s="497">
        <v>13.44868013187533</v>
      </c>
      <c r="L41" s="497">
        <v>14.064513831180776</v>
      </c>
      <c r="M41" s="497">
        <v>14.649951915673176</v>
      </c>
      <c r="N41" s="497">
        <v>15.615320832628518</v>
      </c>
      <c r="O41" s="497">
        <v>16.855948190898026</v>
      </c>
      <c r="P41" s="497">
        <v>18.638124751507885</v>
      </c>
      <c r="Q41" s="497">
        <v>20.84276974794972</v>
      </c>
      <c r="R41" s="497">
        <v>22.796685849560237</v>
      </c>
      <c r="S41" s="497">
        <v>24.939077190862616</v>
      </c>
      <c r="T41" s="497">
        <v>27.072691956131678</v>
      </c>
      <c r="U41" s="497">
        <v>29.078819034361562</v>
      </c>
      <c r="V41" s="497">
        <v>31.400081052658621</v>
      </c>
      <c r="W41" s="497">
        <v>34.791702772607948</v>
      </c>
      <c r="X41" s="497">
        <v>37.363304059546302</v>
      </c>
      <c r="Y41" s="497">
        <v>36.45636741328213</v>
      </c>
      <c r="Z41" s="497">
        <v>36.753816651301591</v>
      </c>
      <c r="AA41" s="497">
        <v>41.709559708168157</v>
      </c>
      <c r="AB41" s="497">
        <v>46.479145267412548</v>
      </c>
      <c r="AC41" s="497">
        <v>49.271411553470628</v>
      </c>
      <c r="AD41" s="497">
        <v>52.368352970695639</v>
      </c>
      <c r="AE41" s="497">
        <v>55.968613606193301</v>
      </c>
      <c r="AF41" s="497">
        <v>63.685651275358488</v>
      </c>
      <c r="AG41" s="497">
        <v>64.836087412024071</v>
      </c>
      <c r="AH41" s="497">
        <v>64.564105895174933</v>
      </c>
      <c r="AI41" s="497">
        <v>63.113257636232547</v>
      </c>
      <c r="AJ41" s="497">
        <v>61.752763823540832</v>
      </c>
      <c r="AK41" s="497">
        <v>60.314443194094196</v>
      </c>
      <c r="AL41" s="497">
        <v>62.139884583852094</v>
      </c>
      <c r="AM41" s="497">
        <v>67.433731657016523</v>
      </c>
      <c r="AN41" s="497">
        <v>65.302751444501624</v>
      </c>
      <c r="AO41" s="497">
        <v>68.09075</v>
      </c>
      <c r="AP41" s="497">
        <v>69.819499999999991</v>
      </c>
      <c r="AQ41" s="497">
        <v>70.361757996730546</v>
      </c>
      <c r="AR41" s="497">
        <v>69.039178389859629</v>
      </c>
      <c r="AS41" s="498">
        <v>69.920584977542546</v>
      </c>
    </row>
    <row r="42" spans="1:45" ht="13">
      <c r="A42" s="506" t="s">
        <v>909</v>
      </c>
      <c r="B42" s="496" t="s">
        <v>910</v>
      </c>
      <c r="C42" s="497">
        <v>4.9528537044139718</v>
      </c>
      <c r="D42" s="497">
        <v>5.3297705818790009</v>
      </c>
      <c r="E42" s="497">
        <v>5.6464382224594951</v>
      </c>
      <c r="F42" s="497">
        <v>6.0941066184819483</v>
      </c>
      <c r="G42" s="497">
        <v>6.519877120690035</v>
      </c>
      <c r="H42" s="497">
        <v>7.051881030087424</v>
      </c>
      <c r="I42" s="497">
        <v>7.8216970369818215</v>
      </c>
      <c r="J42" s="497">
        <v>8.3985190014320441</v>
      </c>
      <c r="K42" s="497">
        <v>8.4307031450335739</v>
      </c>
      <c r="L42" s="497">
        <v>8.4112478743136148</v>
      </c>
      <c r="M42" s="497">
        <v>8.3344939549589547</v>
      </c>
      <c r="N42" s="497">
        <v>8.3797891734021874</v>
      </c>
      <c r="O42" s="497">
        <v>8.6161508349334266</v>
      </c>
      <c r="P42" s="497">
        <v>9.0218410821787582</v>
      </c>
      <c r="Q42" s="497">
        <v>9.4444192194043914</v>
      </c>
      <c r="R42" s="497">
        <v>9.763304703052091</v>
      </c>
      <c r="S42" s="497">
        <v>10.072194336110348</v>
      </c>
      <c r="T42" s="497">
        <v>10.588008023760569</v>
      </c>
      <c r="U42" s="497">
        <v>11.375397305322963</v>
      </c>
      <c r="V42" s="497">
        <v>12.065892243440546</v>
      </c>
      <c r="W42" s="497">
        <v>12.974879573180909</v>
      </c>
      <c r="X42" s="497">
        <v>13.501457283516585</v>
      </c>
      <c r="Y42" s="497">
        <v>13.313618143149927</v>
      </c>
      <c r="Z42" s="497">
        <v>13.219676586249742</v>
      </c>
      <c r="AA42" s="497">
        <v>13.332200596403533</v>
      </c>
      <c r="AB42" s="497">
        <v>13.338643871447864</v>
      </c>
      <c r="AC42" s="497">
        <v>13.391185424037335</v>
      </c>
      <c r="AD42" s="497">
        <v>14.141429254046564</v>
      </c>
      <c r="AE42" s="497">
        <v>15.34561215785687</v>
      </c>
      <c r="AF42" s="497">
        <v>16.834097583689278</v>
      </c>
      <c r="AG42" s="497">
        <v>17.443955099736236</v>
      </c>
      <c r="AH42" s="497">
        <v>18.818727639072311</v>
      </c>
      <c r="AI42" s="497">
        <v>16.790052950624286</v>
      </c>
      <c r="AJ42" s="497">
        <v>16.550869551487061</v>
      </c>
      <c r="AK42" s="497">
        <v>15.982509218866165</v>
      </c>
      <c r="AL42" s="497">
        <v>15.253261697074993</v>
      </c>
      <c r="AM42" s="497">
        <v>16.497641386001234</v>
      </c>
      <c r="AN42" s="497">
        <v>16.155711875766738</v>
      </c>
      <c r="AO42" s="497">
        <v>16.681750000000001</v>
      </c>
      <c r="AP42" s="497">
        <v>17.256</v>
      </c>
      <c r="AQ42" s="497">
        <v>17.174996225634235</v>
      </c>
      <c r="AR42" s="497">
        <v>16.792517593430659</v>
      </c>
      <c r="AS42" s="498">
        <v>15.991684319373963</v>
      </c>
    </row>
    <row r="43" spans="1:45" ht="13">
      <c r="A43" s="506" t="s">
        <v>911</v>
      </c>
      <c r="B43" s="496" t="s">
        <v>912</v>
      </c>
      <c r="C43" s="497">
        <v>4.7185487417364875</v>
      </c>
      <c r="D43" s="497">
        <v>4.6995722755048899</v>
      </c>
      <c r="E43" s="497">
        <v>4.6805958092732922</v>
      </c>
      <c r="F43" s="497">
        <v>4.6616193430416946</v>
      </c>
      <c r="G43" s="497">
        <v>4.6426428768100969</v>
      </c>
      <c r="H43" s="497">
        <v>4.6236664105784993</v>
      </c>
      <c r="I43" s="497">
        <v>4.6046899443469016</v>
      </c>
      <c r="J43" s="497">
        <v>4.5857134781153039</v>
      </c>
      <c r="K43" s="497">
        <v>4.9079395730136204</v>
      </c>
      <c r="L43" s="497">
        <v>5.1780054078255011</v>
      </c>
      <c r="M43" s="497">
        <v>5.881583684352452</v>
      </c>
      <c r="N43" s="497">
        <v>6.8285319486444784</v>
      </c>
      <c r="O43" s="497">
        <v>7.5664074356566502</v>
      </c>
      <c r="P43" s="497">
        <v>7.9297639356912626</v>
      </c>
      <c r="Q43" s="497">
        <v>8.4758235961781008</v>
      </c>
      <c r="R43" s="497">
        <v>10.416095771825258</v>
      </c>
      <c r="S43" s="497">
        <v>13.8194903569667</v>
      </c>
      <c r="T43" s="497">
        <v>16.445096515859131</v>
      </c>
      <c r="U43" s="497">
        <v>17.691892308631594</v>
      </c>
      <c r="V43" s="497">
        <v>19.199415181932434</v>
      </c>
      <c r="W43" s="497">
        <v>21.352855598857115</v>
      </c>
      <c r="X43" s="497">
        <v>22.545504762113566</v>
      </c>
      <c r="Y43" s="497">
        <v>21.562863351588458</v>
      </c>
      <c r="Z43" s="497">
        <v>18.545947527296399</v>
      </c>
      <c r="AA43" s="497">
        <v>17.117733016629423</v>
      </c>
      <c r="AB43" s="497">
        <v>18.768442362028257</v>
      </c>
      <c r="AC43" s="497">
        <v>20.650075983874078</v>
      </c>
      <c r="AD43" s="497">
        <v>23.451012002409733</v>
      </c>
      <c r="AE43" s="497">
        <v>25.906705709275947</v>
      </c>
      <c r="AF43" s="497">
        <v>28.802304033086603</v>
      </c>
      <c r="AG43" s="497">
        <v>29.977931298926961</v>
      </c>
      <c r="AH43" s="497">
        <v>33.482526235559021</v>
      </c>
      <c r="AI43" s="497">
        <v>34.046308925763874</v>
      </c>
      <c r="AJ43" s="497">
        <v>34.275183204867645</v>
      </c>
      <c r="AK43" s="497">
        <v>37.314891155631571</v>
      </c>
      <c r="AL43" s="497">
        <v>42.346034360606332</v>
      </c>
      <c r="AM43" s="497">
        <v>50.272570872574256</v>
      </c>
      <c r="AN43" s="497">
        <v>56.176602886805952</v>
      </c>
      <c r="AO43" s="497">
        <v>61.920499999999997</v>
      </c>
      <c r="AP43" s="497">
        <v>64.245749999999987</v>
      </c>
      <c r="AQ43" s="497">
        <v>64.370153921284597</v>
      </c>
      <c r="AR43" s="497">
        <v>71.227484838369719</v>
      </c>
      <c r="AS43" s="498">
        <v>79.92132008201304</v>
      </c>
    </row>
    <row r="44" spans="1:45" ht="13">
      <c r="A44" s="507"/>
      <c r="B44" s="496"/>
      <c r="C44" s="497"/>
      <c r="D44" s="497"/>
      <c r="E44" s="497"/>
      <c r="F44" s="497"/>
      <c r="G44" s="497"/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Y44" s="497"/>
      <c r="Z44" s="497"/>
      <c r="AA44" s="497"/>
      <c r="AB44" s="497"/>
      <c r="AC44" s="497"/>
      <c r="AD44" s="497"/>
      <c r="AE44" s="497"/>
      <c r="AF44" s="497"/>
      <c r="AG44" s="497"/>
      <c r="AH44" s="497"/>
      <c r="AI44" s="497"/>
      <c r="AJ44" s="497"/>
      <c r="AK44" s="497"/>
      <c r="AL44" s="497"/>
      <c r="AM44" s="497"/>
      <c r="AN44" s="497"/>
      <c r="AO44" s="497"/>
      <c r="AP44" s="497"/>
      <c r="AQ44" s="497"/>
      <c r="AR44" s="497"/>
      <c r="AS44" s="498"/>
    </row>
    <row r="45" spans="1:45" ht="13">
      <c r="A45" s="506" t="s">
        <v>913</v>
      </c>
      <c r="B45" s="496" t="s">
        <v>914</v>
      </c>
      <c r="C45" s="497">
        <v>475.35684006830553</v>
      </c>
      <c r="D45" s="497">
        <v>470.94763708822745</v>
      </c>
      <c r="E45" s="497">
        <v>467.70501822130166</v>
      </c>
      <c r="F45" s="497">
        <v>468.3594005071804</v>
      </c>
      <c r="G45" s="497">
        <v>470.54230878125634</v>
      </c>
      <c r="H45" s="497">
        <v>476.72310274889998</v>
      </c>
      <c r="I45" s="497">
        <v>478.79632154497943</v>
      </c>
      <c r="J45" s="497">
        <v>479.13946320151535</v>
      </c>
      <c r="K45" s="497">
        <v>477.72616153626916</v>
      </c>
      <c r="L45" s="497">
        <v>482.70758723245939</v>
      </c>
      <c r="M45" s="497">
        <v>494.98319497541058</v>
      </c>
      <c r="N45" s="497">
        <v>503.87637429363485</v>
      </c>
      <c r="O45" s="497">
        <v>515.26153734272862</v>
      </c>
      <c r="P45" s="497">
        <v>539.61477688551497</v>
      </c>
      <c r="Q45" s="497">
        <v>559.07947201572881</v>
      </c>
      <c r="R45" s="497">
        <v>580.67572819959764</v>
      </c>
      <c r="S45" s="497">
        <v>612.98686959354734</v>
      </c>
      <c r="T45" s="497">
        <v>650.14471703656091</v>
      </c>
      <c r="U45" s="497">
        <v>654.00284910163066</v>
      </c>
      <c r="V45" s="497">
        <v>663.66878650812464</v>
      </c>
      <c r="W45" s="497">
        <v>666.10990133060034</v>
      </c>
      <c r="X45" s="497">
        <v>699.25674075604809</v>
      </c>
      <c r="Y45" s="497">
        <v>684.1058343769929</v>
      </c>
      <c r="Z45" s="497">
        <v>680.44654808610846</v>
      </c>
      <c r="AA45" s="497">
        <v>711.09259153652488</v>
      </c>
      <c r="AB45" s="497">
        <v>732.51671071987289</v>
      </c>
      <c r="AC45" s="497">
        <v>762.69172476540746</v>
      </c>
      <c r="AD45" s="497">
        <v>781.70498054047857</v>
      </c>
      <c r="AE45" s="497">
        <v>796.01847868250377</v>
      </c>
      <c r="AF45" s="497">
        <v>802.54067436079788</v>
      </c>
      <c r="AG45" s="497">
        <v>804.67626957495986</v>
      </c>
      <c r="AH45" s="497">
        <v>827.22990740673913</v>
      </c>
      <c r="AI45" s="497">
        <v>839.18434411946271</v>
      </c>
      <c r="AJ45" s="497">
        <v>848.97691492864658</v>
      </c>
      <c r="AK45" s="497">
        <v>859.91384605528538</v>
      </c>
      <c r="AL45" s="497">
        <v>886.03451664307863</v>
      </c>
      <c r="AM45" s="497">
        <v>921.39675737790753</v>
      </c>
      <c r="AN45" s="497">
        <v>941.98920179162019</v>
      </c>
      <c r="AO45" s="497">
        <v>963.70012620415901</v>
      </c>
      <c r="AP45" s="497">
        <v>977.92411671562036</v>
      </c>
      <c r="AQ45" s="497">
        <v>975.61786141070411</v>
      </c>
      <c r="AR45" s="497">
        <v>958.14527633926036</v>
      </c>
      <c r="AS45" s="498">
        <v>935.30028820201517</v>
      </c>
    </row>
    <row r="46" spans="1:45" ht="13">
      <c r="A46" s="506" t="s">
        <v>915</v>
      </c>
      <c r="B46" s="496" t="s">
        <v>916</v>
      </c>
      <c r="C46" s="497">
        <v>141.96171887154395</v>
      </c>
      <c r="D46" s="497">
        <v>141.14962631618218</v>
      </c>
      <c r="E46" s="497">
        <v>138.76871183911487</v>
      </c>
      <c r="F46" s="497">
        <v>139.57602250895798</v>
      </c>
      <c r="G46" s="497">
        <v>140.03308468654336</v>
      </c>
      <c r="H46" s="497">
        <v>142.57574617272275</v>
      </c>
      <c r="I46" s="497">
        <v>141.75259286762497</v>
      </c>
      <c r="J46" s="497">
        <v>142.46790068134487</v>
      </c>
      <c r="K46" s="497">
        <v>142.20973538342946</v>
      </c>
      <c r="L46" s="497">
        <v>145.8703138385855</v>
      </c>
      <c r="M46" s="497">
        <v>153.2806012922334</v>
      </c>
      <c r="N46" s="497">
        <v>159.91295615004947</v>
      </c>
      <c r="O46" s="497">
        <v>169.16864828871925</v>
      </c>
      <c r="P46" s="497">
        <v>190.71289394810924</v>
      </c>
      <c r="Q46" s="497">
        <v>207.20882057835598</v>
      </c>
      <c r="R46" s="497">
        <v>223.72465693872937</v>
      </c>
      <c r="S46" s="497">
        <v>248.47538996081647</v>
      </c>
      <c r="T46" s="497">
        <v>281.11041556877979</v>
      </c>
      <c r="U46" s="497">
        <v>277.4663000519713</v>
      </c>
      <c r="V46" s="497">
        <v>275.22350897612921</v>
      </c>
      <c r="W46" s="497">
        <v>269.99209715793893</v>
      </c>
      <c r="X46" s="497">
        <v>294.0787394869248</v>
      </c>
      <c r="Y46" s="497">
        <v>260.90243120502799</v>
      </c>
      <c r="Z46" s="497">
        <v>243.83153474281281</v>
      </c>
      <c r="AA46" s="497">
        <v>266.97499532138249</v>
      </c>
      <c r="AB46" s="497">
        <v>274.80202193246635</v>
      </c>
      <c r="AC46" s="497">
        <v>288.5152736972455</v>
      </c>
      <c r="AD46" s="497">
        <v>297.01585274720861</v>
      </c>
      <c r="AE46" s="497">
        <v>298.70950533952441</v>
      </c>
      <c r="AF46" s="497">
        <v>291.83541583226037</v>
      </c>
      <c r="AG46" s="497">
        <v>289.12206817282203</v>
      </c>
      <c r="AH46" s="497">
        <v>295.47785748132412</v>
      </c>
      <c r="AI46" s="497">
        <v>301.21513375184901</v>
      </c>
      <c r="AJ46" s="497">
        <v>305.21804108333424</v>
      </c>
      <c r="AK46" s="497">
        <v>308.57047544337684</v>
      </c>
      <c r="AL46" s="497">
        <v>321.04637452651968</v>
      </c>
      <c r="AM46" s="497">
        <v>334.72456695393612</v>
      </c>
      <c r="AN46" s="497">
        <v>334.77384071778386</v>
      </c>
      <c r="AO46" s="497">
        <v>340.20160330916923</v>
      </c>
      <c r="AP46" s="497">
        <v>346.02252090151273</v>
      </c>
      <c r="AQ46" s="497">
        <v>357.78524919741534</v>
      </c>
      <c r="AR46" s="497">
        <v>328.77618305259267</v>
      </c>
      <c r="AS46" s="498">
        <v>301.87663459961237</v>
      </c>
    </row>
    <row r="47" spans="1:45" ht="13">
      <c r="A47" s="506" t="s">
        <v>917</v>
      </c>
      <c r="B47" s="496" t="s">
        <v>918</v>
      </c>
      <c r="C47" s="497">
        <v>7.0917554370050581E-2</v>
      </c>
      <c r="D47" s="497">
        <v>7.4938426200658367E-2</v>
      </c>
      <c r="E47" s="497">
        <v>7.4804822592562104E-2</v>
      </c>
      <c r="F47" s="497">
        <v>7.6383145736313593E-2</v>
      </c>
      <c r="G47" s="497">
        <v>7.9178913451762728E-2</v>
      </c>
      <c r="H47" s="497">
        <v>8.0108984039236927E-2</v>
      </c>
      <c r="I47" s="497">
        <v>8.1135094547349504E-2</v>
      </c>
      <c r="J47" s="497">
        <v>8.4225099622731961E-2</v>
      </c>
      <c r="K47" s="497">
        <v>0.10417060677026993</v>
      </c>
      <c r="L47" s="497">
        <v>0.12879074613527519</v>
      </c>
      <c r="M47" s="497">
        <v>0.15814280438664297</v>
      </c>
      <c r="N47" s="497">
        <v>0.1932284401905347</v>
      </c>
      <c r="O47" s="497">
        <v>0.22979115909470751</v>
      </c>
      <c r="P47" s="497">
        <v>0.27863840608063523</v>
      </c>
      <c r="Q47" s="497">
        <v>0.35160465629470167</v>
      </c>
      <c r="R47" s="497">
        <v>0.41804107106846777</v>
      </c>
      <c r="S47" s="497">
        <v>0.48671271084843831</v>
      </c>
      <c r="T47" s="497">
        <v>0.58799808215110938</v>
      </c>
      <c r="U47" s="497">
        <v>0.69004885792799264</v>
      </c>
      <c r="V47" s="497">
        <v>0.80859444461633978</v>
      </c>
      <c r="W47" s="497">
        <v>0.95850592826811032</v>
      </c>
      <c r="X47" s="497">
        <v>1.1090586853614086</v>
      </c>
      <c r="Y47" s="497">
        <v>1.1886273086442294</v>
      </c>
      <c r="Z47" s="497">
        <v>1.3346918625643387</v>
      </c>
      <c r="AA47" s="497">
        <v>1.7222479356954541</v>
      </c>
      <c r="AB47" s="497">
        <v>2.2810182776131254</v>
      </c>
      <c r="AC47" s="497">
        <v>5.9058261905926601</v>
      </c>
      <c r="AD47" s="497">
        <v>8.6280672380516474</v>
      </c>
      <c r="AE47" s="497">
        <v>12.155806877188732</v>
      </c>
      <c r="AF47" s="497">
        <v>13.881376085562813</v>
      </c>
      <c r="AG47" s="497">
        <v>14.784830438176561</v>
      </c>
      <c r="AH47" s="497">
        <v>15.839117031769636</v>
      </c>
      <c r="AI47" s="497">
        <v>17.169593452219786</v>
      </c>
      <c r="AJ47" s="497">
        <v>17.740332376297168</v>
      </c>
      <c r="AK47" s="497">
        <v>19.113526088466255</v>
      </c>
      <c r="AL47" s="497">
        <v>20.375238970235586</v>
      </c>
      <c r="AM47" s="497">
        <v>25.077467236299057</v>
      </c>
      <c r="AN47" s="497">
        <v>26.905905016745205</v>
      </c>
      <c r="AO47" s="497">
        <v>30.668864715038904</v>
      </c>
      <c r="AP47" s="497">
        <v>35.332178880009373</v>
      </c>
      <c r="AQ47" s="497">
        <v>35.984783252244569</v>
      </c>
      <c r="AR47" s="497">
        <v>39.655610127037605</v>
      </c>
      <c r="AS47" s="498">
        <v>40.684550224958137</v>
      </c>
    </row>
    <row r="48" spans="1:45" ht="13">
      <c r="A48" s="506" t="s">
        <v>919</v>
      </c>
      <c r="B48" s="496" t="s">
        <v>920</v>
      </c>
      <c r="C48" s="497">
        <v>58.579920379818653</v>
      </c>
      <c r="D48" s="497">
        <v>61.34559766196714</v>
      </c>
      <c r="E48" s="497">
        <v>63.839555649780515</v>
      </c>
      <c r="F48" s="497">
        <v>65.853071088404747</v>
      </c>
      <c r="G48" s="497">
        <v>69.303935535042243</v>
      </c>
      <c r="H48" s="497">
        <v>74.660462445074998</v>
      </c>
      <c r="I48" s="497">
        <v>79.368655444154683</v>
      </c>
      <c r="J48" s="497">
        <v>82.076221903976474</v>
      </c>
      <c r="K48" s="497">
        <v>84.732872210168097</v>
      </c>
      <c r="L48" s="497">
        <v>87.21724782734411</v>
      </c>
      <c r="M48" s="497">
        <v>90.711130321815361</v>
      </c>
      <c r="N48" s="497">
        <v>94.996010329102262</v>
      </c>
      <c r="O48" s="497">
        <v>98.896397200667025</v>
      </c>
      <c r="P48" s="497">
        <v>101.93721775180295</v>
      </c>
      <c r="Q48" s="497">
        <v>105.81184518782764</v>
      </c>
      <c r="R48" s="497">
        <v>112.56314890152787</v>
      </c>
      <c r="S48" s="497">
        <v>120.89177289473579</v>
      </c>
      <c r="T48" s="497">
        <v>126.6763624198536</v>
      </c>
      <c r="U48" s="497">
        <v>134.0990175927858</v>
      </c>
      <c r="V48" s="497">
        <v>143.02187697193784</v>
      </c>
      <c r="W48" s="497">
        <v>152.47288851144424</v>
      </c>
      <c r="X48" s="497">
        <v>169.23612750622573</v>
      </c>
      <c r="Y48" s="497">
        <v>189.57761443440947</v>
      </c>
      <c r="Z48" s="497">
        <v>204.75794763250369</v>
      </c>
      <c r="AA48" s="497">
        <v>213.99291819759193</v>
      </c>
      <c r="AB48" s="497">
        <v>224.97564651592927</v>
      </c>
      <c r="AC48" s="497">
        <v>237.08550102417124</v>
      </c>
      <c r="AD48" s="497">
        <v>244.18182286563442</v>
      </c>
      <c r="AE48" s="497">
        <v>257.45308500126038</v>
      </c>
      <c r="AF48" s="497">
        <v>267.51655231019834</v>
      </c>
      <c r="AG48" s="497">
        <v>273.04404840919614</v>
      </c>
      <c r="AH48" s="497">
        <v>284.36748835507348</v>
      </c>
      <c r="AI48" s="497">
        <v>291.38533076372175</v>
      </c>
      <c r="AJ48" s="497">
        <v>297.80711507732758</v>
      </c>
      <c r="AK48" s="497">
        <v>303.69154602809078</v>
      </c>
      <c r="AL48" s="497">
        <v>314.23164627574528</v>
      </c>
      <c r="AM48" s="497">
        <v>324.60573393429775</v>
      </c>
      <c r="AN48" s="497">
        <v>337.38472458622959</v>
      </c>
      <c r="AO48" s="497">
        <v>351.87255268276573</v>
      </c>
      <c r="AP48" s="497">
        <v>354.57199121866807</v>
      </c>
      <c r="AQ48" s="497">
        <v>341.25212929241235</v>
      </c>
      <c r="AR48" s="497">
        <v>349.61030841217035</v>
      </c>
      <c r="AS48" s="498">
        <v>355.88783011931565</v>
      </c>
    </row>
    <row r="49" spans="1:45" ht="13">
      <c r="A49" s="506" t="s">
        <v>921</v>
      </c>
      <c r="B49" s="496" t="s">
        <v>922</v>
      </c>
      <c r="C49" s="497">
        <v>4.5203918642335896</v>
      </c>
      <c r="D49" s="497">
        <v>4.651296478941811</v>
      </c>
      <c r="E49" s="497">
        <v>4.627105056822864</v>
      </c>
      <c r="F49" s="497">
        <v>4.4966528443947711</v>
      </c>
      <c r="G49" s="497">
        <v>4.6766347815483122</v>
      </c>
      <c r="H49" s="497">
        <v>5.2993690175127508</v>
      </c>
      <c r="I49" s="497">
        <v>6.0824617637362666</v>
      </c>
      <c r="J49" s="497">
        <v>6.4453091043223454</v>
      </c>
      <c r="K49" s="497">
        <v>6.4946659966952449</v>
      </c>
      <c r="L49" s="497">
        <v>7.0502182391744785</v>
      </c>
      <c r="M49" s="497">
        <v>7.9396419888237606</v>
      </c>
      <c r="N49" s="497">
        <v>8.7193472639459699</v>
      </c>
      <c r="O49" s="497">
        <v>8.2147057060945929</v>
      </c>
      <c r="P49" s="497">
        <v>7.5192704613673982</v>
      </c>
      <c r="Q49" s="497">
        <v>7.7626062476889626</v>
      </c>
      <c r="R49" s="497">
        <v>8.3793238946949469</v>
      </c>
      <c r="S49" s="497">
        <v>9.0012586477864822</v>
      </c>
      <c r="T49" s="497">
        <v>9.4048917701531902</v>
      </c>
      <c r="U49" s="497">
        <v>10.139827288062172</v>
      </c>
      <c r="V49" s="497">
        <v>10.783042561576476</v>
      </c>
      <c r="W49" s="497">
        <v>11.610606509319261</v>
      </c>
      <c r="X49" s="497">
        <v>12.218341786109781</v>
      </c>
      <c r="Y49" s="497">
        <v>13.230843421875186</v>
      </c>
      <c r="Z49" s="497">
        <v>14.450014839386945</v>
      </c>
      <c r="AA49" s="497">
        <v>15.074260808492223</v>
      </c>
      <c r="AB49" s="497">
        <v>15.999078270640329</v>
      </c>
      <c r="AC49" s="497">
        <v>16.766239140535362</v>
      </c>
      <c r="AD49" s="497">
        <v>17.132150271879354</v>
      </c>
      <c r="AE49" s="497">
        <v>17.563319087423277</v>
      </c>
      <c r="AF49" s="497">
        <v>18.071066440214963</v>
      </c>
      <c r="AG49" s="497">
        <v>17.745207370282291</v>
      </c>
      <c r="AH49" s="497">
        <v>18.565843118692289</v>
      </c>
      <c r="AI49" s="497">
        <v>18.568418358924799</v>
      </c>
      <c r="AJ49" s="497">
        <v>19.111626619773936</v>
      </c>
      <c r="AK49" s="497">
        <v>19.306551201535612</v>
      </c>
      <c r="AL49" s="497">
        <v>18.790860579086388</v>
      </c>
      <c r="AM49" s="497">
        <v>20.399786052095855</v>
      </c>
      <c r="AN49" s="497">
        <v>20.819460700780667</v>
      </c>
      <c r="AO49" s="497">
        <v>21.331314186902194</v>
      </c>
      <c r="AP49" s="497">
        <v>21.593630751501401</v>
      </c>
      <c r="AQ49" s="497">
        <v>21.334407058087471</v>
      </c>
      <c r="AR49" s="497">
        <v>21.772290227587632</v>
      </c>
      <c r="AS49" s="498">
        <v>21.032374262618326</v>
      </c>
    </row>
    <row r="50" spans="1:45" ht="13">
      <c r="A50" s="506" t="s">
        <v>923</v>
      </c>
      <c r="B50" s="496" t="s">
        <v>924</v>
      </c>
      <c r="C50" s="497">
        <v>269.36104918231069</v>
      </c>
      <c r="D50" s="497">
        <v>262.86696675523416</v>
      </c>
      <c r="E50" s="497">
        <v>259.55409329138854</v>
      </c>
      <c r="F50" s="497">
        <v>257.51340755625495</v>
      </c>
      <c r="G50" s="497">
        <v>255.59686560213717</v>
      </c>
      <c r="H50" s="497">
        <v>253.23577092628145</v>
      </c>
      <c r="I50" s="497">
        <v>250.64444983379863</v>
      </c>
      <c r="J50" s="497">
        <v>247.19225334263285</v>
      </c>
      <c r="K50" s="497">
        <v>243.29435640548411</v>
      </c>
      <c r="L50" s="497">
        <v>241.52250492030225</v>
      </c>
      <c r="M50" s="497">
        <v>241.95324623913888</v>
      </c>
      <c r="N50" s="497">
        <v>239.1047912681089</v>
      </c>
      <c r="O50" s="497">
        <v>237.79170030590106</v>
      </c>
      <c r="P50" s="497">
        <v>238.15104233884847</v>
      </c>
      <c r="Q50" s="497">
        <v>236.88760687262055</v>
      </c>
      <c r="R50" s="497">
        <v>234.55939996825788</v>
      </c>
      <c r="S50" s="497">
        <v>233.10034938006322</v>
      </c>
      <c r="T50" s="497">
        <v>231.31763049133093</v>
      </c>
      <c r="U50" s="497">
        <v>230.5606113083748</v>
      </c>
      <c r="V50" s="497">
        <v>232.78554555099439</v>
      </c>
      <c r="W50" s="497">
        <v>230.0125339277208</v>
      </c>
      <c r="X50" s="497">
        <v>221.4562265928235</v>
      </c>
      <c r="Y50" s="497">
        <v>217.8575345552739</v>
      </c>
      <c r="Z50" s="497">
        <v>214.55701660393848</v>
      </c>
      <c r="AA50" s="497">
        <v>211.63167586630743</v>
      </c>
      <c r="AB50" s="497">
        <v>212.69859787185177</v>
      </c>
      <c r="AC50" s="497">
        <v>212.57689683088651</v>
      </c>
      <c r="AD50" s="497">
        <v>212.86248480574369</v>
      </c>
      <c r="AE50" s="497">
        <v>208.26576237710697</v>
      </c>
      <c r="AF50" s="497">
        <v>209.38489475269611</v>
      </c>
      <c r="AG50" s="497">
        <v>208.11571966966935</v>
      </c>
      <c r="AH50" s="497">
        <v>211.07936823829945</v>
      </c>
      <c r="AI50" s="497">
        <v>208.91756637153441</v>
      </c>
      <c r="AJ50" s="497">
        <v>207.1694568133791</v>
      </c>
      <c r="AK50" s="497">
        <v>207.2979160611406</v>
      </c>
      <c r="AL50" s="497">
        <v>209.56084279651611</v>
      </c>
      <c r="AM50" s="497">
        <v>214.45191403855793</v>
      </c>
      <c r="AN50" s="497">
        <v>219.93463594021151</v>
      </c>
      <c r="AO50" s="497">
        <v>217.42779131028291</v>
      </c>
      <c r="AP50" s="497">
        <v>218.14294006066373</v>
      </c>
      <c r="AQ50" s="497">
        <v>216.92511223029763</v>
      </c>
      <c r="AR50" s="497">
        <v>216.15414058213594</v>
      </c>
      <c r="AS50" s="498">
        <v>213.79071050007849</v>
      </c>
    </row>
    <row r="51" spans="1:45" ht="13">
      <c r="A51" s="506" t="s">
        <v>925</v>
      </c>
      <c r="B51" s="496" t="s">
        <v>926</v>
      </c>
      <c r="C51" s="497">
        <v>0.86284221602857059</v>
      </c>
      <c r="D51" s="497">
        <v>0.85921144970156149</v>
      </c>
      <c r="E51" s="497">
        <v>0.84074756160227726</v>
      </c>
      <c r="F51" s="497">
        <v>0.84386336343166557</v>
      </c>
      <c r="G51" s="497">
        <v>0.8526092625335322</v>
      </c>
      <c r="H51" s="497">
        <v>0.87164520326878459</v>
      </c>
      <c r="I51" s="497">
        <v>0.86702654111753474</v>
      </c>
      <c r="J51" s="497">
        <v>0.87355306961611889</v>
      </c>
      <c r="K51" s="497">
        <v>0.89036093372195868</v>
      </c>
      <c r="L51" s="497">
        <v>0.9185116609177888</v>
      </c>
      <c r="M51" s="497">
        <v>0.94043232901255003</v>
      </c>
      <c r="N51" s="497">
        <v>0.95004084223772933</v>
      </c>
      <c r="O51" s="497">
        <v>0.96029468225191406</v>
      </c>
      <c r="P51" s="497">
        <v>1.0157139793063146</v>
      </c>
      <c r="Q51" s="497">
        <v>1.0569884729410268</v>
      </c>
      <c r="R51" s="497">
        <v>1.0311574253191542</v>
      </c>
      <c r="S51" s="497">
        <v>1.0313859992969885</v>
      </c>
      <c r="T51" s="497">
        <v>1.0474187042923788</v>
      </c>
      <c r="U51" s="497">
        <v>1.0470440025086898</v>
      </c>
      <c r="V51" s="497">
        <v>1.0462180028704349</v>
      </c>
      <c r="W51" s="497">
        <v>1.0632692959089987</v>
      </c>
      <c r="X51" s="497">
        <v>1.1582466986029691</v>
      </c>
      <c r="Y51" s="497">
        <v>1.3487834517621191</v>
      </c>
      <c r="Z51" s="497">
        <v>1.5153424049021678</v>
      </c>
      <c r="AA51" s="497">
        <v>1.6964934070553352</v>
      </c>
      <c r="AB51" s="497">
        <v>1.7603478513720139</v>
      </c>
      <c r="AC51" s="497">
        <v>1.841987881976153</v>
      </c>
      <c r="AD51" s="497">
        <v>1.8846026119608987</v>
      </c>
      <c r="AE51" s="497">
        <v>1.8710000000000002</v>
      </c>
      <c r="AF51" s="497">
        <v>1.8513689398653745</v>
      </c>
      <c r="AG51" s="497">
        <v>1.8643955148134526</v>
      </c>
      <c r="AH51" s="497">
        <v>1.9002331815801219</v>
      </c>
      <c r="AI51" s="497">
        <v>1.9283014212129377</v>
      </c>
      <c r="AJ51" s="497">
        <v>1.930342958534691</v>
      </c>
      <c r="AK51" s="497">
        <v>1.9338312326751768</v>
      </c>
      <c r="AL51" s="497">
        <v>2.0295534949755347</v>
      </c>
      <c r="AM51" s="497">
        <v>2.1372891627209092</v>
      </c>
      <c r="AN51" s="497">
        <v>2.1706348298695426</v>
      </c>
      <c r="AO51" s="497">
        <v>2.198</v>
      </c>
      <c r="AP51" s="497">
        <v>2.2608549032650509</v>
      </c>
      <c r="AQ51" s="497">
        <v>2.3361803802468439</v>
      </c>
      <c r="AR51" s="497">
        <v>2.1767439377361444</v>
      </c>
      <c r="AS51" s="498">
        <v>2.0281884954321932</v>
      </c>
    </row>
    <row r="52" spans="1:45" ht="13">
      <c r="A52" s="507"/>
      <c r="B52" s="496"/>
      <c r="C52" s="497"/>
      <c r="D52" s="497"/>
      <c r="E52" s="497"/>
      <c r="F52" s="497"/>
      <c r="G52" s="497"/>
      <c r="H52" s="497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Y52" s="497"/>
      <c r="Z52" s="497"/>
      <c r="AA52" s="497"/>
      <c r="AB52" s="497"/>
      <c r="AC52" s="497"/>
      <c r="AD52" s="497"/>
      <c r="AE52" s="497"/>
      <c r="AF52" s="497"/>
      <c r="AG52" s="497"/>
      <c r="AH52" s="497"/>
      <c r="AI52" s="497"/>
      <c r="AJ52" s="497"/>
      <c r="AK52" s="497"/>
      <c r="AL52" s="497"/>
      <c r="AM52" s="497"/>
      <c r="AN52" s="497"/>
      <c r="AO52" s="497"/>
      <c r="AP52" s="497"/>
      <c r="AQ52" s="497"/>
      <c r="AR52" s="497"/>
      <c r="AS52" s="498"/>
    </row>
    <row r="53" spans="1:45" ht="13.5" thickBot="1">
      <c r="A53" s="508"/>
      <c r="B53" s="501" t="s">
        <v>32</v>
      </c>
      <c r="C53" s="502">
        <v>2282.5041887438829</v>
      </c>
      <c r="D53" s="502">
        <v>2272.8585298982402</v>
      </c>
      <c r="E53" s="502">
        <v>2297.8995581171225</v>
      </c>
      <c r="F53" s="502">
        <v>2343.3799292663325</v>
      </c>
      <c r="G53" s="502">
        <v>2375.4764641257998</v>
      </c>
      <c r="H53" s="502">
        <v>2404.9997439071667</v>
      </c>
      <c r="I53" s="502">
        <v>2425.5221209787483</v>
      </c>
      <c r="J53" s="502">
        <v>2439.3609559150127</v>
      </c>
      <c r="K53" s="502">
        <v>2432.5908250780662</v>
      </c>
      <c r="L53" s="502">
        <v>2431.9635945150208</v>
      </c>
      <c r="M53" s="502">
        <v>2439.6922113153382</v>
      </c>
      <c r="N53" s="502">
        <v>2471.6709926770741</v>
      </c>
      <c r="O53" s="502">
        <v>2540.3763430966956</v>
      </c>
      <c r="P53" s="502">
        <v>2609.7197530765461</v>
      </c>
      <c r="Q53" s="502">
        <v>2627.2135081413999</v>
      </c>
      <c r="R53" s="502">
        <v>2642.1830144789205</v>
      </c>
      <c r="S53" s="502">
        <v>2691.9153436930501</v>
      </c>
      <c r="T53" s="502">
        <v>2734.4785252351803</v>
      </c>
      <c r="U53" s="502">
        <v>2776.8623622881378</v>
      </c>
      <c r="V53" s="502">
        <v>2834.3008707788094</v>
      </c>
      <c r="W53" s="502">
        <v>2877.772802977463</v>
      </c>
      <c r="X53" s="502">
        <v>2874.1286495414306</v>
      </c>
      <c r="Y53" s="502">
        <v>2812.1651654710367</v>
      </c>
      <c r="Z53" s="502">
        <v>2721.9482598051927</v>
      </c>
      <c r="AA53" s="502">
        <v>2762.0926663838441</v>
      </c>
      <c r="AB53" s="502">
        <v>2867.4095222462038</v>
      </c>
      <c r="AC53" s="502">
        <v>2936.6160806847743</v>
      </c>
      <c r="AD53" s="502">
        <v>3030.6476980824104</v>
      </c>
      <c r="AE53" s="502">
        <v>3037.6202059370767</v>
      </c>
      <c r="AF53" s="502">
        <v>3035.0910542489632</v>
      </c>
      <c r="AG53" s="502">
        <v>2979.870845089647</v>
      </c>
      <c r="AH53" s="502">
        <v>3017.7732445135412</v>
      </c>
      <c r="AI53" s="502">
        <v>3005.6446083588862</v>
      </c>
      <c r="AJ53" s="502">
        <v>2992.7884049036534</v>
      </c>
      <c r="AK53" s="502">
        <v>3055.208134587745</v>
      </c>
      <c r="AL53" s="502">
        <v>3144.6607651454847</v>
      </c>
      <c r="AM53" s="502">
        <v>3265.2040990397177</v>
      </c>
      <c r="AN53" s="502">
        <v>3301.6586867814221</v>
      </c>
      <c r="AO53" s="502">
        <v>3314.886472226719</v>
      </c>
      <c r="AP53" s="502">
        <v>3327.6184242331524</v>
      </c>
      <c r="AQ53" s="502">
        <v>3243.8764949052629</v>
      </c>
      <c r="AR53" s="502">
        <v>3175.4452989131323</v>
      </c>
      <c r="AS53" s="503">
        <v>3164.0186279439508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B5C4-C922-4C25-9B1A-73858356F0BC}">
  <sheetPr>
    <pageSetUpPr fitToPage="1"/>
  </sheetPr>
  <dimension ref="A1:AS40"/>
  <sheetViews>
    <sheetView showGridLines="0" workbookViewId="0">
      <pane xSplit="2" ySplit="5" topLeftCell="AM6" activePane="bottomRight" state="frozen"/>
      <selection pane="topRight" activeCell="C1" sqref="C1"/>
      <selection pane="bottomLeft" activeCell="A6" sqref="A6"/>
      <selection pane="bottomRight" activeCell="A10" sqref="A10"/>
    </sheetView>
  </sheetViews>
  <sheetFormatPr defaultRowHeight="12.5"/>
  <cols>
    <col min="1" max="1" width="11.7265625" style="485" customWidth="1"/>
    <col min="2" max="2" width="52.453125" style="485" customWidth="1"/>
    <col min="3" max="11" width="7" style="485" customWidth="1"/>
    <col min="12" max="28" width="8.1796875" style="485" customWidth="1"/>
    <col min="29" max="39" width="9.26953125" style="485" customWidth="1"/>
    <col min="40" max="45" width="10.453125" style="485" customWidth="1"/>
    <col min="46" max="256" width="8.7265625" style="485"/>
    <col min="257" max="257" width="11.7265625" style="485" customWidth="1"/>
    <col min="258" max="258" width="52.453125" style="485" customWidth="1"/>
    <col min="259" max="267" width="7" style="485" customWidth="1"/>
    <col min="268" max="284" width="8.1796875" style="485" customWidth="1"/>
    <col min="285" max="295" width="9.26953125" style="485" customWidth="1"/>
    <col min="296" max="301" width="10.453125" style="485" customWidth="1"/>
    <col min="302" max="512" width="8.7265625" style="485"/>
    <col min="513" max="513" width="11.7265625" style="485" customWidth="1"/>
    <col min="514" max="514" width="52.453125" style="485" customWidth="1"/>
    <col min="515" max="523" width="7" style="485" customWidth="1"/>
    <col min="524" max="540" width="8.1796875" style="485" customWidth="1"/>
    <col min="541" max="551" width="9.26953125" style="485" customWidth="1"/>
    <col min="552" max="557" width="10.453125" style="485" customWidth="1"/>
    <col min="558" max="768" width="8.7265625" style="485"/>
    <col min="769" max="769" width="11.7265625" style="485" customWidth="1"/>
    <col min="770" max="770" width="52.453125" style="485" customWidth="1"/>
    <col min="771" max="779" width="7" style="485" customWidth="1"/>
    <col min="780" max="796" width="8.1796875" style="485" customWidth="1"/>
    <col min="797" max="807" width="9.26953125" style="485" customWidth="1"/>
    <col min="808" max="813" width="10.453125" style="485" customWidth="1"/>
    <col min="814" max="1024" width="8.7265625" style="485"/>
    <col min="1025" max="1025" width="11.7265625" style="485" customWidth="1"/>
    <col min="1026" max="1026" width="52.453125" style="485" customWidth="1"/>
    <col min="1027" max="1035" width="7" style="485" customWidth="1"/>
    <col min="1036" max="1052" width="8.1796875" style="485" customWidth="1"/>
    <col min="1053" max="1063" width="9.26953125" style="485" customWidth="1"/>
    <col min="1064" max="1069" width="10.453125" style="485" customWidth="1"/>
    <col min="1070" max="1280" width="8.7265625" style="485"/>
    <col min="1281" max="1281" width="11.7265625" style="485" customWidth="1"/>
    <col min="1282" max="1282" width="52.453125" style="485" customWidth="1"/>
    <col min="1283" max="1291" width="7" style="485" customWidth="1"/>
    <col min="1292" max="1308" width="8.1796875" style="485" customWidth="1"/>
    <col min="1309" max="1319" width="9.26953125" style="485" customWidth="1"/>
    <col min="1320" max="1325" width="10.453125" style="485" customWidth="1"/>
    <col min="1326" max="1536" width="8.7265625" style="485"/>
    <col min="1537" max="1537" width="11.7265625" style="485" customWidth="1"/>
    <col min="1538" max="1538" width="52.453125" style="485" customWidth="1"/>
    <col min="1539" max="1547" width="7" style="485" customWidth="1"/>
    <col min="1548" max="1564" width="8.1796875" style="485" customWidth="1"/>
    <col min="1565" max="1575" width="9.26953125" style="485" customWidth="1"/>
    <col min="1576" max="1581" width="10.453125" style="485" customWidth="1"/>
    <col min="1582" max="1792" width="8.7265625" style="485"/>
    <col min="1793" max="1793" width="11.7265625" style="485" customWidth="1"/>
    <col min="1794" max="1794" width="52.453125" style="485" customWidth="1"/>
    <col min="1795" max="1803" width="7" style="485" customWidth="1"/>
    <col min="1804" max="1820" width="8.1796875" style="485" customWidth="1"/>
    <col min="1821" max="1831" width="9.26953125" style="485" customWidth="1"/>
    <col min="1832" max="1837" width="10.453125" style="485" customWidth="1"/>
    <col min="1838" max="2048" width="8.7265625" style="485"/>
    <col min="2049" max="2049" width="11.7265625" style="485" customWidth="1"/>
    <col min="2050" max="2050" width="52.453125" style="485" customWidth="1"/>
    <col min="2051" max="2059" width="7" style="485" customWidth="1"/>
    <col min="2060" max="2076" width="8.1796875" style="485" customWidth="1"/>
    <col min="2077" max="2087" width="9.26953125" style="485" customWidth="1"/>
    <col min="2088" max="2093" width="10.453125" style="485" customWidth="1"/>
    <col min="2094" max="2304" width="8.7265625" style="485"/>
    <col min="2305" max="2305" width="11.7265625" style="485" customWidth="1"/>
    <col min="2306" max="2306" width="52.453125" style="485" customWidth="1"/>
    <col min="2307" max="2315" width="7" style="485" customWidth="1"/>
    <col min="2316" max="2332" width="8.1796875" style="485" customWidth="1"/>
    <col min="2333" max="2343" width="9.26953125" style="485" customWidth="1"/>
    <col min="2344" max="2349" width="10.453125" style="485" customWidth="1"/>
    <col min="2350" max="2560" width="8.7265625" style="485"/>
    <col min="2561" max="2561" width="11.7265625" style="485" customWidth="1"/>
    <col min="2562" max="2562" width="52.453125" style="485" customWidth="1"/>
    <col min="2563" max="2571" width="7" style="485" customWidth="1"/>
    <col min="2572" max="2588" width="8.1796875" style="485" customWidth="1"/>
    <col min="2589" max="2599" width="9.26953125" style="485" customWidth="1"/>
    <col min="2600" max="2605" width="10.453125" style="485" customWidth="1"/>
    <col min="2606" max="2816" width="8.7265625" style="485"/>
    <col min="2817" max="2817" width="11.7265625" style="485" customWidth="1"/>
    <col min="2818" max="2818" width="52.453125" style="485" customWidth="1"/>
    <col min="2819" max="2827" width="7" style="485" customWidth="1"/>
    <col min="2828" max="2844" width="8.1796875" style="485" customWidth="1"/>
    <col min="2845" max="2855" width="9.26953125" style="485" customWidth="1"/>
    <col min="2856" max="2861" width="10.453125" style="485" customWidth="1"/>
    <col min="2862" max="3072" width="8.7265625" style="485"/>
    <col min="3073" max="3073" width="11.7265625" style="485" customWidth="1"/>
    <col min="3074" max="3074" width="52.453125" style="485" customWidth="1"/>
    <col min="3075" max="3083" width="7" style="485" customWidth="1"/>
    <col min="3084" max="3100" width="8.1796875" style="485" customWidth="1"/>
    <col min="3101" max="3111" width="9.26953125" style="485" customWidth="1"/>
    <col min="3112" max="3117" width="10.453125" style="485" customWidth="1"/>
    <col min="3118" max="3328" width="8.7265625" style="485"/>
    <col min="3329" max="3329" width="11.7265625" style="485" customWidth="1"/>
    <col min="3330" max="3330" width="52.453125" style="485" customWidth="1"/>
    <col min="3331" max="3339" width="7" style="485" customWidth="1"/>
    <col min="3340" max="3356" width="8.1796875" style="485" customWidth="1"/>
    <col min="3357" max="3367" width="9.26953125" style="485" customWidth="1"/>
    <col min="3368" max="3373" width="10.453125" style="485" customWidth="1"/>
    <col min="3374" max="3584" width="8.7265625" style="485"/>
    <col min="3585" max="3585" width="11.7265625" style="485" customWidth="1"/>
    <col min="3586" max="3586" width="52.453125" style="485" customWidth="1"/>
    <col min="3587" max="3595" width="7" style="485" customWidth="1"/>
    <col min="3596" max="3612" width="8.1796875" style="485" customWidth="1"/>
    <col min="3613" max="3623" width="9.26953125" style="485" customWidth="1"/>
    <col min="3624" max="3629" width="10.453125" style="485" customWidth="1"/>
    <col min="3630" max="3840" width="8.7265625" style="485"/>
    <col min="3841" max="3841" width="11.7265625" style="485" customWidth="1"/>
    <col min="3842" max="3842" width="52.453125" style="485" customWidth="1"/>
    <col min="3843" max="3851" width="7" style="485" customWidth="1"/>
    <col min="3852" max="3868" width="8.1796875" style="485" customWidth="1"/>
    <col min="3869" max="3879" width="9.26953125" style="485" customWidth="1"/>
    <col min="3880" max="3885" width="10.453125" style="485" customWidth="1"/>
    <col min="3886" max="4096" width="8.7265625" style="485"/>
    <col min="4097" max="4097" width="11.7265625" style="485" customWidth="1"/>
    <col min="4098" max="4098" width="52.453125" style="485" customWidth="1"/>
    <col min="4099" max="4107" width="7" style="485" customWidth="1"/>
    <col min="4108" max="4124" width="8.1796875" style="485" customWidth="1"/>
    <col min="4125" max="4135" width="9.26953125" style="485" customWidth="1"/>
    <col min="4136" max="4141" width="10.453125" style="485" customWidth="1"/>
    <col min="4142" max="4352" width="8.7265625" style="485"/>
    <col min="4353" max="4353" width="11.7265625" style="485" customWidth="1"/>
    <col min="4354" max="4354" width="52.453125" style="485" customWidth="1"/>
    <col min="4355" max="4363" width="7" style="485" customWidth="1"/>
    <col min="4364" max="4380" width="8.1796875" style="485" customWidth="1"/>
    <col min="4381" max="4391" width="9.26953125" style="485" customWidth="1"/>
    <col min="4392" max="4397" width="10.453125" style="485" customWidth="1"/>
    <col min="4398" max="4608" width="8.7265625" style="485"/>
    <col min="4609" max="4609" width="11.7265625" style="485" customWidth="1"/>
    <col min="4610" max="4610" width="52.453125" style="485" customWidth="1"/>
    <col min="4611" max="4619" width="7" style="485" customWidth="1"/>
    <col min="4620" max="4636" width="8.1796875" style="485" customWidth="1"/>
    <col min="4637" max="4647" width="9.26953125" style="485" customWidth="1"/>
    <col min="4648" max="4653" width="10.453125" style="485" customWidth="1"/>
    <col min="4654" max="4864" width="8.7265625" style="485"/>
    <col min="4865" max="4865" width="11.7265625" style="485" customWidth="1"/>
    <col min="4866" max="4866" width="52.453125" style="485" customWidth="1"/>
    <col min="4867" max="4875" width="7" style="485" customWidth="1"/>
    <col min="4876" max="4892" width="8.1796875" style="485" customWidth="1"/>
    <col min="4893" max="4903" width="9.26953125" style="485" customWidth="1"/>
    <col min="4904" max="4909" width="10.453125" style="485" customWidth="1"/>
    <col min="4910" max="5120" width="8.7265625" style="485"/>
    <col min="5121" max="5121" width="11.7265625" style="485" customWidth="1"/>
    <col min="5122" max="5122" width="52.453125" style="485" customWidth="1"/>
    <col min="5123" max="5131" width="7" style="485" customWidth="1"/>
    <col min="5132" max="5148" width="8.1796875" style="485" customWidth="1"/>
    <col min="5149" max="5159" width="9.26953125" style="485" customWidth="1"/>
    <col min="5160" max="5165" width="10.453125" style="485" customWidth="1"/>
    <col min="5166" max="5376" width="8.7265625" style="485"/>
    <col min="5377" max="5377" width="11.7265625" style="485" customWidth="1"/>
    <col min="5378" max="5378" width="52.453125" style="485" customWidth="1"/>
    <col min="5379" max="5387" width="7" style="485" customWidth="1"/>
    <col min="5388" max="5404" width="8.1796875" style="485" customWidth="1"/>
    <col min="5405" max="5415" width="9.26953125" style="485" customWidth="1"/>
    <col min="5416" max="5421" width="10.453125" style="485" customWidth="1"/>
    <col min="5422" max="5632" width="8.7265625" style="485"/>
    <col min="5633" max="5633" width="11.7265625" style="485" customWidth="1"/>
    <col min="5634" max="5634" width="52.453125" style="485" customWidth="1"/>
    <col min="5635" max="5643" width="7" style="485" customWidth="1"/>
    <col min="5644" max="5660" width="8.1796875" style="485" customWidth="1"/>
    <col min="5661" max="5671" width="9.26953125" style="485" customWidth="1"/>
    <col min="5672" max="5677" width="10.453125" style="485" customWidth="1"/>
    <col min="5678" max="5888" width="8.7265625" style="485"/>
    <col min="5889" max="5889" width="11.7265625" style="485" customWidth="1"/>
    <col min="5890" max="5890" width="52.453125" style="485" customWidth="1"/>
    <col min="5891" max="5899" width="7" style="485" customWidth="1"/>
    <col min="5900" max="5916" width="8.1796875" style="485" customWidth="1"/>
    <col min="5917" max="5927" width="9.26953125" style="485" customWidth="1"/>
    <col min="5928" max="5933" width="10.453125" style="485" customWidth="1"/>
    <col min="5934" max="6144" width="8.7265625" style="485"/>
    <col min="6145" max="6145" width="11.7265625" style="485" customWidth="1"/>
    <col min="6146" max="6146" width="52.453125" style="485" customWidth="1"/>
    <col min="6147" max="6155" width="7" style="485" customWidth="1"/>
    <col min="6156" max="6172" width="8.1796875" style="485" customWidth="1"/>
    <col min="6173" max="6183" width="9.26953125" style="485" customWidth="1"/>
    <col min="6184" max="6189" width="10.453125" style="485" customWidth="1"/>
    <col min="6190" max="6400" width="8.7265625" style="485"/>
    <col min="6401" max="6401" width="11.7265625" style="485" customWidth="1"/>
    <col min="6402" max="6402" width="52.453125" style="485" customWidth="1"/>
    <col min="6403" max="6411" width="7" style="485" customWidth="1"/>
    <col min="6412" max="6428" width="8.1796875" style="485" customWidth="1"/>
    <col min="6429" max="6439" width="9.26953125" style="485" customWidth="1"/>
    <col min="6440" max="6445" width="10.453125" style="485" customWidth="1"/>
    <col min="6446" max="6656" width="8.7265625" style="485"/>
    <col min="6657" max="6657" width="11.7265625" style="485" customWidth="1"/>
    <col min="6658" max="6658" width="52.453125" style="485" customWidth="1"/>
    <col min="6659" max="6667" width="7" style="485" customWidth="1"/>
    <col min="6668" max="6684" width="8.1796875" style="485" customWidth="1"/>
    <col min="6685" max="6695" width="9.26953125" style="485" customWidth="1"/>
    <col min="6696" max="6701" width="10.453125" style="485" customWidth="1"/>
    <col min="6702" max="6912" width="8.7265625" style="485"/>
    <col min="6913" max="6913" width="11.7265625" style="485" customWidth="1"/>
    <col min="6914" max="6914" width="52.453125" style="485" customWidth="1"/>
    <col min="6915" max="6923" width="7" style="485" customWidth="1"/>
    <col min="6924" max="6940" width="8.1796875" style="485" customWidth="1"/>
    <col min="6941" max="6951" width="9.26953125" style="485" customWidth="1"/>
    <col min="6952" max="6957" width="10.453125" style="485" customWidth="1"/>
    <col min="6958" max="7168" width="8.7265625" style="485"/>
    <col min="7169" max="7169" width="11.7265625" style="485" customWidth="1"/>
    <col min="7170" max="7170" width="52.453125" style="485" customWidth="1"/>
    <col min="7171" max="7179" width="7" style="485" customWidth="1"/>
    <col min="7180" max="7196" width="8.1796875" style="485" customWidth="1"/>
    <col min="7197" max="7207" width="9.26953125" style="485" customWidth="1"/>
    <col min="7208" max="7213" width="10.453125" style="485" customWidth="1"/>
    <col min="7214" max="7424" width="8.7265625" style="485"/>
    <col min="7425" max="7425" width="11.7265625" style="485" customWidth="1"/>
    <col min="7426" max="7426" width="52.453125" style="485" customWidth="1"/>
    <col min="7427" max="7435" width="7" style="485" customWidth="1"/>
    <col min="7436" max="7452" width="8.1796875" style="485" customWidth="1"/>
    <col min="7453" max="7463" width="9.26953125" style="485" customWidth="1"/>
    <col min="7464" max="7469" width="10.453125" style="485" customWidth="1"/>
    <col min="7470" max="7680" width="8.7265625" style="485"/>
    <col min="7681" max="7681" width="11.7265625" style="485" customWidth="1"/>
    <col min="7682" max="7682" width="52.453125" style="485" customWidth="1"/>
    <col min="7683" max="7691" width="7" style="485" customWidth="1"/>
    <col min="7692" max="7708" width="8.1796875" style="485" customWidth="1"/>
    <col min="7709" max="7719" width="9.26953125" style="485" customWidth="1"/>
    <col min="7720" max="7725" width="10.453125" style="485" customWidth="1"/>
    <col min="7726" max="7936" width="8.7265625" style="485"/>
    <col min="7937" max="7937" width="11.7265625" style="485" customWidth="1"/>
    <col min="7938" max="7938" width="52.453125" style="485" customWidth="1"/>
    <col min="7939" max="7947" width="7" style="485" customWidth="1"/>
    <col min="7948" max="7964" width="8.1796875" style="485" customWidth="1"/>
    <col min="7965" max="7975" width="9.26953125" style="485" customWidth="1"/>
    <col min="7976" max="7981" width="10.453125" style="485" customWidth="1"/>
    <col min="7982" max="8192" width="8.7265625" style="485"/>
    <col min="8193" max="8193" width="11.7265625" style="485" customWidth="1"/>
    <col min="8194" max="8194" width="52.453125" style="485" customWidth="1"/>
    <col min="8195" max="8203" width="7" style="485" customWidth="1"/>
    <col min="8204" max="8220" width="8.1796875" style="485" customWidth="1"/>
    <col min="8221" max="8231" width="9.26953125" style="485" customWidth="1"/>
    <col min="8232" max="8237" width="10.453125" style="485" customWidth="1"/>
    <col min="8238" max="8448" width="8.7265625" style="485"/>
    <col min="8449" max="8449" width="11.7265625" style="485" customWidth="1"/>
    <col min="8450" max="8450" width="52.453125" style="485" customWidth="1"/>
    <col min="8451" max="8459" width="7" style="485" customWidth="1"/>
    <col min="8460" max="8476" width="8.1796875" style="485" customWidth="1"/>
    <col min="8477" max="8487" width="9.26953125" style="485" customWidth="1"/>
    <col min="8488" max="8493" width="10.453125" style="485" customWidth="1"/>
    <col min="8494" max="8704" width="8.7265625" style="485"/>
    <col min="8705" max="8705" width="11.7265625" style="485" customWidth="1"/>
    <col min="8706" max="8706" width="52.453125" style="485" customWidth="1"/>
    <col min="8707" max="8715" width="7" style="485" customWidth="1"/>
    <col min="8716" max="8732" width="8.1796875" style="485" customWidth="1"/>
    <col min="8733" max="8743" width="9.26953125" style="485" customWidth="1"/>
    <col min="8744" max="8749" width="10.453125" style="485" customWidth="1"/>
    <col min="8750" max="8960" width="8.7265625" style="485"/>
    <col min="8961" max="8961" width="11.7265625" style="485" customWidth="1"/>
    <col min="8962" max="8962" width="52.453125" style="485" customWidth="1"/>
    <col min="8963" max="8971" width="7" style="485" customWidth="1"/>
    <col min="8972" max="8988" width="8.1796875" style="485" customWidth="1"/>
    <col min="8989" max="8999" width="9.26953125" style="485" customWidth="1"/>
    <col min="9000" max="9005" width="10.453125" style="485" customWidth="1"/>
    <col min="9006" max="9216" width="8.7265625" style="485"/>
    <col min="9217" max="9217" width="11.7265625" style="485" customWidth="1"/>
    <col min="9218" max="9218" width="52.453125" style="485" customWidth="1"/>
    <col min="9219" max="9227" width="7" style="485" customWidth="1"/>
    <col min="9228" max="9244" width="8.1796875" style="485" customWidth="1"/>
    <col min="9245" max="9255" width="9.26953125" style="485" customWidth="1"/>
    <col min="9256" max="9261" width="10.453125" style="485" customWidth="1"/>
    <col min="9262" max="9472" width="8.7265625" style="485"/>
    <col min="9473" max="9473" width="11.7265625" style="485" customWidth="1"/>
    <col min="9474" max="9474" width="52.453125" style="485" customWidth="1"/>
    <col min="9475" max="9483" width="7" style="485" customWidth="1"/>
    <col min="9484" max="9500" width="8.1796875" style="485" customWidth="1"/>
    <col min="9501" max="9511" width="9.26953125" style="485" customWidth="1"/>
    <col min="9512" max="9517" width="10.453125" style="485" customWidth="1"/>
    <col min="9518" max="9728" width="8.7265625" style="485"/>
    <col min="9729" max="9729" width="11.7265625" style="485" customWidth="1"/>
    <col min="9730" max="9730" width="52.453125" style="485" customWidth="1"/>
    <col min="9731" max="9739" width="7" style="485" customWidth="1"/>
    <col min="9740" max="9756" width="8.1796875" style="485" customWidth="1"/>
    <col min="9757" max="9767" width="9.26953125" style="485" customWidth="1"/>
    <col min="9768" max="9773" width="10.453125" style="485" customWidth="1"/>
    <col min="9774" max="9984" width="8.7265625" style="485"/>
    <col min="9985" max="9985" width="11.7265625" style="485" customWidth="1"/>
    <col min="9986" max="9986" width="52.453125" style="485" customWidth="1"/>
    <col min="9987" max="9995" width="7" style="485" customWidth="1"/>
    <col min="9996" max="10012" width="8.1796875" style="485" customWidth="1"/>
    <col min="10013" max="10023" width="9.26953125" style="485" customWidth="1"/>
    <col min="10024" max="10029" width="10.453125" style="485" customWidth="1"/>
    <col min="10030" max="10240" width="8.7265625" style="485"/>
    <col min="10241" max="10241" width="11.7265625" style="485" customWidth="1"/>
    <col min="10242" max="10242" width="52.453125" style="485" customWidth="1"/>
    <col min="10243" max="10251" width="7" style="485" customWidth="1"/>
    <col min="10252" max="10268" width="8.1796875" style="485" customWidth="1"/>
    <col min="10269" max="10279" width="9.26953125" style="485" customWidth="1"/>
    <col min="10280" max="10285" width="10.453125" style="485" customWidth="1"/>
    <col min="10286" max="10496" width="8.7265625" style="485"/>
    <col min="10497" max="10497" width="11.7265625" style="485" customWidth="1"/>
    <col min="10498" max="10498" width="52.453125" style="485" customWidth="1"/>
    <col min="10499" max="10507" width="7" style="485" customWidth="1"/>
    <col min="10508" max="10524" width="8.1796875" style="485" customWidth="1"/>
    <col min="10525" max="10535" width="9.26953125" style="485" customWidth="1"/>
    <col min="10536" max="10541" width="10.453125" style="485" customWidth="1"/>
    <col min="10542" max="10752" width="8.7265625" style="485"/>
    <col min="10753" max="10753" width="11.7265625" style="485" customWidth="1"/>
    <col min="10754" max="10754" width="52.453125" style="485" customWidth="1"/>
    <col min="10755" max="10763" width="7" style="485" customWidth="1"/>
    <col min="10764" max="10780" width="8.1796875" style="485" customWidth="1"/>
    <col min="10781" max="10791" width="9.26953125" style="485" customWidth="1"/>
    <col min="10792" max="10797" width="10.453125" style="485" customWidth="1"/>
    <col min="10798" max="11008" width="8.7265625" style="485"/>
    <col min="11009" max="11009" width="11.7265625" style="485" customWidth="1"/>
    <col min="11010" max="11010" width="52.453125" style="485" customWidth="1"/>
    <col min="11011" max="11019" width="7" style="485" customWidth="1"/>
    <col min="11020" max="11036" width="8.1796875" style="485" customWidth="1"/>
    <col min="11037" max="11047" width="9.26953125" style="485" customWidth="1"/>
    <col min="11048" max="11053" width="10.453125" style="485" customWidth="1"/>
    <col min="11054" max="11264" width="8.7265625" style="485"/>
    <col min="11265" max="11265" width="11.7265625" style="485" customWidth="1"/>
    <col min="11266" max="11266" width="52.453125" style="485" customWidth="1"/>
    <col min="11267" max="11275" width="7" style="485" customWidth="1"/>
    <col min="11276" max="11292" width="8.1796875" style="485" customWidth="1"/>
    <col min="11293" max="11303" width="9.26953125" style="485" customWidth="1"/>
    <col min="11304" max="11309" width="10.453125" style="485" customWidth="1"/>
    <col min="11310" max="11520" width="8.7265625" style="485"/>
    <col min="11521" max="11521" width="11.7265625" style="485" customWidth="1"/>
    <col min="11522" max="11522" width="52.453125" style="485" customWidth="1"/>
    <col min="11523" max="11531" width="7" style="485" customWidth="1"/>
    <col min="11532" max="11548" width="8.1796875" style="485" customWidth="1"/>
    <col min="11549" max="11559" width="9.26953125" style="485" customWidth="1"/>
    <col min="11560" max="11565" width="10.453125" style="485" customWidth="1"/>
    <col min="11566" max="11776" width="8.7265625" style="485"/>
    <col min="11777" max="11777" width="11.7265625" style="485" customWidth="1"/>
    <col min="11778" max="11778" width="52.453125" style="485" customWidth="1"/>
    <col min="11779" max="11787" width="7" style="485" customWidth="1"/>
    <col min="11788" max="11804" width="8.1796875" style="485" customWidth="1"/>
    <col min="11805" max="11815" width="9.26953125" style="485" customWidth="1"/>
    <col min="11816" max="11821" width="10.453125" style="485" customWidth="1"/>
    <col min="11822" max="12032" width="8.7265625" style="485"/>
    <col min="12033" max="12033" width="11.7265625" style="485" customWidth="1"/>
    <col min="12034" max="12034" width="52.453125" style="485" customWidth="1"/>
    <col min="12035" max="12043" width="7" style="485" customWidth="1"/>
    <col min="12044" max="12060" width="8.1796875" style="485" customWidth="1"/>
    <col min="12061" max="12071" width="9.26953125" style="485" customWidth="1"/>
    <col min="12072" max="12077" width="10.453125" style="485" customWidth="1"/>
    <col min="12078" max="12288" width="8.7265625" style="485"/>
    <col min="12289" max="12289" width="11.7265625" style="485" customWidth="1"/>
    <col min="12290" max="12290" width="52.453125" style="485" customWidth="1"/>
    <col min="12291" max="12299" width="7" style="485" customWidth="1"/>
    <col min="12300" max="12316" width="8.1796875" style="485" customWidth="1"/>
    <col min="12317" max="12327" width="9.26953125" style="485" customWidth="1"/>
    <col min="12328" max="12333" width="10.453125" style="485" customWidth="1"/>
    <col min="12334" max="12544" width="8.7265625" style="485"/>
    <col min="12545" max="12545" width="11.7265625" style="485" customWidth="1"/>
    <col min="12546" max="12546" width="52.453125" style="485" customWidth="1"/>
    <col min="12547" max="12555" width="7" style="485" customWidth="1"/>
    <col min="12556" max="12572" width="8.1796875" style="485" customWidth="1"/>
    <col min="12573" max="12583" width="9.26953125" style="485" customWidth="1"/>
    <col min="12584" max="12589" width="10.453125" style="485" customWidth="1"/>
    <col min="12590" max="12800" width="8.7265625" style="485"/>
    <col min="12801" max="12801" width="11.7265625" style="485" customWidth="1"/>
    <col min="12802" max="12802" width="52.453125" style="485" customWidth="1"/>
    <col min="12803" max="12811" width="7" style="485" customWidth="1"/>
    <col min="12812" max="12828" width="8.1796875" style="485" customWidth="1"/>
    <col min="12829" max="12839" width="9.26953125" style="485" customWidth="1"/>
    <col min="12840" max="12845" width="10.453125" style="485" customWidth="1"/>
    <col min="12846" max="13056" width="8.7265625" style="485"/>
    <col min="13057" max="13057" width="11.7265625" style="485" customWidth="1"/>
    <col min="13058" max="13058" width="52.453125" style="485" customWidth="1"/>
    <col min="13059" max="13067" width="7" style="485" customWidth="1"/>
    <col min="13068" max="13084" width="8.1796875" style="485" customWidth="1"/>
    <col min="13085" max="13095" width="9.26953125" style="485" customWidth="1"/>
    <col min="13096" max="13101" width="10.453125" style="485" customWidth="1"/>
    <col min="13102" max="13312" width="8.7265625" style="485"/>
    <col min="13313" max="13313" width="11.7265625" style="485" customWidth="1"/>
    <col min="13314" max="13314" width="52.453125" style="485" customWidth="1"/>
    <col min="13315" max="13323" width="7" style="485" customWidth="1"/>
    <col min="13324" max="13340" width="8.1796875" style="485" customWidth="1"/>
    <col min="13341" max="13351" width="9.26953125" style="485" customWidth="1"/>
    <col min="13352" max="13357" width="10.453125" style="485" customWidth="1"/>
    <col min="13358" max="13568" width="8.7265625" style="485"/>
    <col min="13569" max="13569" width="11.7265625" style="485" customWidth="1"/>
    <col min="13570" max="13570" width="52.453125" style="485" customWidth="1"/>
    <col min="13571" max="13579" width="7" style="485" customWidth="1"/>
    <col min="13580" max="13596" width="8.1796875" style="485" customWidth="1"/>
    <col min="13597" max="13607" width="9.26953125" style="485" customWidth="1"/>
    <col min="13608" max="13613" width="10.453125" style="485" customWidth="1"/>
    <col min="13614" max="13824" width="8.7265625" style="485"/>
    <col min="13825" max="13825" width="11.7265625" style="485" customWidth="1"/>
    <col min="13826" max="13826" width="52.453125" style="485" customWidth="1"/>
    <col min="13827" max="13835" width="7" style="485" customWidth="1"/>
    <col min="13836" max="13852" width="8.1796875" style="485" customWidth="1"/>
    <col min="13853" max="13863" width="9.26953125" style="485" customWidth="1"/>
    <col min="13864" max="13869" width="10.453125" style="485" customWidth="1"/>
    <col min="13870" max="14080" width="8.7265625" style="485"/>
    <col min="14081" max="14081" width="11.7265625" style="485" customWidth="1"/>
    <col min="14082" max="14082" width="52.453125" style="485" customWidth="1"/>
    <col min="14083" max="14091" width="7" style="485" customWidth="1"/>
    <col min="14092" max="14108" width="8.1796875" style="485" customWidth="1"/>
    <col min="14109" max="14119" width="9.26953125" style="485" customWidth="1"/>
    <col min="14120" max="14125" width="10.453125" style="485" customWidth="1"/>
    <col min="14126" max="14336" width="8.7265625" style="485"/>
    <col min="14337" max="14337" width="11.7265625" style="485" customWidth="1"/>
    <col min="14338" max="14338" width="52.453125" style="485" customWidth="1"/>
    <col min="14339" max="14347" width="7" style="485" customWidth="1"/>
    <col min="14348" max="14364" width="8.1796875" style="485" customWidth="1"/>
    <col min="14365" max="14375" width="9.26953125" style="485" customWidth="1"/>
    <col min="14376" max="14381" width="10.453125" style="485" customWidth="1"/>
    <col min="14382" max="14592" width="8.7265625" style="485"/>
    <col min="14593" max="14593" width="11.7265625" style="485" customWidth="1"/>
    <col min="14594" max="14594" width="52.453125" style="485" customWidth="1"/>
    <col min="14595" max="14603" width="7" style="485" customWidth="1"/>
    <col min="14604" max="14620" width="8.1796875" style="485" customWidth="1"/>
    <col min="14621" max="14631" width="9.26953125" style="485" customWidth="1"/>
    <col min="14632" max="14637" width="10.453125" style="485" customWidth="1"/>
    <col min="14638" max="14848" width="8.7265625" style="485"/>
    <col min="14849" max="14849" width="11.7265625" style="485" customWidth="1"/>
    <col min="14850" max="14850" width="52.453125" style="485" customWidth="1"/>
    <col min="14851" max="14859" width="7" style="485" customWidth="1"/>
    <col min="14860" max="14876" width="8.1796875" style="485" customWidth="1"/>
    <col min="14877" max="14887" width="9.26953125" style="485" customWidth="1"/>
    <col min="14888" max="14893" width="10.453125" style="485" customWidth="1"/>
    <col min="14894" max="15104" width="8.7265625" style="485"/>
    <col min="15105" max="15105" width="11.7265625" style="485" customWidth="1"/>
    <col min="15106" max="15106" width="52.453125" style="485" customWidth="1"/>
    <col min="15107" max="15115" width="7" style="485" customWidth="1"/>
    <col min="15116" max="15132" width="8.1796875" style="485" customWidth="1"/>
    <col min="15133" max="15143" width="9.26953125" style="485" customWidth="1"/>
    <col min="15144" max="15149" width="10.453125" style="485" customWidth="1"/>
    <col min="15150" max="15360" width="8.7265625" style="485"/>
    <col min="15361" max="15361" width="11.7265625" style="485" customWidth="1"/>
    <col min="15362" max="15362" width="52.453125" style="485" customWidth="1"/>
    <col min="15363" max="15371" width="7" style="485" customWidth="1"/>
    <col min="15372" max="15388" width="8.1796875" style="485" customWidth="1"/>
    <col min="15389" max="15399" width="9.26953125" style="485" customWidth="1"/>
    <col min="15400" max="15405" width="10.453125" style="485" customWidth="1"/>
    <col min="15406" max="15616" width="8.7265625" style="485"/>
    <col min="15617" max="15617" width="11.7265625" style="485" customWidth="1"/>
    <col min="15618" max="15618" width="52.453125" style="485" customWidth="1"/>
    <col min="15619" max="15627" width="7" style="485" customWidth="1"/>
    <col min="15628" max="15644" width="8.1796875" style="485" customWidth="1"/>
    <col min="15645" max="15655" width="9.26953125" style="485" customWidth="1"/>
    <col min="15656" max="15661" width="10.453125" style="485" customWidth="1"/>
    <col min="15662" max="15872" width="8.7265625" style="485"/>
    <col min="15873" max="15873" width="11.7265625" style="485" customWidth="1"/>
    <col min="15874" max="15874" width="52.453125" style="485" customWidth="1"/>
    <col min="15875" max="15883" width="7" style="485" customWidth="1"/>
    <col min="15884" max="15900" width="8.1796875" style="485" customWidth="1"/>
    <col min="15901" max="15911" width="9.26953125" style="485" customWidth="1"/>
    <col min="15912" max="15917" width="10.453125" style="485" customWidth="1"/>
    <col min="15918" max="16128" width="8.7265625" style="485"/>
    <col min="16129" max="16129" width="11.7265625" style="485" customWidth="1"/>
    <col min="16130" max="16130" width="52.453125" style="485" customWidth="1"/>
    <col min="16131" max="16139" width="7" style="485" customWidth="1"/>
    <col min="16140" max="16156" width="8.1796875" style="485" customWidth="1"/>
    <col min="16157" max="16167" width="9.26953125" style="485" customWidth="1"/>
    <col min="16168" max="16173" width="10.453125" style="485" customWidth="1"/>
    <col min="16174" max="16384" width="8.7265625" style="485"/>
  </cols>
  <sheetData>
    <row r="1" spans="1:45" ht="13">
      <c r="A1" s="509" t="s">
        <v>929</v>
      </c>
    </row>
    <row r="2" spans="1:45" ht="13">
      <c r="A2" s="509" t="s">
        <v>930</v>
      </c>
    </row>
    <row r="3" spans="1:45" ht="13">
      <c r="A3" s="510" t="s">
        <v>931</v>
      </c>
    </row>
    <row r="4" spans="1:45" ht="13" thickBot="1"/>
    <row r="5" spans="1:45" ht="13.5" thickBot="1">
      <c r="A5" s="493" t="s">
        <v>932</v>
      </c>
      <c r="B5" s="511"/>
      <c r="C5" s="512">
        <v>1953</v>
      </c>
      <c r="D5" s="513">
        <v>1954</v>
      </c>
      <c r="E5" s="513">
        <v>1955</v>
      </c>
      <c r="F5" s="513">
        <v>1956</v>
      </c>
      <c r="G5" s="513">
        <v>1957</v>
      </c>
      <c r="H5" s="513">
        <v>1958</v>
      </c>
      <c r="I5" s="513">
        <v>1959</v>
      </c>
      <c r="J5" s="513">
        <v>1960</v>
      </c>
      <c r="K5" s="513">
        <v>1961</v>
      </c>
      <c r="L5" s="513">
        <v>1962</v>
      </c>
      <c r="M5" s="513">
        <v>1963</v>
      </c>
      <c r="N5" s="513">
        <v>1964</v>
      </c>
      <c r="O5" s="513">
        <v>1965</v>
      </c>
      <c r="P5" s="513">
        <v>1966</v>
      </c>
      <c r="Q5" s="513">
        <v>1967</v>
      </c>
      <c r="R5" s="513">
        <v>1968</v>
      </c>
      <c r="S5" s="513">
        <v>1969</v>
      </c>
      <c r="T5" s="513">
        <v>1970</v>
      </c>
      <c r="U5" s="513">
        <v>1971</v>
      </c>
      <c r="V5" s="513">
        <v>1972</v>
      </c>
      <c r="W5" s="513">
        <v>1973</v>
      </c>
      <c r="X5" s="513">
        <v>1974</v>
      </c>
      <c r="Y5" s="513">
        <v>1975</v>
      </c>
      <c r="Z5" s="513">
        <v>1976</v>
      </c>
      <c r="AA5" s="513">
        <v>1977</v>
      </c>
      <c r="AB5" s="513">
        <v>1978</v>
      </c>
      <c r="AC5" s="513">
        <v>1979</v>
      </c>
      <c r="AD5" s="513">
        <v>1980</v>
      </c>
      <c r="AE5" s="513">
        <v>1981</v>
      </c>
      <c r="AF5" s="513">
        <v>1982</v>
      </c>
      <c r="AG5" s="513">
        <v>1983</v>
      </c>
      <c r="AH5" s="513">
        <v>1984</v>
      </c>
      <c r="AI5" s="513">
        <v>1985</v>
      </c>
      <c r="AJ5" s="513">
        <v>1986</v>
      </c>
      <c r="AK5" s="513">
        <v>1987</v>
      </c>
      <c r="AL5" s="513">
        <v>1988</v>
      </c>
      <c r="AM5" s="513">
        <v>1989</v>
      </c>
      <c r="AN5" s="513">
        <v>1990</v>
      </c>
      <c r="AO5" s="513">
        <v>1991</v>
      </c>
      <c r="AP5" s="513">
        <v>1992</v>
      </c>
      <c r="AQ5" s="513">
        <v>1993</v>
      </c>
      <c r="AR5" s="513">
        <v>1994</v>
      </c>
      <c r="AS5" s="514">
        <v>1995</v>
      </c>
    </row>
    <row r="6" spans="1:45" ht="13">
      <c r="A6" s="499" t="s">
        <v>933</v>
      </c>
      <c r="B6" s="496" t="s">
        <v>934</v>
      </c>
      <c r="C6" s="515">
        <v>15659.897173057601</v>
      </c>
      <c r="D6" s="515">
        <v>16751.914316826897</v>
      </c>
      <c r="E6" s="515">
        <v>17649.391732631466</v>
      </c>
      <c r="F6" s="515">
        <v>15996.411765239774</v>
      </c>
      <c r="G6" s="515">
        <v>18025.45680491313</v>
      </c>
      <c r="H6" s="515">
        <v>18608.723000525504</v>
      </c>
      <c r="I6" s="515">
        <v>17364.361446638766</v>
      </c>
      <c r="J6" s="515">
        <v>17900.207721568393</v>
      </c>
      <c r="K6" s="515">
        <v>18218.861058524588</v>
      </c>
      <c r="L6" s="515">
        <v>21225.173206754724</v>
      </c>
      <c r="M6" s="515">
        <v>19061.256189958141</v>
      </c>
      <c r="N6" s="515">
        <v>18816.901876549444</v>
      </c>
      <c r="O6" s="515">
        <v>20686.082585245167</v>
      </c>
      <c r="P6" s="515">
        <v>20731.927486503428</v>
      </c>
      <c r="Q6" s="515">
        <v>21226.22714538459</v>
      </c>
      <c r="R6" s="515">
        <v>22415.972938840314</v>
      </c>
      <c r="S6" s="515">
        <v>22854.43094349403</v>
      </c>
      <c r="T6" s="515">
        <v>24322.29605207741</v>
      </c>
      <c r="U6" s="515">
        <v>29288.213344474771</v>
      </c>
      <c r="V6" s="515">
        <v>36920.481803714079</v>
      </c>
      <c r="W6" s="515">
        <v>36689.014531218309</v>
      </c>
      <c r="X6" s="515">
        <v>42906.071021976779</v>
      </c>
      <c r="Y6" s="515">
        <v>50627.447561360728</v>
      </c>
      <c r="Z6" s="515">
        <v>61664.169825066652</v>
      </c>
      <c r="AA6" s="515">
        <v>80329.624421321641</v>
      </c>
      <c r="AB6" s="515">
        <v>92365.061475742623</v>
      </c>
      <c r="AC6" s="515">
        <v>114360.58690385299</v>
      </c>
      <c r="AD6" s="515">
        <v>139086.50023307619</v>
      </c>
      <c r="AE6" s="515">
        <v>173183.43622067955</v>
      </c>
      <c r="AF6" s="515">
        <v>218235.49773992327</v>
      </c>
      <c r="AG6" s="515">
        <v>278057.06270961778</v>
      </c>
      <c r="AH6" s="515">
        <v>319440.4913295997</v>
      </c>
      <c r="AI6" s="515">
        <v>387658.7680375796</v>
      </c>
      <c r="AJ6" s="515">
        <v>426602.86438342731</v>
      </c>
      <c r="AK6" s="515">
        <v>462802.85871810099</v>
      </c>
      <c r="AL6" s="515">
        <v>475423.94676794176</v>
      </c>
      <c r="AM6" s="515">
        <v>676048.04325885465</v>
      </c>
      <c r="AN6" s="515">
        <v>781897.76838048885</v>
      </c>
      <c r="AO6" s="515">
        <v>732602.31291353505</v>
      </c>
      <c r="AP6" s="515">
        <v>666760.99426710547</v>
      </c>
      <c r="AQ6" s="515">
        <v>615257.83729840652</v>
      </c>
      <c r="AR6" s="515">
        <v>738465.48014349025</v>
      </c>
      <c r="AS6" s="516">
        <v>888749.81130057434</v>
      </c>
    </row>
    <row r="7" spans="1:45" ht="13">
      <c r="A7" s="495" t="s">
        <v>935</v>
      </c>
      <c r="B7" s="496" t="s">
        <v>936</v>
      </c>
      <c r="C7" s="515">
        <v>1032.0938148432674</v>
      </c>
      <c r="D7" s="515">
        <v>1087.268764474818</v>
      </c>
      <c r="E7" s="515">
        <v>1231.3943981900136</v>
      </c>
      <c r="F7" s="515">
        <v>1345.6778901840503</v>
      </c>
      <c r="G7" s="515">
        <v>1366.3447900346357</v>
      </c>
      <c r="H7" s="515">
        <v>1250.734314896858</v>
      </c>
      <c r="I7" s="515">
        <v>1282.2230688596842</v>
      </c>
      <c r="J7" s="515">
        <v>1531.3819225406951</v>
      </c>
      <c r="K7" s="515">
        <v>1549.7446377117926</v>
      </c>
      <c r="L7" s="515">
        <v>1496.9814477425823</v>
      </c>
      <c r="M7" s="515">
        <v>1683.7610327450936</v>
      </c>
      <c r="N7" s="515">
        <v>1892.3001057262368</v>
      </c>
      <c r="O7" s="515">
        <v>1808.3545663429218</v>
      </c>
      <c r="P7" s="515">
        <v>1946.2114958074819</v>
      </c>
      <c r="Q7" s="515">
        <v>2278.1298963291297</v>
      </c>
      <c r="R7" s="515">
        <v>2178.361040471194</v>
      </c>
      <c r="S7" s="515">
        <v>2158.3593806680392</v>
      </c>
      <c r="T7" s="515">
        <v>2165.0387754464059</v>
      </c>
      <c r="U7" s="515">
        <v>2607.6188073124708</v>
      </c>
      <c r="V7" s="515">
        <v>2669.8991586342318</v>
      </c>
      <c r="W7" s="515">
        <v>3105.4558274045658</v>
      </c>
      <c r="X7" s="515">
        <v>3670.9245730727921</v>
      </c>
      <c r="Y7" s="515">
        <v>3933.1269683985583</v>
      </c>
      <c r="Z7" s="515">
        <v>5865.2976394316929</v>
      </c>
      <c r="AA7" s="515">
        <v>7212.3565345128509</v>
      </c>
      <c r="AB7" s="515">
        <v>8992.615805711639</v>
      </c>
      <c r="AC7" s="515">
        <v>10603.842141835294</v>
      </c>
      <c r="AD7" s="515">
        <v>13640.240535868941</v>
      </c>
      <c r="AE7" s="515">
        <v>15614.848140195798</v>
      </c>
      <c r="AF7" s="515">
        <v>15712.248754410304</v>
      </c>
      <c r="AG7" s="515">
        <v>19476.802626908779</v>
      </c>
      <c r="AH7" s="515">
        <v>24761.35416043859</v>
      </c>
      <c r="AI7" s="515">
        <v>31648.393465899408</v>
      </c>
      <c r="AJ7" s="515">
        <v>42548.715398513588</v>
      </c>
      <c r="AK7" s="515">
        <v>46512.323428059462</v>
      </c>
      <c r="AL7" s="515">
        <v>54408.354328280431</v>
      </c>
      <c r="AM7" s="515">
        <v>67619.952597881536</v>
      </c>
      <c r="AN7" s="515">
        <v>68309.420886208143</v>
      </c>
      <c r="AO7" s="515">
        <v>74859.290029226715</v>
      </c>
      <c r="AP7" s="515">
        <v>62977.048163236359</v>
      </c>
      <c r="AQ7" s="515">
        <v>57852.314004492771</v>
      </c>
      <c r="AR7" s="515">
        <v>57056.539192603952</v>
      </c>
      <c r="AS7" s="516">
        <v>58378.431700000001</v>
      </c>
    </row>
    <row r="8" spans="1:45" ht="13">
      <c r="A8" s="499">
        <v>21</v>
      </c>
      <c r="B8" s="496" t="s">
        <v>937</v>
      </c>
      <c r="C8" s="515">
        <v>44.625117490905211</v>
      </c>
      <c r="D8" s="515">
        <v>47.098889738168353</v>
      </c>
      <c r="E8" s="515">
        <v>42.26643150982175</v>
      </c>
      <c r="F8" s="515">
        <v>50.318110177831493</v>
      </c>
      <c r="G8" s="515">
        <v>61.560838872038907</v>
      </c>
      <c r="H8" s="515">
        <v>60.398077318095993</v>
      </c>
      <c r="I8" s="515">
        <v>60.629190569229387</v>
      </c>
      <c r="J8" s="515">
        <v>49.779822054788291</v>
      </c>
      <c r="K8" s="515">
        <v>44.685004697625978</v>
      </c>
      <c r="L8" s="515">
        <v>46.342201436001943</v>
      </c>
      <c r="M8" s="515">
        <v>66.780101920272244</v>
      </c>
      <c r="N8" s="515">
        <v>74.086487296333829</v>
      </c>
      <c r="O8" s="515">
        <v>66.100284754981672</v>
      </c>
      <c r="P8" s="515">
        <v>79.826322728295324</v>
      </c>
      <c r="Q8" s="515">
        <v>85.785900219715515</v>
      </c>
      <c r="R8" s="515">
        <v>65.280054088438106</v>
      </c>
      <c r="S8" s="515">
        <v>81.248484792589394</v>
      </c>
      <c r="T8" s="515">
        <v>64.673385767221632</v>
      </c>
      <c r="U8" s="515">
        <v>43.61087256026029</v>
      </c>
      <c r="V8" s="515">
        <v>43.496843787692647</v>
      </c>
      <c r="W8" s="515">
        <v>49.728706879865264</v>
      </c>
      <c r="X8" s="515">
        <v>116.80419368099999</v>
      </c>
      <c r="Y8" s="515">
        <v>147.04949261699718</v>
      </c>
      <c r="Z8" s="515">
        <v>217.33472321545904</v>
      </c>
      <c r="AA8" s="515">
        <v>157.09286513023559</v>
      </c>
      <c r="AB8" s="515">
        <v>189.90720443006262</v>
      </c>
      <c r="AC8" s="515">
        <v>266.35046455809004</v>
      </c>
      <c r="AD8" s="515">
        <v>329.19086765552527</v>
      </c>
      <c r="AE8" s="515">
        <v>641.01819437352322</v>
      </c>
      <c r="AF8" s="515">
        <v>881.24949043975846</v>
      </c>
      <c r="AG8" s="515">
        <v>1375.5624746735893</v>
      </c>
      <c r="AH8" s="515">
        <v>1783.9713625345514</v>
      </c>
      <c r="AI8" s="515">
        <v>1614.1017506153767</v>
      </c>
      <c r="AJ8" s="515">
        <v>2718.5048151288106</v>
      </c>
      <c r="AK8" s="515">
        <v>3436.065095247046</v>
      </c>
      <c r="AL8" s="515">
        <v>2891.8512779477583</v>
      </c>
      <c r="AM8" s="515">
        <v>2585.6640852356295</v>
      </c>
      <c r="AN8" s="515">
        <v>3078.9586216498692</v>
      </c>
      <c r="AO8" s="515">
        <v>3746.5551327548706</v>
      </c>
      <c r="AP8" s="515">
        <v>3819.4509060374203</v>
      </c>
      <c r="AQ8" s="515">
        <v>3688.5294520923258</v>
      </c>
      <c r="AR8" s="515">
        <v>2799.7703822545368</v>
      </c>
      <c r="AS8" s="516">
        <v>614.67606315891646</v>
      </c>
    </row>
    <row r="9" spans="1:45" ht="13">
      <c r="A9" s="495" t="s">
        <v>938</v>
      </c>
      <c r="B9" s="496" t="s">
        <v>939</v>
      </c>
      <c r="C9" s="515">
        <v>276.10632876991787</v>
      </c>
      <c r="D9" s="515">
        <v>216.56109298547716</v>
      </c>
      <c r="E9" s="515">
        <v>251.70413069946963</v>
      </c>
      <c r="F9" s="515">
        <v>279.36736683575811</v>
      </c>
      <c r="G9" s="515">
        <v>271.32855803403089</v>
      </c>
      <c r="H9" s="515">
        <v>199.27609301401986</v>
      </c>
      <c r="I9" s="515">
        <v>230.78939379525181</v>
      </c>
      <c r="J9" s="515">
        <v>259.58110216314066</v>
      </c>
      <c r="K9" s="515">
        <v>205.30252098952795</v>
      </c>
      <c r="L9" s="515">
        <v>166.76959918373484</v>
      </c>
      <c r="M9" s="515">
        <v>165.38871655787861</v>
      </c>
      <c r="N9" s="515">
        <v>167.42289202769081</v>
      </c>
      <c r="O9" s="515">
        <v>196.45623506810497</v>
      </c>
      <c r="P9" s="515">
        <v>253.5089204519837</v>
      </c>
      <c r="Q9" s="515">
        <v>273.69879474094046</v>
      </c>
      <c r="R9" s="515">
        <v>245.22024930657903</v>
      </c>
      <c r="S9" s="515">
        <v>263.86931886682675</v>
      </c>
      <c r="T9" s="515">
        <v>464.67740832480808</v>
      </c>
      <c r="U9" s="515">
        <v>384.65429535499675</v>
      </c>
      <c r="V9" s="515">
        <v>243.83756100180264</v>
      </c>
      <c r="W9" s="515">
        <v>326.46690678543052</v>
      </c>
      <c r="X9" s="515">
        <v>684.58542623374547</v>
      </c>
      <c r="Y9" s="515">
        <v>626.82759241329438</v>
      </c>
      <c r="Z9" s="515">
        <v>1001.4151701709868</v>
      </c>
      <c r="AA9" s="515">
        <v>1528.1275852116905</v>
      </c>
      <c r="AB9" s="515">
        <v>1569.7907330747487</v>
      </c>
      <c r="AC9" s="515">
        <v>2791.7342992500649</v>
      </c>
      <c r="AD9" s="515">
        <v>3192.8419898074076</v>
      </c>
      <c r="AE9" s="515">
        <v>2806.3093254943974</v>
      </c>
      <c r="AF9" s="515">
        <v>2909.0159393268768</v>
      </c>
      <c r="AG9" s="515">
        <v>3328.4264199055251</v>
      </c>
      <c r="AH9" s="515">
        <v>4099.5634248665192</v>
      </c>
      <c r="AI9" s="515">
        <v>3811.3488468674932</v>
      </c>
      <c r="AJ9" s="515">
        <v>3365.9919639731797</v>
      </c>
      <c r="AK9" s="515">
        <v>2021.7447357303647</v>
      </c>
      <c r="AL9" s="515">
        <v>3379.1761404313725</v>
      </c>
      <c r="AM9" s="515">
        <v>32814.53670952392</v>
      </c>
      <c r="AN9" s="515">
        <v>38922.369381229124</v>
      </c>
      <c r="AO9" s="515">
        <v>30209.76908393054</v>
      </c>
      <c r="AP9" s="515">
        <v>25242.00535229337</v>
      </c>
      <c r="AQ9" s="515">
        <v>21212.753823043055</v>
      </c>
      <c r="AR9" s="515">
        <v>22581.512611538008</v>
      </c>
      <c r="AS9" s="516">
        <v>24056.143910411476</v>
      </c>
    </row>
    <row r="10" spans="1:45" ht="13">
      <c r="A10" s="499">
        <v>29</v>
      </c>
      <c r="B10" s="496" t="s">
        <v>940</v>
      </c>
      <c r="C10" s="515">
        <v>106.08031077674225</v>
      </c>
      <c r="D10" s="515">
        <v>133.07818630595682</v>
      </c>
      <c r="E10" s="515">
        <v>110.0920478185226</v>
      </c>
      <c r="F10" s="515">
        <v>136.11801907076102</v>
      </c>
      <c r="G10" s="515">
        <v>181.84826702149803</v>
      </c>
      <c r="H10" s="515">
        <v>177.56990952409535</v>
      </c>
      <c r="I10" s="515">
        <v>203.76625415500683</v>
      </c>
      <c r="J10" s="515">
        <v>190.37355935110881</v>
      </c>
      <c r="K10" s="515">
        <v>150.19975275334608</v>
      </c>
      <c r="L10" s="515">
        <v>135.53878696527025</v>
      </c>
      <c r="M10" s="515">
        <v>177.9356187219083</v>
      </c>
      <c r="N10" s="515">
        <v>209.41103108143309</v>
      </c>
      <c r="O10" s="515">
        <v>239.09793243893523</v>
      </c>
      <c r="P10" s="515">
        <v>302.97754448288464</v>
      </c>
      <c r="Q10" s="515">
        <v>308.86159261919499</v>
      </c>
      <c r="R10" s="515">
        <v>334.93861503650464</v>
      </c>
      <c r="S10" s="515">
        <v>374.76072630695501</v>
      </c>
      <c r="T10" s="515">
        <v>388.83815825684923</v>
      </c>
      <c r="U10" s="515">
        <v>459.52911572637549</v>
      </c>
      <c r="V10" s="515">
        <v>660.82188299679729</v>
      </c>
      <c r="W10" s="515">
        <v>1085.3466550880387</v>
      </c>
      <c r="X10" s="515">
        <v>1225.3737462131928</v>
      </c>
      <c r="Y10" s="515">
        <v>1057.6749175868358</v>
      </c>
      <c r="Z10" s="515">
        <v>1337.6120334672378</v>
      </c>
      <c r="AA10" s="515">
        <v>1695.7190318101971</v>
      </c>
      <c r="AB10" s="515">
        <v>2339.0869910760939</v>
      </c>
      <c r="AC10" s="515">
        <v>3372.9486269648396</v>
      </c>
      <c r="AD10" s="515">
        <v>4658.3177976778252</v>
      </c>
      <c r="AE10" s="515">
        <v>6535.2369778624734</v>
      </c>
      <c r="AF10" s="515">
        <v>7477.0828740633788</v>
      </c>
      <c r="AG10" s="515">
        <v>8991.1335899567894</v>
      </c>
      <c r="AH10" s="515">
        <v>10584.635623450426</v>
      </c>
      <c r="AI10" s="515">
        <v>15567.375909265205</v>
      </c>
      <c r="AJ10" s="515">
        <v>18894.451442759935</v>
      </c>
      <c r="AK10" s="515">
        <v>24340.107224285333</v>
      </c>
      <c r="AL10" s="515">
        <v>33761.810775259451</v>
      </c>
      <c r="AM10" s="515">
        <v>48742.007810723029</v>
      </c>
      <c r="AN10" s="515">
        <v>72033.880614244656</v>
      </c>
      <c r="AO10" s="515">
        <v>90704.852763066767</v>
      </c>
      <c r="AP10" s="515">
        <v>98828.216815608539</v>
      </c>
      <c r="AQ10" s="515">
        <v>109116.13726334937</v>
      </c>
      <c r="AR10" s="515">
        <v>113176.43389765844</v>
      </c>
      <c r="AS10" s="516">
        <v>118842.44527984619</v>
      </c>
    </row>
    <row r="11" spans="1:45" ht="13">
      <c r="A11" s="506" t="s">
        <v>941</v>
      </c>
      <c r="B11" s="496" t="s">
        <v>942</v>
      </c>
      <c r="C11" s="515">
        <v>2773.495797299433</v>
      </c>
      <c r="D11" s="515">
        <v>3384.512121813565</v>
      </c>
      <c r="E11" s="515">
        <v>3256.9034544005754</v>
      </c>
      <c r="F11" s="515">
        <v>3593.0174863900752</v>
      </c>
      <c r="G11" s="515">
        <v>3319.8430275024493</v>
      </c>
      <c r="H11" s="515">
        <v>3559.5659143034914</v>
      </c>
      <c r="I11" s="515">
        <v>3928.5950772486208</v>
      </c>
      <c r="J11" s="515">
        <v>3800.9474212435607</v>
      </c>
      <c r="K11" s="515">
        <v>4081.6033253817768</v>
      </c>
      <c r="L11" s="515">
        <v>4917.4581193155918</v>
      </c>
      <c r="M11" s="515">
        <v>5108.2957194875153</v>
      </c>
      <c r="N11" s="515">
        <v>5361.1610131165526</v>
      </c>
      <c r="O11" s="515">
        <v>5931.9725370444285</v>
      </c>
      <c r="P11" s="515">
        <v>6572.985146082402</v>
      </c>
      <c r="Q11" s="515">
        <v>7016.2034067945669</v>
      </c>
      <c r="R11" s="515">
        <v>8248.5117056845775</v>
      </c>
      <c r="S11" s="515">
        <v>9216.5090145035356</v>
      </c>
      <c r="T11" s="515">
        <v>9834.5787390315509</v>
      </c>
      <c r="U11" s="515">
        <v>10038.697793283231</v>
      </c>
      <c r="V11" s="515">
        <v>10908.665484939143</v>
      </c>
      <c r="W11" s="515">
        <v>12937.542167369958</v>
      </c>
      <c r="X11" s="515">
        <v>16161.500974038343</v>
      </c>
      <c r="Y11" s="515">
        <v>18741.440513381622</v>
      </c>
      <c r="Z11" s="515">
        <v>23946.288968086621</v>
      </c>
      <c r="AA11" s="515">
        <v>30973.706368632691</v>
      </c>
      <c r="AB11" s="515">
        <v>38318.130878115313</v>
      </c>
      <c r="AC11" s="515">
        <v>47528.029532688663</v>
      </c>
      <c r="AD11" s="515">
        <v>63271.516517915086</v>
      </c>
      <c r="AE11" s="515">
        <v>80164.327378132148</v>
      </c>
      <c r="AF11" s="515">
        <v>93874.720012399048</v>
      </c>
      <c r="AG11" s="515">
        <v>130043.7781909367</v>
      </c>
      <c r="AH11" s="515">
        <v>171517.86194352552</v>
      </c>
      <c r="AI11" s="515">
        <v>207126.7235363792</v>
      </c>
      <c r="AJ11" s="515">
        <v>242968.79715931925</v>
      </c>
      <c r="AK11" s="515">
        <v>299693.57703630143</v>
      </c>
      <c r="AL11" s="515">
        <v>343756.06443029857</v>
      </c>
      <c r="AM11" s="515">
        <v>416011.6042383812</v>
      </c>
      <c r="AN11" s="515">
        <v>478740.65307206765</v>
      </c>
      <c r="AO11" s="515">
        <v>571068.65297934425</v>
      </c>
      <c r="AP11" s="515">
        <v>631324.00362734718</v>
      </c>
      <c r="AQ11" s="515">
        <v>651082.45446769695</v>
      </c>
      <c r="AR11" s="515">
        <v>642582.59607298498</v>
      </c>
      <c r="AS11" s="516">
        <v>675771.50558479037</v>
      </c>
    </row>
    <row r="12" spans="1:45" ht="13">
      <c r="A12" s="506" t="s">
        <v>943</v>
      </c>
      <c r="B12" s="496" t="s">
        <v>944</v>
      </c>
      <c r="C12" s="515">
        <v>4763.9929078892637</v>
      </c>
      <c r="D12" s="515">
        <v>4652.8710131295038</v>
      </c>
      <c r="E12" s="515">
        <v>4564.3790614219315</v>
      </c>
      <c r="F12" s="515">
        <v>4853.0368523959578</v>
      </c>
      <c r="G12" s="515">
        <v>4648.4456650600323</v>
      </c>
      <c r="H12" s="515">
        <v>4761.3563251045061</v>
      </c>
      <c r="I12" s="515">
        <v>4761.2074384981024</v>
      </c>
      <c r="J12" s="515">
        <v>5238.8049488095976</v>
      </c>
      <c r="K12" s="515">
        <v>4990.2780760230416</v>
      </c>
      <c r="L12" s="515">
        <v>5586.5047160657405</v>
      </c>
      <c r="M12" s="515">
        <v>5784.4549686118216</v>
      </c>
      <c r="N12" s="515">
        <v>6837.5731947945851</v>
      </c>
      <c r="O12" s="515">
        <v>9215.1423593608051</v>
      </c>
      <c r="P12" s="515">
        <v>8961.717812418623</v>
      </c>
      <c r="Q12" s="515">
        <v>9716.5801605996239</v>
      </c>
      <c r="R12" s="515">
        <v>9118.1181095040683</v>
      </c>
      <c r="S12" s="515">
        <v>10296.558956206634</v>
      </c>
      <c r="T12" s="515">
        <v>11034.810513084873</v>
      </c>
      <c r="U12" s="515">
        <v>13795.345950948882</v>
      </c>
      <c r="V12" s="515">
        <v>16234.787396911379</v>
      </c>
      <c r="W12" s="515">
        <v>20219.616867270863</v>
      </c>
      <c r="X12" s="515">
        <v>26780.087291654028</v>
      </c>
      <c r="Y12" s="515">
        <v>24833.197471352145</v>
      </c>
      <c r="Z12" s="515">
        <v>32491.714741408374</v>
      </c>
      <c r="AA12" s="515">
        <v>41495.493526725055</v>
      </c>
      <c r="AB12" s="515">
        <v>46933.177498924924</v>
      </c>
      <c r="AC12" s="515">
        <v>67298.056593321962</v>
      </c>
      <c r="AD12" s="515">
        <v>86730.938112528689</v>
      </c>
      <c r="AE12" s="515">
        <v>98526.234845074243</v>
      </c>
      <c r="AF12" s="515">
        <v>121354.36296288714</v>
      </c>
      <c r="AG12" s="515">
        <v>156276.38795712651</v>
      </c>
      <c r="AH12" s="515">
        <v>224906.14955669956</v>
      </c>
      <c r="AI12" s="515">
        <v>286087.83556871052</v>
      </c>
      <c r="AJ12" s="515">
        <v>373836.68273066374</v>
      </c>
      <c r="AK12" s="515">
        <v>417846.76088464208</v>
      </c>
      <c r="AL12" s="515">
        <v>491564.83928786521</v>
      </c>
      <c r="AM12" s="515">
        <v>529267.60677987779</v>
      </c>
      <c r="AN12" s="515">
        <v>682611.39360534481</v>
      </c>
      <c r="AO12" s="515">
        <v>679865.95115486521</v>
      </c>
      <c r="AP12" s="515">
        <v>691797.528119297</v>
      </c>
      <c r="AQ12" s="515">
        <v>737218.06977911131</v>
      </c>
      <c r="AR12" s="515">
        <v>768405.09274497407</v>
      </c>
      <c r="AS12" s="516">
        <v>770080.45315314445</v>
      </c>
    </row>
    <row r="13" spans="1:45" ht="13">
      <c r="A13" s="506" t="s">
        <v>945</v>
      </c>
      <c r="B13" s="496" t="s">
        <v>946</v>
      </c>
      <c r="C13" s="515">
        <v>1685.005387519494</v>
      </c>
      <c r="D13" s="515">
        <v>1706.6581175746671</v>
      </c>
      <c r="E13" s="515">
        <v>2170.0857634155705</v>
      </c>
      <c r="F13" s="515">
        <v>2434.8749415768571</v>
      </c>
      <c r="G13" s="515">
        <v>2739.2208346398811</v>
      </c>
      <c r="H13" s="515">
        <v>2407.2494359630541</v>
      </c>
      <c r="I13" s="515">
        <v>2362.9890621628974</v>
      </c>
      <c r="J13" s="515">
        <v>2504.187620210515</v>
      </c>
      <c r="K13" s="515">
        <v>2710.6438336925007</v>
      </c>
      <c r="L13" s="515">
        <v>3458.4462372557655</v>
      </c>
      <c r="M13" s="515">
        <v>3563.4140469634331</v>
      </c>
      <c r="N13" s="515">
        <v>3880.4776865567146</v>
      </c>
      <c r="O13" s="515">
        <v>4485.1192495692649</v>
      </c>
      <c r="P13" s="515">
        <v>4809.9830725300708</v>
      </c>
      <c r="Q13" s="515">
        <v>5272.8622395689508</v>
      </c>
      <c r="R13" s="515">
        <v>4584.7992839732678</v>
      </c>
      <c r="S13" s="515">
        <v>4817.9582932137364</v>
      </c>
      <c r="T13" s="515">
        <v>4718.9098249560375</v>
      </c>
      <c r="U13" s="515">
        <v>4961.1205070224296</v>
      </c>
      <c r="V13" s="515">
        <v>6358.5045210098979</v>
      </c>
      <c r="W13" s="515">
        <v>8203.8523152756843</v>
      </c>
      <c r="X13" s="515">
        <v>10070.264789135261</v>
      </c>
      <c r="Y13" s="515">
        <v>10586.199997898204</v>
      </c>
      <c r="Z13" s="515">
        <v>12402.828998032568</v>
      </c>
      <c r="AA13" s="515">
        <v>14528.560494176105</v>
      </c>
      <c r="AB13" s="515">
        <v>21043.93348641989</v>
      </c>
      <c r="AC13" s="515">
        <v>28761.057656303128</v>
      </c>
      <c r="AD13" s="515">
        <v>47482.841137185416</v>
      </c>
      <c r="AE13" s="515">
        <v>41723.723204167785</v>
      </c>
      <c r="AF13" s="515">
        <v>36701.175209374291</v>
      </c>
      <c r="AG13" s="515">
        <v>46581.845771593486</v>
      </c>
      <c r="AH13" s="515">
        <v>54641.838008090861</v>
      </c>
      <c r="AI13" s="515">
        <v>62370.854792972874</v>
      </c>
      <c r="AJ13" s="515">
        <v>74959.251393698039</v>
      </c>
      <c r="AK13" s="515">
        <v>91641.457294048974</v>
      </c>
      <c r="AL13" s="515">
        <v>111620.68517060849</v>
      </c>
      <c r="AM13" s="515">
        <v>124260.8805441445</v>
      </c>
      <c r="AN13" s="515">
        <v>140508.36551839742</v>
      </c>
      <c r="AO13" s="515">
        <v>146560.7357140948</v>
      </c>
      <c r="AP13" s="515">
        <v>178501.63596148809</v>
      </c>
      <c r="AQ13" s="515">
        <v>171844.27923693298</v>
      </c>
      <c r="AR13" s="515">
        <v>186789.67013982724</v>
      </c>
      <c r="AS13" s="516">
        <v>197484.97336306598</v>
      </c>
    </row>
    <row r="14" spans="1:45" ht="13">
      <c r="A14" s="506" t="s">
        <v>947</v>
      </c>
      <c r="B14" s="496" t="s">
        <v>948</v>
      </c>
      <c r="C14" s="515">
        <v>483.46888699188412</v>
      </c>
      <c r="D14" s="515">
        <v>636.43065205294954</v>
      </c>
      <c r="E14" s="515">
        <v>633.4187446896226</v>
      </c>
      <c r="F14" s="515">
        <v>772.20871209447512</v>
      </c>
      <c r="G14" s="515">
        <v>940.63311718752266</v>
      </c>
      <c r="H14" s="515">
        <v>943.64923439420488</v>
      </c>
      <c r="I14" s="515">
        <v>935.90441156581255</v>
      </c>
      <c r="J14" s="515">
        <v>1002.9342598503567</v>
      </c>
      <c r="K14" s="515">
        <v>1016.5892427359433</v>
      </c>
      <c r="L14" s="515">
        <v>1132.151009550452</v>
      </c>
      <c r="M14" s="515">
        <v>1135.7449732967784</v>
      </c>
      <c r="N14" s="515">
        <v>1547.3015936940667</v>
      </c>
      <c r="O14" s="515">
        <v>2486.773744255674</v>
      </c>
      <c r="P14" s="515">
        <v>2871.4347450379273</v>
      </c>
      <c r="Q14" s="515">
        <v>3321.935273835506</v>
      </c>
      <c r="R14" s="515">
        <v>3713.8710844203802</v>
      </c>
      <c r="S14" s="515">
        <v>3857.3865201841841</v>
      </c>
      <c r="T14" s="515">
        <v>4188.0672673291692</v>
      </c>
      <c r="U14" s="515">
        <v>4282.8432896468439</v>
      </c>
      <c r="V14" s="515">
        <v>4567.5996406911372</v>
      </c>
      <c r="W14" s="515">
        <v>5501.0951598008796</v>
      </c>
      <c r="X14" s="515">
        <v>8129.8446988687583</v>
      </c>
      <c r="Y14" s="515">
        <v>7959.3823368528911</v>
      </c>
      <c r="Z14" s="515">
        <v>7642.466773775388</v>
      </c>
      <c r="AA14" s="515">
        <v>9835.2615777399624</v>
      </c>
      <c r="AB14" s="515">
        <v>13007.370194751373</v>
      </c>
      <c r="AC14" s="515">
        <v>20273.656630094316</v>
      </c>
      <c r="AD14" s="515">
        <v>30476.188883768573</v>
      </c>
      <c r="AE14" s="515">
        <v>34549.304940178001</v>
      </c>
      <c r="AF14" s="515">
        <v>36264.370944728013</v>
      </c>
      <c r="AG14" s="515">
        <v>45811.54416667547</v>
      </c>
      <c r="AH14" s="515">
        <v>70643.603187789151</v>
      </c>
      <c r="AI14" s="515">
        <v>81046.879797790185</v>
      </c>
      <c r="AJ14" s="515">
        <v>103308.1826680245</v>
      </c>
      <c r="AK14" s="515">
        <v>144170.93270103389</v>
      </c>
      <c r="AL14" s="515">
        <v>171534.18854905243</v>
      </c>
      <c r="AM14" s="515">
        <v>195756.23571396762</v>
      </c>
      <c r="AN14" s="515">
        <v>177400.66070394358</v>
      </c>
      <c r="AO14" s="515">
        <v>186413.81578348897</v>
      </c>
      <c r="AP14" s="515">
        <v>196407.42037916026</v>
      </c>
      <c r="AQ14" s="515">
        <v>179557.98567495367</v>
      </c>
      <c r="AR14" s="515">
        <v>213950.72379556153</v>
      </c>
      <c r="AS14" s="516">
        <v>262728.14535888023</v>
      </c>
    </row>
    <row r="15" spans="1:45" ht="13">
      <c r="A15" s="506" t="s">
        <v>949</v>
      </c>
      <c r="B15" s="496" t="s">
        <v>950</v>
      </c>
      <c r="C15" s="515">
        <v>2721.2039507355744</v>
      </c>
      <c r="D15" s="515">
        <v>2729.4641550907349</v>
      </c>
      <c r="E15" s="515">
        <v>2768.7049762972515</v>
      </c>
      <c r="F15" s="515">
        <v>3652.4785550182542</v>
      </c>
      <c r="G15" s="515">
        <v>3392.7556702625634</v>
      </c>
      <c r="H15" s="515">
        <v>4262.5234164875983</v>
      </c>
      <c r="I15" s="515">
        <v>5214.022881268369</v>
      </c>
      <c r="J15" s="515">
        <v>6260.3587581387255</v>
      </c>
      <c r="K15" s="515">
        <v>5550.6686151214617</v>
      </c>
      <c r="L15" s="515">
        <v>5831.6029530997803</v>
      </c>
      <c r="M15" s="515">
        <v>6918.9169471220212</v>
      </c>
      <c r="N15" s="515">
        <v>7084.715140596687</v>
      </c>
      <c r="O15" s="515">
        <v>8918.9594768284715</v>
      </c>
      <c r="P15" s="515">
        <v>8121.6177085163999</v>
      </c>
      <c r="Q15" s="515">
        <v>8848.7050962893263</v>
      </c>
      <c r="R15" s="515">
        <v>10212.539888464049</v>
      </c>
      <c r="S15" s="515">
        <v>10390.822305050329</v>
      </c>
      <c r="T15" s="515">
        <v>11316.416331704337</v>
      </c>
      <c r="U15" s="515">
        <v>10845.498226009415</v>
      </c>
      <c r="V15" s="515">
        <v>11131.578271437142</v>
      </c>
      <c r="W15" s="515">
        <v>12433.683640642195</v>
      </c>
      <c r="X15" s="515">
        <v>15165.007695521264</v>
      </c>
      <c r="Y15" s="515">
        <v>14466.986580382358</v>
      </c>
      <c r="Z15" s="515">
        <v>15303.416111539085</v>
      </c>
      <c r="AA15" s="515">
        <v>19228.959611372458</v>
      </c>
      <c r="AB15" s="515">
        <v>20608.948058269358</v>
      </c>
      <c r="AC15" s="515">
        <v>32253.196543798425</v>
      </c>
      <c r="AD15" s="515">
        <v>46584.121121350465</v>
      </c>
      <c r="AE15" s="515">
        <v>40103.927212000643</v>
      </c>
      <c r="AF15" s="515">
        <v>44087.939895701922</v>
      </c>
      <c r="AG15" s="515">
        <v>66841.087252750847</v>
      </c>
      <c r="AH15" s="515">
        <v>89877.568429729654</v>
      </c>
      <c r="AI15" s="515">
        <v>135405.41983665447</v>
      </c>
      <c r="AJ15" s="515">
        <v>146331.49559133258</v>
      </c>
      <c r="AK15" s="515">
        <v>186193.84757344783</v>
      </c>
      <c r="AL15" s="515">
        <v>244351.61223296772</v>
      </c>
      <c r="AM15" s="515">
        <v>229498.97693754471</v>
      </c>
      <c r="AN15" s="515">
        <v>258873.24266251267</v>
      </c>
      <c r="AO15" s="515">
        <v>293634.56154256081</v>
      </c>
      <c r="AP15" s="515">
        <v>312726.48563730513</v>
      </c>
      <c r="AQ15" s="515">
        <v>320904.1575328972</v>
      </c>
      <c r="AR15" s="515">
        <v>321204.1230232183</v>
      </c>
      <c r="AS15" s="516">
        <v>345668.2237053985</v>
      </c>
    </row>
    <row r="16" spans="1:45" ht="13">
      <c r="A16" s="506" t="s">
        <v>951</v>
      </c>
      <c r="B16" s="496" t="s">
        <v>952</v>
      </c>
      <c r="C16" s="515">
        <v>586.87660288762709</v>
      </c>
      <c r="D16" s="515">
        <v>671.26150369450488</v>
      </c>
      <c r="E16" s="515">
        <v>719.66851914583049</v>
      </c>
      <c r="F16" s="515">
        <v>873.69709591778178</v>
      </c>
      <c r="G16" s="515">
        <v>944.74850593811732</v>
      </c>
      <c r="H16" s="515">
        <v>1209.2902377177511</v>
      </c>
      <c r="I16" s="515">
        <v>1336.2941649082068</v>
      </c>
      <c r="J16" s="515">
        <v>1548.8738981148599</v>
      </c>
      <c r="K16" s="515">
        <v>1681.3608908839121</v>
      </c>
      <c r="L16" s="515">
        <v>1780.3275748199037</v>
      </c>
      <c r="M16" s="515">
        <v>1895.0449217158412</v>
      </c>
      <c r="N16" s="515">
        <v>2058.5693274221467</v>
      </c>
      <c r="O16" s="515">
        <v>3116.1855528077531</v>
      </c>
      <c r="P16" s="515">
        <v>3782.6629244613955</v>
      </c>
      <c r="Q16" s="515">
        <v>3850.6088945191764</v>
      </c>
      <c r="R16" s="515">
        <v>3834.8420750383998</v>
      </c>
      <c r="S16" s="515">
        <v>4124.9643837427984</v>
      </c>
      <c r="T16" s="515">
        <v>4248.8588943852128</v>
      </c>
      <c r="U16" s="515">
        <v>4391.9307845080248</v>
      </c>
      <c r="V16" s="515">
        <v>4844.7031571375001</v>
      </c>
      <c r="W16" s="515">
        <v>5939.7986839707128</v>
      </c>
      <c r="X16" s="515">
        <v>6731.3326720509513</v>
      </c>
      <c r="Y16" s="515">
        <v>7337.5657180023099</v>
      </c>
      <c r="Z16" s="515">
        <v>9857.4687871558963</v>
      </c>
      <c r="AA16" s="515">
        <v>14836.701088646118</v>
      </c>
      <c r="AB16" s="515">
        <v>20506.15206285748</v>
      </c>
      <c r="AC16" s="515">
        <v>21849.534203702333</v>
      </c>
      <c r="AD16" s="515">
        <v>27745.337700525019</v>
      </c>
      <c r="AE16" s="515">
        <v>34085.555550290832</v>
      </c>
      <c r="AF16" s="515">
        <v>41608.275651991404</v>
      </c>
      <c r="AG16" s="515">
        <v>52461.351198912933</v>
      </c>
      <c r="AH16" s="515">
        <v>67270.810359412368</v>
      </c>
      <c r="AI16" s="515">
        <v>70846.549100458302</v>
      </c>
      <c r="AJ16" s="515">
        <v>93531.749179100385</v>
      </c>
      <c r="AK16" s="515">
        <v>122717.94665896548</v>
      </c>
      <c r="AL16" s="515">
        <v>151456.04433012972</v>
      </c>
      <c r="AM16" s="515">
        <v>182663.12595455648</v>
      </c>
      <c r="AN16" s="515">
        <v>226306.36755395084</v>
      </c>
      <c r="AO16" s="515">
        <v>251008.39270178898</v>
      </c>
      <c r="AP16" s="515">
        <v>281814.21470928984</v>
      </c>
      <c r="AQ16" s="515">
        <v>294772.08459125733</v>
      </c>
      <c r="AR16" s="515">
        <v>324829.25912002509</v>
      </c>
      <c r="AS16" s="516">
        <v>346312.97106678493</v>
      </c>
    </row>
    <row r="17" spans="1:45" ht="13">
      <c r="A17" s="506" t="s">
        <v>953</v>
      </c>
      <c r="B17" s="496" t="s">
        <v>954</v>
      </c>
      <c r="C17" s="515">
        <v>208.01953596540804</v>
      </c>
      <c r="D17" s="515">
        <v>137.89087696710556</v>
      </c>
      <c r="E17" s="515">
        <v>112.58712805840851</v>
      </c>
      <c r="F17" s="515">
        <v>55.983461990734227</v>
      </c>
      <c r="G17" s="515">
        <v>29.242725689536552</v>
      </c>
      <c r="H17" s="515">
        <v>112.63669733299106</v>
      </c>
      <c r="I17" s="515">
        <v>100.16012416832999</v>
      </c>
      <c r="J17" s="515">
        <v>168.96410228460914</v>
      </c>
      <c r="K17" s="515">
        <v>215.91887725911721</v>
      </c>
      <c r="L17" s="515">
        <v>273.59546010517045</v>
      </c>
      <c r="M17" s="515">
        <v>357.0984624274754</v>
      </c>
      <c r="N17" s="515">
        <v>563.01831617938592</v>
      </c>
      <c r="O17" s="515">
        <v>814.32667578950304</v>
      </c>
      <c r="P17" s="515">
        <v>977.34030026947642</v>
      </c>
      <c r="Q17" s="515">
        <v>905.83899147327475</v>
      </c>
      <c r="R17" s="515">
        <v>1477.2759495850655</v>
      </c>
      <c r="S17" s="515">
        <v>1900.9449966363827</v>
      </c>
      <c r="T17" s="515">
        <v>1978.2904638256994</v>
      </c>
      <c r="U17" s="515">
        <v>2270.3159000667524</v>
      </c>
      <c r="V17" s="515">
        <v>2637.4667648687546</v>
      </c>
      <c r="W17" s="515">
        <v>2956.3414564220402</v>
      </c>
      <c r="X17" s="515">
        <v>2612.1652664520507</v>
      </c>
      <c r="Y17" s="515">
        <v>2195.5103890194314</v>
      </c>
      <c r="Z17" s="515">
        <v>2737.2067268861574</v>
      </c>
      <c r="AA17" s="515">
        <v>5358.7871147323731</v>
      </c>
      <c r="AB17" s="515">
        <v>11123.851158771042</v>
      </c>
      <c r="AC17" s="515">
        <v>12888.617469543553</v>
      </c>
      <c r="AD17" s="515">
        <v>13993.924899336442</v>
      </c>
      <c r="AE17" s="515">
        <v>17044.549685752132</v>
      </c>
      <c r="AF17" s="515">
        <v>24225.131198343457</v>
      </c>
      <c r="AG17" s="515">
        <v>27982.211420592474</v>
      </c>
      <c r="AH17" s="515">
        <v>31324.978691283792</v>
      </c>
      <c r="AI17" s="515">
        <v>34699.274038179996</v>
      </c>
      <c r="AJ17" s="515">
        <v>41966.976462376944</v>
      </c>
      <c r="AK17" s="515">
        <v>56172.272074693101</v>
      </c>
      <c r="AL17" s="515">
        <v>64294.684475165057</v>
      </c>
      <c r="AM17" s="515">
        <v>70821.490307675005</v>
      </c>
      <c r="AN17" s="515">
        <v>74941.529430760755</v>
      </c>
      <c r="AO17" s="515">
        <v>66277.354658435986</v>
      </c>
      <c r="AP17" s="515">
        <v>58780.237507870617</v>
      </c>
      <c r="AQ17" s="515">
        <v>59513.262058893204</v>
      </c>
      <c r="AR17" s="515">
        <v>62467.680301334636</v>
      </c>
      <c r="AS17" s="516">
        <v>64282.878118715475</v>
      </c>
    </row>
    <row r="18" spans="1:45" ht="13">
      <c r="A18" s="506" t="s">
        <v>955</v>
      </c>
      <c r="B18" s="496" t="s">
        <v>956</v>
      </c>
      <c r="C18" s="515">
        <v>1297.7152641779708</v>
      </c>
      <c r="D18" s="515">
        <v>1251.590746095349</v>
      </c>
      <c r="E18" s="515">
        <v>1181.7368520538428</v>
      </c>
      <c r="F18" s="515">
        <v>1843.9509512249715</v>
      </c>
      <c r="G18" s="515">
        <v>2278.7397489990954</v>
      </c>
      <c r="H18" s="515">
        <v>2968.6815905736994</v>
      </c>
      <c r="I18" s="515">
        <v>3215.983068301884</v>
      </c>
      <c r="J18" s="515">
        <v>2603.8889784682183</v>
      </c>
      <c r="K18" s="515">
        <v>3286.4048142322104</v>
      </c>
      <c r="L18" s="515">
        <v>4224.971090072373</v>
      </c>
      <c r="M18" s="515">
        <v>4571.871896483749</v>
      </c>
      <c r="N18" s="515">
        <v>5269.848816316533</v>
      </c>
      <c r="O18" s="515">
        <v>6358.3588715293545</v>
      </c>
      <c r="P18" s="515">
        <v>7647.2129916569984</v>
      </c>
      <c r="Q18" s="515">
        <v>8582.7763401464363</v>
      </c>
      <c r="R18" s="515">
        <v>8354.3298835875103</v>
      </c>
      <c r="S18" s="515">
        <v>10247.730859846917</v>
      </c>
      <c r="T18" s="515">
        <v>12749.612093961699</v>
      </c>
      <c r="U18" s="515">
        <v>15087.310632219793</v>
      </c>
      <c r="V18" s="515">
        <v>19883.112139685189</v>
      </c>
      <c r="W18" s="515">
        <v>23254.694714296431</v>
      </c>
      <c r="X18" s="515">
        <v>30317.757317518252</v>
      </c>
      <c r="Y18" s="515">
        <v>30325.057579178574</v>
      </c>
      <c r="Z18" s="515">
        <v>35492.739460467295</v>
      </c>
      <c r="AA18" s="515">
        <v>45067.096432329861</v>
      </c>
      <c r="AB18" s="515">
        <v>52631.548523364036</v>
      </c>
      <c r="AC18" s="515">
        <v>66594.899939642841</v>
      </c>
      <c r="AD18" s="515">
        <v>89144.283280909789</v>
      </c>
      <c r="AE18" s="515">
        <v>106127.15659527552</v>
      </c>
      <c r="AF18" s="515">
        <v>113378.41774309261</v>
      </c>
      <c r="AG18" s="515">
        <v>141757.24152844324</v>
      </c>
      <c r="AH18" s="515">
        <v>166346.2779885772</v>
      </c>
      <c r="AI18" s="515">
        <v>206358.24312774945</v>
      </c>
      <c r="AJ18" s="515">
        <v>226404.00236757906</v>
      </c>
      <c r="AK18" s="515">
        <v>278298.49286392459</v>
      </c>
      <c r="AL18" s="515">
        <v>350683.66650616709</v>
      </c>
      <c r="AM18" s="515">
        <v>411255.22101728694</v>
      </c>
      <c r="AN18" s="515">
        <v>492657.33530623652</v>
      </c>
      <c r="AO18" s="515">
        <v>490027.0751244002</v>
      </c>
      <c r="AP18" s="515">
        <v>493536.05417474173</v>
      </c>
      <c r="AQ18" s="515">
        <v>472666.87545106595</v>
      </c>
      <c r="AR18" s="515">
        <v>495203.47308850288</v>
      </c>
      <c r="AS18" s="516">
        <v>571530.57080298429</v>
      </c>
    </row>
    <row r="19" spans="1:45" ht="13">
      <c r="A19" s="506" t="s">
        <v>957</v>
      </c>
      <c r="B19" s="496" t="s">
        <v>958</v>
      </c>
      <c r="C19" s="515">
        <v>100.94067813817014</v>
      </c>
      <c r="D19" s="515">
        <v>100.79489807597783</v>
      </c>
      <c r="E19" s="515">
        <v>101.52072769495861</v>
      </c>
      <c r="F19" s="515">
        <v>117.88625905990821</v>
      </c>
      <c r="G19" s="515">
        <v>111.10079103495519</v>
      </c>
      <c r="H19" s="515">
        <v>128.16947012924209</v>
      </c>
      <c r="I19" s="515">
        <v>134.95515677972497</v>
      </c>
      <c r="J19" s="515">
        <v>151.75579348453212</v>
      </c>
      <c r="K19" s="515">
        <v>185.16146363911969</v>
      </c>
      <c r="L19" s="515">
        <v>213.86998924772914</v>
      </c>
      <c r="M19" s="515">
        <v>210.24140620086911</v>
      </c>
      <c r="N19" s="515">
        <v>184.04477370442132</v>
      </c>
      <c r="O19" s="515">
        <v>240.70780311462931</v>
      </c>
      <c r="P19" s="515">
        <v>248.88681856500094</v>
      </c>
      <c r="Q19" s="515">
        <v>276.73387507563092</v>
      </c>
      <c r="R19" s="515">
        <v>287.81189846122152</v>
      </c>
      <c r="S19" s="515">
        <v>347.38187318725898</v>
      </c>
      <c r="T19" s="515">
        <v>435.8005456083111</v>
      </c>
      <c r="U19" s="515">
        <v>454.06910125536888</v>
      </c>
      <c r="V19" s="515">
        <v>484.96767206465336</v>
      </c>
      <c r="W19" s="515">
        <v>699.34654655414499</v>
      </c>
      <c r="X19" s="515">
        <v>936.2583235250296</v>
      </c>
      <c r="Y19" s="515">
        <v>1039.7730788956073</v>
      </c>
      <c r="Z19" s="515">
        <v>941.52922951555036</v>
      </c>
      <c r="AA19" s="515">
        <v>1821.2137885149684</v>
      </c>
      <c r="AB19" s="515">
        <v>2181.6020663719055</v>
      </c>
      <c r="AC19" s="515">
        <v>2666.4587982936687</v>
      </c>
      <c r="AD19" s="515">
        <v>3403.706412405948</v>
      </c>
      <c r="AE19" s="515">
        <v>2912.5862819525782</v>
      </c>
      <c r="AF19" s="515">
        <v>3951.789797554879</v>
      </c>
      <c r="AG19" s="515">
        <v>4487.9196681614567</v>
      </c>
      <c r="AH19" s="515">
        <v>7232.0406339433812</v>
      </c>
      <c r="AI19" s="515">
        <v>8449.8560062685465</v>
      </c>
      <c r="AJ19" s="515">
        <v>9947.7842955357246</v>
      </c>
      <c r="AK19" s="515">
        <v>12106.16206881791</v>
      </c>
      <c r="AL19" s="515">
        <v>13028.943428970735</v>
      </c>
      <c r="AM19" s="515">
        <v>15776.560508880966</v>
      </c>
      <c r="AN19" s="515">
        <v>21311.003835358471</v>
      </c>
      <c r="AO19" s="515">
        <v>23329.339140367363</v>
      </c>
      <c r="AP19" s="515">
        <v>26870.280340836478</v>
      </c>
      <c r="AQ19" s="515">
        <v>29004.514353191295</v>
      </c>
      <c r="AR19" s="515">
        <v>33407.479049743233</v>
      </c>
      <c r="AS19" s="516">
        <v>31995.288663632917</v>
      </c>
    </row>
    <row r="20" spans="1:45" ht="13">
      <c r="A20" s="506" t="s">
        <v>959</v>
      </c>
      <c r="B20" s="496" t="s">
        <v>960</v>
      </c>
      <c r="C20" s="515">
        <v>571.16638931484863</v>
      </c>
      <c r="D20" s="515">
        <v>751.9026069127292</v>
      </c>
      <c r="E20" s="515">
        <v>801.82973884584533</v>
      </c>
      <c r="F20" s="515">
        <v>893.69566160277896</v>
      </c>
      <c r="G20" s="515">
        <v>902.68254535073982</v>
      </c>
      <c r="H20" s="515">
        <v>1155.3138329323074</v>
      </c>
      <c r="I20" s="515">
        <v>1259.7995800967278</v>
      </c>
      <c r="J20" s="515">
        <v>1426.9767755598007</v>
      </c>
      <c r="K20" s="515">
        <v>1641.9188840123229</v>
      </c>
      <c r="L20" s="515">
        <v>1716.5515605583378</v>
      </c>
      <c r="M20" s="515">
        <v>1845.9148665714297</v>
      </c>
      <c r="N20" s="515">
        <v>2026.028392635812</v>
      </c>
      <c r="O20" s="515">
        <v>2155.3916986489039</v>
      </c>
      <c r="P20" s="515">
        <v>2330.5297129435517</v>
      </c>
      <c r="Q20" s="515">
        <v>2709.6637097973057</v>
      </c>
      <c r="R20" s="515">
        <v>2853.9535511196009</v>
      </c>
      <c r="S20" s="515">
        <v>3082.8270925273791</v>
      </c>
      <c r="T20" s="515">
        <v>3569.4321436073951</v>
      </c>
      <c r="U20" s="515">
        <v>4037.1302499624207</v>
      </c>
      <c r="V20" s="515">
        <v>4287.2020945251188</v>
      </c>
      <c r="W20" s="515">
        <v>4706.5339976482182</v>
      </c>
      <c r="X20" s="515">
        <v>4834.7739463809303</v>
      </c>
      <c r="Y20" s="515">
        <v>4646.8817022572448</v>
      </c>
      <c r="Z20" s="515">
        <v>4621.2692619986101</v>
      </c>
      <c r="AA20" s="515">
        <v>9643.3055873335561</v>
      </c>
      <c r="AB20" s="515">
        <v>17360.713455509129</v>
      </c>
      <c r="AC20" s="515">
        <v>20928.454356157446</v>
      </c>
      <c r="AD20" s="515">
        <v>26684.289666524608</v>
      </c>
      <c r="AE20" s="515">
        <v>26900.901042128076</v>
      </c>
      <c r="AF20" s="515">
        <v>43965.10695767682</v>
      </c>
      <c r="AG20" s="515">
        <v>85559.486336234302</v>
      </c>
      <c r="AH20" s="515">
        <v>133109.52477010436</v>
      </c>
      <c r="AI20" s="515">
        <v>177237.76488679092</v>
      </c>
      <c r="AJ20" s="515">
        <v>193160.98065187037</v>
      </c>
      <c r="AK20" s="515">
        <v>220909.33133994095</v>
      </c>
      <c r="AL20" s="515">
        <v>279249.29797050764</v>
      </c>
      <c r="AM20" s="515">
        <v>272075.17006326496</v>
      </c>
      <c r="AN20" s="515">
        <v>338273.16042457963</v>
      </c>
      <c r="AO20" s="515">
        <v>432652.58515702089</v>
      </c>
      <c r="AP20" s="515">
        <v>475652.56032163068</v>
      </c>
      <c r="AQ20" s="515">
        <v>504488.64221215626</v>
      </c>
      <c r="AR20" s="515">
        <v>538420.60468254983</v>
      </c>
      <c r="AS20" s="516">
        <v>538461.01242878404</v>
      </c>
    </row>
    <row r="21" spans="1:45" ht="13">
      <c r="A21" s="506" t="s">
        <v>961</v>
      </c>
      <c r="B21" s="496" t="s">
        <v>962</v>
      </c>
      <c r="C21" s="515">
        <v>179.74494456151871</v>
      </c>
      <c r="D21" s="515">
        <v>193.31060075484089</v>
      </c>
      <c r="E21" s="515">
        <v>201.78913587566723</v>
      </c>
      <c r="F21" s="515">
        <v>210.26767099649356</v>
      </c>
      <c r="G21" s="515">
        <v>225.52903421398102</v>
      </c>
      <c r="H21" s="515">
        <v>240.79039743146839</v>
      </c>
      <c r="I21" s="515">
        <v>264.53029576978219</v>
      </c>
      <c r="J21" s="515">
        <v>273.00883089060858</v>
      </c>
      <c r="K21" s="515">
        <v>293.3573151805918</v>
      </c>
      <c r="L21" s="515">
        <v>305.22726434974868</v>
      </c>
      <c r="M21" s="515">
        <v>335.74999078472354</v>
      </c>
      <c r="N21" s="515">
        <v>340.83711185721938</v>
      </c>
      <c r="O21" s="515">
        <v>366.27271721969839</v>
      </c>
      <c r="P21" s="515">
        <v>374.75125234052473</v>
      </c>
      <c r="Q21" s="515">
        <v>423.92675604131756</v>
      </c>
      <c r="R21" s="515">
        <v>481.58079486293673</v>
      </c>
      <c r="S21" s="515">
        <v>447.66665437963138</v>
      </c>
      <c r="T21" s="515">
        <v>552.80048987787814</v>
      </c>
      <c r="U21" s="515">
        <v>633.81435477377408</v>
      </c>
      <c r="V21" s="515">
        <v>791.07656310110156</v>
      </c>
      <c r="W21" s="515">
        <v>903.86057109342721</v>
      </c>
      <c r="X21" s="515">
        <v>924.51116410610655</v>
      </c>
      <c r="Y21" s="515">
        <v>913.39161402235618</v>
      </c>
      <c r="Z21" s="515">
        <v>1119.0769524781465</v>
      </c>
      <c r="AA21" s="515">
        <v>1094.0860567798372</v>
      </c>
      <c r="AB21" s="515">
        <v>1467.6115191720967</v>
      </c>
      <c r="AC21" s="515">
        <v>1576.1459510458169</v>
      </c>
      <c r="AD21" s="515">
        <v>1634.4066460469417</v>
      </c>
      <c r="AE21" s="515">
        <v>2256.374915254391</v>
      </c>
      <c r="AF21" s="515">
        <v>2741.153719952626</v>
      </c>
      <c r="AG21" s="515">
        <v>4034.2340054897559</v>
      </c>
      <c r="AH21" s="515">
        <v>6929.3774119720811</v>
      </c>
      <c r="AI21" s="515">
        <v>10226.164379742613</v>
      </c>
      <c r="AJ21" s="515">
        <v>12811.430414210818</v>
      </c>
      <c r="AK21" s="515">
        <v>16550.628077739864</v>
      </c>
      <c r="AL21" s="515">
        <v>19499.470989147769</v>
      </c>
      <c r="AM21" s="515">
        <v>23527.715248203298</v>
      </c>
      <c r="AN21" s="515">
        <v>26036.134777423504</v>
      </c>
      <c r="AO21" s="515">
        <v>30524.671384310222</v>
      </c>
      <c r="AP21" s="515">
        <v>33993.047599728772</v>
      </c>
      <c r="AQ21" s="515">
        <v>37308.999755291792</v>
      </c>
      <c r="AR21" s="515">
        <v>38882.032006863366</v>
      </c>
      <c r="AS21" s="516">
        <v>42149.915105765336</v>
      </c>
    </row>
    <row r="22" spans="1:45" ht="13">
      <c r="A22" s="506" t="s">
        <v>273</v>
      </c>
      <c r="B22" s="496" t="s">
        <v>963</v>
      </c>
      <c r="C22" s="515">
        <v>3367.489955482235</v>
      </c>
      <c r="D22" s="515">
        <v>3338.8797627352164</v>
      </c>
      <c r="E22" s="515">
        <v>3726.3075102309103</v>
      </c>
      <c r="F22" s="515">
        <v>4487.9786674730703</v>
      </c>
      <c r="G22" s="515">
        <v>4933.6590338608075</v>
      </c>
      <c r="H22" s="515">
        <v>5377.246019065592</v>
      </c>
      <c r="I22" s="515">
        <v>5942.434146637127</v>
      </c>
      <c r="J22" s="515">
        <v>6040.8101900427264</v>
      </c>
      <c r="K22" s="515">
        <v>6813.4761527539849</v>
      </c>
      <c r="L22" s="515">
        <v>7130.3766495019599</v>
      </c>
      <c r="M22" s="515">
        <v>7285.7140803762441</v>
      </c>
      <c r="N22" s="515">
        <v>7798.5037499932396</v>
      </c>
      <c r="O22" s="515">
        <v>9615.7228646321619</v>
      </c>
      <c r="P22" s="515">
        <v>11543.543640994638</v>
      </c>
      <c r="Q22" s="515">
        <v>13087.504870333241</v>
      </c>
      <c r="R22" s="515">
        <v>14055.462187575327</v>
      </c>
      <c r="S22" s="515">
        <v>15942.576002853404</v>
      </c>
      <c r="T22" s="515">
        <v>18632.800881840969</v>
      </c>
      <c r="U22" s="515">
        <v>25041.198513161682</v>
      </c>
      <c r="V22" s="515">
        <v>32551.425057062639</v>
      </c>
      <c r="W22" s="515">
        <v>37395.762926506184</v>
      </c>
      <c r="X22" s="515">
        <v>45091.81014386742</v>
      </c>
      <c r="Y22" s="515">
        <v>55076.689103309327</v>
      </c>
      <c r="Z22" s="515">
        <v>58327.700585858787</v>
      </c>
      <c r="AA22" s="515">
        <v>74548.171417093705</v>
      </c>
      <c r="AB22" s="515">
        <v>93328.317704144079</v>
      </c>
      <c r="AC22" s="515">
        <v>121092.9494462883</v>
      </c>
      <c r="AD22" s="515">
        <v>134440.38686354182</v>
      </c>
      <c r="AE22" s="515">
        <v>182754.75026842908</v>
      </c>
      <c r="AF22" s="515">
        <v>225112.27175556618</v>
      </c>
      <c r="AG22" s="515">
        <v>264547.05204558471</v>
      </c>
      <c r="AH22" s="515">
        <v>254357.76585862171</v>
      </c>
      <c r="AI22" s="515">
        <v>276428.6003240305</v>
      </c>
      <c r="AJ22" s="515">
        <v>302384.57207137905</v>
      </c>
      <c r="AK22" s="515">
        <v>375328.94656347221</v>
      </c>
      <c r="AL22" s="515">
        <v>439225.72554819874</v>
      </c>
      <c r="AM22" s="515">
        <v>475941.85694587644</v>
      </c>
      <c r="AN22" s="515">
        <v>598624.92006077105</v>
      </c>
      <c r="AO22" s="515">
        <v>721068.34262339061</v>
      </c>
      <c r="AP22" s="515">
        <v>867551.95401017216</v>
      </c>
      <c r="AQ22" s="515">
        <v>846557.66708614409</v>
      </c>
      <c r="AR22" s="515">
        <v>915297.33584159298</v>
      </c>
      <c r="AS22" s="516">
        <v>974352.12311171158</v>
      </c>
    </row>
    <row r="23" spans="1:45" ht="13">
      <c r="A23" s="506" t="s">
        <v>964</v>
      </c>
      <c r="B23" s="496" t="s">
        <v>965</v>
      </c>
      <c r="C23" s="515">
        <v>6960.4285836260633</v>
      </c>
      <c r="D23" s="515">
        <v>7528.939076675626</v>
      </c>
      <c r="E23" s="515">
        <v>7386.8085608327956</v>
      </c>
      <c r="F23" s="515">
        <v>9218.4392863956036</v>
      </c>
      <c r="G23" s="515">
        <v>9557.8467570952362</v>
      </c>
      <c r="H23" s="515">
        <v>10624.563646022945</v>
      </c>
      <c r="I23" s="515">
        <v>11350.991723395651</v>
      </c>
      <c r="J23" s="515">
        <v>12376.939910633704</v>
      </c>
      <c r="K23" s="515">
        <v>11986.570637336994</v>
      </c>
      <c r="L23" s="515">
        <v>14995.17311107824</v>
      </c>
      <c r="M23" s="515">
        <v>15875.37364289479</v>
      </c>
      <c r="N23" s="515">
        <v>18331.490720172063</v>
      </c>
      <c r="O23" s="515">
        <v>19541.065704212215</v>
      </c>
      <c r="P23" s="515">
        <v>19821.095698757454</v>
      </c>
      <c r="Q23" s="515">
        <v>24277.499564682988</v>
      </c>
      <c r="R23" s="515">
        <v>27597.551548894877</v>
      </c>
      <c r="S23" s="515">
        <v>27597.368905516581</v>
      </c>
      <c r="T23" s="515">
        <v>32059.426025743356</v>
      </c>
      <c r="U23" s="515">
        <v>37458.125939534468</v>
      </c>
      <c r="V23" s="515">
        <v>41281.699171572029</v>
      </c>
      <c r="W23" s="515">
        <v>54501.30467894199</v>
      </c>
      <c r="X23" s="515">
        <v>55823.028227821458</v>
      </c>
      <c r="Y23" s="515">
        <v>74191.829551223418</v>
      </c>
      <c r="Z23" s="515">
        <v>85136.292333321311</v>
      </c>
      <c r="AA23" s="515">
        <v>102753.52938903162</v>
      </c>
      <c r="AB23" s="515">
        <v>132767.76314506726</v>
      </c>
      <c r="AC23" s="515">
        <v>171655.75268619249</v>
      </c>
      <c r="AD23" s="515">
        <v>244054.96001067222</v>
      </c>
      <c r="AE23" s="515">
        <v>296768.34678876551</v>
      </c>
      <c r="AF23" s="515">
        <v>349135.7469585095</v>
      </c>
      <c r="AG23" s="515">
        <v>453021.84104823909</v>
      </c>
      <c r="AH23" s="515">
        <v>567985.47009216261</v>
      </c>
      <c r="AI23" s="515">
        <v>695900.0219627287</v>
      </c>
      <c r="AJ23" s="515">
        <v>828261.12765274511</v>
      </c>
      <c r="AK23" s="515">
        <v>905110.85742437816</v>
      </c>
      <c r="AL23" s="515">
        <v>1039009.5467132468</v>
      </c>
      <c r="AM23" s="515">
        <v>1200208.8942502623</v>
      </c>
      <c r="AN23" s="515">
        <v>1396188.7569999928</v>
      </c>
      <c r="AO23" s="515">
        <v>1629328.3963513738</v>
      </c>
      <c r="AP23" s="515">
        <v>1835553.8446272763</v>
      </c>
      <c r="AQ23" s="515">
        <v>2011757.2015906593</v>
      </c>
      <c r="AR23" s="515">
        <v>2079626.1641970931</v>
      </c>
      <c r="AS23" s="516">
        <v>2148913.8150132354</v>
      </c>
    </row>
    <row r="24" spans="1:45" ht="13">
      <c r="A24" s="506" t="s">
        <v>966</v>
      </c>
      <c r="B24" s="496" t="s">
        <v>967</v>
      </c>
      <c r="C24" s="515">
        <v>494.59932390480412</v>
      </c>
      <c r="D24" s="515">
        <v>687.47489217688099</v>
      </c>
      <c r="E24" s="515">
        <v>687.57586368601926</v>
      </c>
      <c r="F24" s="515">
        <v>748.93011198084878</v>
      </c>
      <c r="G24" s="515">
        <v>645.68193631094891</v>
      </c>
      <c r="H24" s="515">
        <v>561.84906358299099</v>
      </c>
      <c r="I24" s="515">
        <v>749.68596005541849</v>
      </c>
      <c r="J24" s="515">
        <v>821.48380362005264</v>
      </c>
      <c r="K24" s="515">
        <v>866.5544817745149</v>
      </c>
      <c r="L24" s="515">
        <v>834.37159922128922</v>
      </c>
      <c r="M24" s="515">
        <v>903.97473886146884</v>
      </c>
      <c r="N24" s="515">
        <v>1029.109951016982</v>
      </c>
      <c r="O24" s="515">
        <v>1423.7631733661271</v>
      </c>
      <c r="P24" s="515">
        <v>1886.8159279503784</v>
      </c>
      <c r="Q24" s="515">
        <v>2094.700928177288</v>
      </c>
      <c r="R24" s="515">
        <v>2263.8362830713963</v>
      </c>
      <c r="S24" s="515">
        <v>2406.3009382270566</v>
      </c>
      <c r="T24" s="515">
        <v>2763.3197672665874</v>
      </c>
      <c r="U24" s="515">
        <v>3735.1102171369098</v>
      </c>
      <c r="V24" s="515">
        <v>4656.08844429291</v>
      </c>
      <c r="W24" s="515">
        <v>5691.4974231072738</v>
      </c>
      <c r="X24" s="515">
        <v>5620.9824840958963</v>
      </c>
      <c r="Y24" s="515">
        <v>7555.5383666185026</v>
      </c>
      <c r="Z24" s="515">
        <v>10902.603121140484</v>
      </c>
      <c r="AA24" s="515">
        <v>13583.14802765676</v>
      </c>
      <c r="AB24" s="515">
        <v>17497.04448866942</v>
      </c>
      <c r="AC24" s="515">
        <v>24852.870150608604</v>
      </c>
      <c r="AD24" s="515">
        <v>29934.947258721131</v>
      </c>
      <c r="AE24" s="515">
        <v>35699.863350168423</v>
      </c>
      <c r="AF24" s="515">
        <v>47145.139247288738</v>
      </c>
      <c r="AG24" s="515">
        <v>61837.483051145849</v>
      </c>
      <c r="AH24" s="515">
        <v>77001.916510978015</v>
      </c>
      <c r="AI24" s="515">
        <v>102227.76584145377</v>
      </c>
      <c r="AJ24" s="515">
        <v>129816.74045667214</v>
      </c>
      <c r="AK24" s="515">
        <v>148439.74846855612</v>
      </c>
      <c r="AL24" s="515">
        <v>182728.22479837056</v>
      </c>
      <c r="AM24" s="515">
        <v>242547.74743903434</v>
      </c>
      <c r="AN24" s="515">
        <v>303595.74788805423</v>
      </c>
      <c r="AO24" s="515">
        <v>395926.21110850736</v>
      </c>
      <c r="AP24" s="515">
        <v>488880.23354394583</v>
      </c>
      <c r="AQ24" s="515">
        <v>550849.60449167946</v>
      </c>
      <c r="AR24" s="515">
        <v>597222.4661936058</v>
      </c>
      <c r="AS24" s="516">
        <v>628464.19598774193</v>
      </c>
    </row>
    <row r="25" spans="1:45" ht="13">
      <c r="A25" s="506" t="s">
        <v>968</v>
      </c>
      <c r="B25" s="496" t="s">
        <v>969</v>
      </c>
      <c r="C25" s="515">
        <v>1544.6048983027888</v>
      </c>
      <c r="D25" s="515">
        <v>1968.3892939593338</v>
      </c>
      <c r="E25" s="515">
        <v>2024.4010152458429</v>
      </c>
      <c r="F25" s="515">
        <v>2115.1685396976968</v>
      </c>
      <c r="G25" s="515">
        <v>2100.3954148933126</v>
      </c>
      <c r="H25" s="515">
        <v>2091.1834675745367</v>
      </c>
      <c r="I25" s="515">
        <v>2364.667244245406</v>
      </c>
      <c r="J25" s="515">
        <v>2530.6173702008855</v>
      </c>
      <c r="K25" s="515">
        <v>3002.415235201714</v>
      </c>
      <c r="L25" s="515">
        <v>3076.4117599573265</v>
      </c>
      <c r="M25" s="515">
        <v>3700.9983767164399</v>
      </c>
      <c r="N25" s="515">
        <v>4129.5674646996304</v>
      </c>
      <c r="O25" s="515">
        <v>4642.9303278846119</v>
      </c>
      <c r="P25" s="515">
        <v>5128.3714699529783</v>
      </c>
      <c r="Q25" s="515">
        <v>5504.2352703123088</v>
      </c>
      <c r="R25" s="515">
        <v>5678.7010860675791</v>
      </c>
      <c r="S25" s="515">
        <v>7347.9241362549228</v>
      </c>
      <c r="T25" s="515">
        <v>7630.9147392915693</v>
      </c>
      <c r="U25" s="515">
        <v>9060.8286598416689</v>
      </c>
      <c r="V25" s="515">
        <v>10745.360826685252</v>
      </c>
      <c r="W25" s="515">
        <v>13689.172584390093</v>
      </c>
      <c r="X25" s="515">
        <v>16518.121943851478</v>
      </c>
      <c r="Y25" s="515">
        <v>19451.850151073482</v>
      </c>
      <c r="Z25" s="515">
        <v>24060.0251181036</v>
      </c>
      <c r="AA25" s="515">
        <v>31454.242342660265</v>
      </c>
      <c r="AB25" s="515">
        <v>38215.682313854748</v>
      </c>
      <c r="AC25" s="515">
        <v>47549.361326411119</v>
      </c>
      <c r="AD25" s="515">
        <v>56945.327603633799</v>
      </c>
      <c r="AE25" s="515">
        <v>71602.595976424796</v>
      </c>
      <c r="AF25" s="515">
        <v>95245.599586761105</v>
      </c>
      <c r="AG25" s="515">
        <v>127569.21558261145</v>
      </c>
      <c r="AH25" s="515">
        <v>162337.19092197253</v>
      </c>
      <c r="AI25" s="515">
        <v>220195.36205762939</v>
      </c>
      <c r="AJ25" s="515">
        <v>248212.43223837574</v>
      </c>
      <c r="AK25" s="515">
        <v>292457.40020818211</v>
      </c>
      <c r="AL25" s="515">
        <v>322139.97700330621</v>
      </c>
      <c r="AM25" s="515">
        <v>354380.26578020694</v>
      </c>
      <c r="AN25" s="515">
        <v>409628.90057423513</v>
      </c>
      <c r="AO25" s="515">
        <v>493891.12701305159</v>
      </c>
      <c r="AP25" s="515">
        <v>540864.27220835327</v>
      </c>
      <c r="AQ25" s="515">
        <v>529005.68837346497</v>
      </c>
      <c r="AR25" s="515">
        <v>577061.22073857067</v>
      </c>
      <c r="AS25" s="516">
        <v>612579.03792135871</v>
      </c>
    </row>
    <row r="26" spans="1:45" ht="13">
      <c r="A26" s="506" t="s">
        <v>970</v>
      </c>
      <c r="B26" s="496" t="s">
        <v>971</v>
      </c>
      <c r="C26" s="515">
        <v>578.72439337608012</v>
      </c>
      <c r="D26" s="515">
        <v>603.64467341901297</v>
      </c>
      <c r="E26" s="515">
        <v>745.75482654881</v>
      </c>
      <c r="F26" s="515">
        <v>722.1076117130815</v>
      </c>
      <c r="G26" s="515">
        <v>761.84308966596132</v>
      </c>
      <c r="H26" s="515">
        <v>818.92022917738961</v>
      </c>
      <c r="I26" s="515">
        <v>880.83212612851389</v>
      </c>
      <c r="J26" s="515">
        <v>910.79653653434002</v>
      </c>
      <c r="K26" s="515">
        <v>984.80268566310724</v>
      </c>
      <c r="L26" s="515">
        <v>1082.0860349710597</v>
      </c>
      <c r="M26" s="515">
        <v>1162.0466834749182</v>
      </c>
      <c r="N26" s="515">
        <v>1304.7778432958546</v>
      </c>
      <c r="O26" s="515">
        <v>1408.6119517901943</v>
      </c>
      <c r="P26" s="515">
        <v>1490.6674895491722</v>
      </c>
      <c r="Q26" s="515">
        <v>1691.9976652465928</v>
      </c>
      <c r="R26" s="515">
        <v>1846.3992852437848</v>
      </c>
      <c r="S26" s="515">
        <v>2051.9218731979927</v>
      </c>
      <c r="T26" s="515">
        <v>2302.952579472003</v>
      </c>
      <c r="U26" s="515">
        <v>2559.797940612179</v>
      </c>
      <c r="V26" s="515">
        <v>2884.9043113046109</v>
      </c>
      <c r="W26" s="515">
        <v>3159.7448152831553</v>
      </c>
      <c r="X26" s="515">
        <v>4396.7633846631898</v>
      </c>
      <c r="Y26" s="515">
        <v>5843.586352713628</v>
      </c>
      <c r="Z26" s="515">
        <v>7440.8647848681139</v>
      </c>
      <c r="AA26" s="515">
        <v>10063.527195926205</v>
      </c>
      <c r="AB26" s="515">
        <v>14374.96021998578</v>
      </c>
      <c r="AC26" s="515">
        <v>18948.658525467574</v>
      </c>
      <c r="AD26" s="515">
        <v>22524.833885102973</v>
      </c>
      <c r="AE26" s="515">
        <v>29426.853472210285</v>
      </c>
      <c r="AF26" s="515">
        <v>36153.336586550977</v>
      </c>
      <c r="AG26" s="515">
        <v>53092.159391468849</v>
      </c>
      <c r="AH26" s="515">
        <v>70715.524717270426</v>
      </c>
      <c r="AI26" s="515">
        <v>89379.723414626773</v>
      </c>
      <c r="AJ26" s="515">
        <v>104282.99284757068</v>
      </c>
      <c r="AK26" s="515">
        <v>120687.14924823413</v>
      </c>
      <c r="AL26" s="515">
        <v>137169.10493898904</v>
      </c>
      <c r="AM26" s="515">
        <v>156839.20825930455</v>
      </c>
      <c r="AN26" s="515">
        <v>195492.22445403592</v>
      </c>
      <c r="AO26" s="515">
        <v>248287.83329259843</v>
      </c>
      <c r="AP26" s="515">
        <v>294477.85095562425</v>
      </c>
      <c r="AQ26" s="515">
        <v>334760.05185636814</v>
      </c>
      <c r="AR26" s="515">
        <v>357987.40427084523</v>
      </c>
      <c r="AS26" s="516">
        <v>413509.20930435054</v>
      </c>
    </row>
    <row r="27" spans="1:45" ht="13">
      <c r="A27" s="506" t="s">
        <v>972</v>
      </c>
      <c r="B27" s="496" t="s">
        <v>973</v>
      </c>
      <c r="C27" s="515">
        <v>796.13881551600116</v>
      </c>
      <c r="D27" s="515">
        <v>808.11407506307569</v>
      </c>
      <c r="E27" s="515">
        <v>895.77970027050196</v>
      </c>
      <c r="F27" s="515">
        <v>953.68841336003015</v>
      </c>
      <c r="G27" s="515">
        <v>1009.6902012986939</v>
      </c>
      <c r="H27" s="515">
        <v>1120.2879182411639</v>
      </c>
      <c r="I27" s="515">
        <v>1211.9669526595087</v>
      </c>
      <c r="J27" s="515">
        <v>1335.6069797247585</v>
      </c>
      <c r="K27" s="515">
        <v>1461.0103069434472</v>
      </c>
      <c r="L27" s="515">
        <v>1677.1433842684442</v>
      </c>
      <c r="M27" s="515">
        <v>1869.0014765575202</v>
      </c>
      <c r="N27" s="515">
        <v>2083.6124689100952</v>
      </c>
      <c r="O27" s="515">
        <v>2510.6449494513236</v>
      </c>
      <c r="P27" s="515">
        <v>2764.9283811877672</v>
      </c>
      <c r="Q27" s="515">
        <v>3163.9384820790588</v>
      </c>
      <c r="R27" s="515">
        <v>3777.6490020268329</v>
      </c>
      <c r="S27" s="515">
        <v>4216.4891753282327</v>
      </c>
      <c r="T27" s="515">
        <v>4979.1770266490748</v>
      </c>
      <c r="U27" s="515">
        <v>5707.2487563192299</v>
      </c>
      <c r="V27" s="515">
        <v>6828.3252933407148</v>
      </c>
      <c r="W27" s="515">
        <v>8779.2116470209239</v>
      </c>
      <c r="X27" s="515">
        <v>10857.465364102072</v>
      </c>
      <c r="Y27" s="515">
        <v>11082.989196212808</v>
      </c>
      <c r="Z27" s="515">
        <v>20334.506704393323</v>
      </c>
      <c r="AA27" s="515">
        <v>29541.335449279992</v>
      </c>
      <c r="AB27" s="515">
        <v>49726.086809702145</v>
      </c>
      <c r="AC27" s="515">
        <v>49359.180613781631</v>
      </c>
      <c r="AD27" s="515">
        <v>57647.865308355314</v>
      </c>
      <c r="AE27" s="515">
        <v>79283.818175716791</v>
      </c>
      <c r="AF27" s="515">
        <v>117853.20495828154</v>
      </c>
      <c r="AG27" s="515">
        <v>138126.50382259197</v>
      </c>
      <c r="AH27" s="515">
        <v>157442.11554487399</v>
      </c>
      <c r="AI27" s="515">
        <v>196807.76030111834</v>
      </c>
      <c r="AJ27" s="515">
        <v>226721.53392109767</v>
      </c>
      <c r="AK27" s="515">
        <v>305179.58391189971</v>
      </c>
      <c r="AL27" s="515">
        <v>374027.33368374512</v>
      </c>
      <c r="AM27" s="515">
        <v>480632.01298651338</v>
      </c>
      <c r="AN27" s="515">
        <v>626291.75537562161</v>
      </c>
      <c r="AO27" s="515">
        <v>734698.22684083309</v>
      </c>
      <c r="AP27" s="515">
        <v>697437.64162789984</v>
      </c>
      <c r="AQ27" s="515">
        <v>789437.18551420013</v>
      </c>
      <c r="AR27" s="515">
        <v>799444.62648450036</v>
      </c>
      <c r="AS27" s="516">
        <v>778069.65903599991</v>
      </c>
    </row>
    <row r="28" spans="1:45" ht="13">
      <c r="A28" s="506" t="s">
        <v>974</v>
      </c>
      <c r="B28" s="496" t="s">
        <v>975</v>
      </c>
      <c r="C28" s="515">
        <v>420.70771164194542</v>
      </c>
      <c r="D28" s="515">
        <v>442.19108789649999</v>
      </c>
      <c r="E28" s="515">
        <v>449.91189016722018</v>
      </c>
      <c r="F28" s="515">
        <v>475.34171194579062</v>
      </c>
      <c r="G28" s="515">
        <v>500.07717601129207</v>
      </c>
      <c r="H28" s="515">
        <v>555.10654094065183</v>
      </c>
      <c r="I28" s="515">
        <v>541.61785841228732</v>
      </c>
      <c r="J28" s="515">
        <v>540.78199951690988</v>
      </c>
      <c r="K28" s="515">
        <v>584.52501506257045</v>
      </c>
      <c r="L28" s="515">
        <v>648.08355843584752</v>
      </c>
      <c r="M28" s="515">
        <v>632.01183739207261</v>
      </c>
      <c r="N28" s="515">
        <v>665.56296935512228</v>
      </c>
      <c r="O28" s="515">
        <v>721.47859023252659</v>
      </c>
      <c r="P28" s="515">
        <v>807.55602907000196</v>
      </c>
      <c r="Q28" s="515">
        <v>937.53188489643264</v>
      </c>
      <c r="R28" s="515">
        <v>1078.2842484086191</v>
      </c>
      <c r="S28" s="515">
        <v>1246.8120053099215</v>
      </c>
      <c r="T28" s="515">
        <v>1485.7666912932241</v>
      </c>
      <c r="U28" s="515">
        <v>1643.3726320920741</v>
      </c>
      <c r="V28" s="515">
        <v>1990.9013314575761</v>
      </c>
      <c r="W28" s="515">
        <v>1905.0746642603224</v>
      </c>
      <c r="X28" s="515">
        <v>3002.8446314723801</v>
      </c>
      <c r="Y28" s="515">
        <v>3121.8389750021975</v>
      </c>
      <c r="Z28" s="515">
        <v>4649.3931648047155</v>
      </c>
      <c r="AA28" s="515">
        <v>5507.5617056233577</v>
      </c>
      <c r="AB28" s="515">
        <v>6670.9510856201241</v>
      </c>
      <c r="AC28" s="515">
        <v>7988.8572127296629</v>
      </c>
      <c r="AD28" s="515">
        <v>10523.727722508982</v>
      </c>
      <c r="AE28" s="515">
        <v>12833.017318190436</v>
      </c>
      <c r="AF28" s="515">
        <v>15008.457959145993</v>
      </c>
      <c r="AG28" s="515">
        <v>17270.810515632191</v>
      </c>
      <c r="AH28" s="515">
        <v>23480.984144786133</v>
      </c>
      <c r="AI28" s="515">
        <v>29470.450703373786</v>
      </c>
      <c r="AJ28" s="515">
        <v>35190.47</v>
      </c>
      <c r="AK28" s="515">
        <v>35448.301000000007</v>
      </c>
      <c r="AL28" s="515">
        <v>39025.996999999996</v>
      </c>
      <c r="AM28" s="515">
        <v>45575.915531164428</v>
      </c>
      <c r="AN28" s="515">
        <v>48853.363999999987</v>
      </c>
      <c r="AO28" s="515">
        <v>47093.939000000006</v>
      </c>
      <c r="AP28" s="515">
        <v>21376.662</v>
      </c>
      <c r="AQ28" s="515">
        <v>39929.577000000027</v>
      </c>
      <c r="AR28" s="515">
        <v>70781.013890999981</v>
      </c>
      <c r="AS28" s="516">
        <v>98160.969809362126</v>
      </c>
    </row>
    <row r="29" spans="1:45" ht="13">
      <c r="A29" s="506" t="s">
        <v>976</v>
      </c>
      <c r="B29" s="496" t="s">
        <v>977</v>
      </c>
      <c r="C29" s="515">
        <v>5071.0758676061223</v>
      </c>
      <c r="D29" s="515">
        <v>5326.1321746472231</v>
      </c>
      <c r="E29" s="515">
        <v>5656.4639962906349</v>
      </c>
      <c r="F29" s="515">
        <v>5948.4724751400872</v>
      </c>
      <c r="G29" s="515">
        <v>6339.4135381957931</v>
      </c>
      <c r="H29" s="515">
        <v>6714.6286817978489</v>
      </c>
      <c r="I29" s="515">
        <v>7177.3452741170904</v>
      </c>
      <c r="J29" s="515">
        <v>7677.2359705742156</v>
      </c>
      <c r="K29" s="515">
        <v>8143.3101435875469</v>
      </c>
      <c r="L29" s="515">
        <v>8623.2860539141984</v>
      </c>
      <c r="M29" s="515">
        <v>9298.1437899110024</v>
      </c>
      <c r="N29" s="515">
        <v>10122.928518402276</v>
      </c>
      <c r="O29" s="515">
        <v>10881.484259484116</v>
      </c>
      <c r="P29" s="515">
        <v>11906.37424699136</v>
      </c>
      <c r="Q29" s="515">
        <v>13105.874755338855</v>
      </c>
      <c r="R29" s="515">
        <v>14853.944019434255</v>
      </c>
      <c r="S29" s="515">
        <v>16649.781766446871</v>
      </c>
      <c r="T29" s="515">
        <v>18555.64790667644</v>
      </c>
      <c r="U29" s="515">
        <v>21737.902580614518</v>
      </c>
      <c r="V29" s="515">
        <v>25016.372751372895</v>
      </c>
      <c r="W29" s="515">
        <v>30576.59743372985</v>
      </c>
      <c r="X29" s="515">
        <v>33758.852369965374</v>
      </c>
      <c r="Y29" s="515">
        <v>35151.275708834495</v>
      </c>
      <c r="Z29" s="515">
        <v>39524.467530903494</v>
      </c>
      <c r="AA29" s="515">
        <v>44100.390265387272</v>
      </c>
      <c r="AB29" s="515">
        <v>51179.921649782489</v>
      </c>
      <c r="AC29" s="515">
        <v>59913.706566406217</v>
      </c>
      <c r="AD29" s="515">
        <v>69460.873649214118</v>
      </c>
      <c r="AE29" s="515">
        <v>80575.628699504785</v>
      </c>
      <c r="AF29" s="515">
        <v>95525.00338892077</v>
      </c>
      <c r="AG29" s="515">
        <v>114464.21475528824</v>
      </c>
      <c r="AH29" s="515">
        <v>139253.523764777</v>
      </c>
      <c r="AI29" s="515">
        <v>170353.87218834244</v>
      </c>
      <c r="AJ29" s="515">
        <v>216959.47923580417</v>
      </c>
      <c r="AK29" s="515">
        <v>259759.22942419798</v>
      </c>
      <c r="AL29" s="515">
        <v>333980.19178288366</v>
      </c>
      <c r="AM29" s="515">
        <v>426442.51334996813</v>
      </c>
      <c r="AN29" s="515">
        <v>543013.37261709245</v>
      </c>
      <c r="AO29" s="515">
        <v>691402.94397997577</v>
      </c>
      <c r="AP29" s="515">
        <v>816676.94081529381</v>
      </c>
      <c r="AQ29" s="515">
        <v>896810.05487870215</v>
      </c>
      <c r="AR29" s="515">
        <v>1006368.2156551249</v>
      </c>
      <c r="AS29" s="516">
        <v>1162569.0566499536</v>
      </c>
    </row>
    <row r="30" spans="1:45" ht="13">
      <c r="A30" s="506" t="s">
        <v>913</v>
      </c>
      <c r="B30" s="496" t="s">
        <v>978</v>
      </c>
      <c r="C30" s="515">
        <v>3283.4713068733654</v>
      </c>
      <c r="D30" s="515">
        <v>3421.8916195709685</v>
      </c>
      <c r="E30" s="515">
        <v>3688.7766244432364</v>
      </c>
      <c r="F30" s="515">
        <v>3807.5836080568301</v>
      </c>
      <c r="G30" s="515">
        <v>3954.494633733284</v>
      </c>
      <c r="H30" s="515">
        <v>4154.1005657754786</v>
      </c>
      <c r="I30" s="515">
        <v>5147.4206941608363</v>
      </c>
      <c r="J30" s="515">
        <v>5389.6312138633893</v>
      </c>
      <c r="K30" s="515">
        <v>6519.0511877664658</v>
      </c>
      <c r="L30" s="515">
        <v>7236.224843921048</v>
      </c>
      <c r="M30" s="515">
        <v>7637.3366487454969</v>
      </c>
      <c r="N30" s="515">
        <v>8105.2139295118586</v>
      </c>
      <c r="O30" s="515">
        <v>8468.427679868475</v>
      </c>
      <c r="P30" s="515">
        <v>9492.5755726369243</v>
      </c>
      <c r="Q30" s="515">
        <v>11382.089124778708</v>
      </c>
      <c r="R30" s="515">
        <v>12392.479493079411</v>
      </c>
      <c r="S30" s="515">
        <v>13267.653974439578</v>
      </c>
      <c r="T30" s="515">
        <v>16152.964929100172</v>
      </c>
      <c r="U30" s="515">
        <v>17700.210421384279</v>
      </c>
      <c r="V30" s="515">
        <v>22106.425201006434</v>
      </c>
      <c r="W30" s="515">
        <v>25739.110518558187</v>
      </c>
      <c r="X30" s="515">
        <v>31407.331780480166</v>
      </c>
      <c r="Y30" s="515">
        <v>43935.399036540919</v>
      </c>
      <c r="Z30" s="515">
        <v>56425.668010872621</v>
      </c>
      <c r="AA30" s="515">
        <v>76469.357500539074</v>
      </c>
      <c r="AB30" s="515">
        <v>96799.603804545884</v>
      </c>
      <c r="AC30" s="515">
        <v>121687.90067781977</v>
      </c>
      <c r="AD30" s="515">
        <v>163648.95356017406</v>
      </c>
      <c r="AE30" s="515">
        <v>200456.37284572847</v>
      </c>
      <c r="AF30" s="515">
        <v>245626.17140520579</v>
      </c>
      <c r="AG30" s="515">
        <v>310077.20153856912</v>
      </c>
      <c r="AH30" s="515">
        <v>378363.93447198696</v>
      </c>
      <c r="AI30" s="515">
        <v>473649.92857714853</v>
      </c>
      <c r="AJ30" s="515">
        <v>583199.42550934199</v>
      </c>
      <c r="AK30" s="515">
        <v>689125.72829263716</v>
      </c>
      <c r="AL30" s="515">
        <v>851868.85054790194</v>
      </c>
      <c r="AM30" s="515">
        <v>1058197.2064441196</v>
      </c>
      <c r="AN30" s="515">
        <v>1285421.1262523446</v>
      </c>
      <c r="AO30" s="515">
        <v>1596412.8924474507</v>
      </c>
      <c r="AP30" s="515">
        <v>1903523.8686853617</v>
      </c>
      <c r="AQ30" s="515">
        <v>2067557.5967608865</v>
      </c>
      <c r="AR30" s="515">
        <v>2164846.958881143</v>
      </c>
      <c r="AS30" s="516">
        <v>2349430.1336471043</v>
      </c>
    </row>
    <row r="31" spans="1:45" ht="13">
      <c r="A31" s="499">
        <v>9</v>
      </c>
      <c r="B31" s="496" t="s">
        <v>979</v>
      </c>
      <c r="C31" s="515">
        <v>3208.3469071650011</v>
      </c>
      <c r="D31" s="515">
        <v>3068.0359373432566</v>
      </c>
      <c r="E31" s="515">
        <v>3366.7579646072509</v>
      </c>
      <c r="F31" s="515">
        <v>3305.7048995829687</v>
      </c>
      <c r="G31" s="515">
        <v>3895.5358210996169</v>
      </c>
      <c r="H31" s="515">
        <v>4093.0189921569831</v>
      </c>
      <c r="I31" s="515">
        <v>4955.7867477176678</v>
      </c>
      <c r="J31" s="515">
        <v>5196.2307570448411</v>
      </c>
      <c r="K31" s="515">
        <v>5073.4043713029232</v>
      </c>
      <c r="L31" s="515">
        <v>5180.4030658565744</v>
      </c>
      <c r="M31" s="515">
        <v>5146.9733480682571</v>
      </c>
      <c r="N31" s="515">
        <v>6022.1557080803841</v>
      </c>
      <c r="O31" s="515">
        <v>8362.2578028286425</v>
      </c>
      <c r="P31" s="515">
        <v>8864.9390924430136</v>
      </c>
      <c r="Q31" s="515">
        <v>9407.238932446855</v>
      </c>
      <c r="R31" s="515">
        <v>10456.380971760671</v>
      </c>
      <c r="S31" s="515">
        <v>10217.634424031885</v>
      </c>
      <c r="T31" s="515">
        <v>12009.401681063489</v>
      </c>
      <c r="U31" s="515">
        <v>14128.621951458264</v>
      </c>
      <c r="V31" s="515">
        <v>15900.319365490253</v>
      </c>
      <c r="W31" s="515">
        <v>19113.794390121304</v>
      </c>
      <c r="X31" s="515">
        <v>24890.059278411787</v>
      </c>
      <c r="Y31" s="515">
        <v>29915.250711190849</v>
      </c>
      <c r="Z31" s="515">
        <v>33897.794488946784</v>
      </c>
      <c r="AA31" s="515">
        <v>41101.705688965892</v>
      </c>
      <c r="AB31" s="515">
        <v>46963.215966876873</v>
      </c>
      <c r="AC31" s="515">
        <v>55123.900342984067</v>
      </c>
      <c r="AD31" s="515">
        <v>71811.325348998449</v>
      </c>
      <c r="AE31" s="515">
        <v>87862.17241289973</v>
      </c>
      <c r="AF31" s="515">
        <v>107678.18356528218</v>
      </c>
      <c r="AG31" s="515">
        <v>127232.93170748369</v>
      </c>
      <c r="AH31" s="515">
        <v>147568.6088631794</v>
      </c>
      <c r="AI31" s="515">
        <v>178946.87631184357</v>
      </c>
      <c r="AJ31" s="515">
        <v>237388.20897571437</v>
      </c>
      <c r="AK31" s="515">
        <v>291791.18533202593</v>
      </c>
      <c r="AL31" s="515">
        <v>375971.1057358603</v>
      </c>
      <c r="AM31" s="515">
        <v>471236.57792685187</v>
      </c>
      <c r="AN31" s="515">
        <v>611612.93795930664</v>
      </c>
      <c r="AO31" s="515">
        <v>745026.50281157775</v>
      </c>
      <c r="AP31" s="515">
        <v>904938.3242869617</v>
      </c>
      <c r="AQ31" s="515">
        <v>1003840.2527963402</v>
      </c>
      <c r="AR31" s="515">
        <v>1162946.4043649652</v>
      </c>
      <c r="AS31" s="516">
        <v>1262455.1777784964</v>
      </c>
    </row>
    <row r="32" spans="1:45" ht="13">
      <c r="A32" s="507" t="s">
        <v>980</v>
      </c>
      <c r="B32" s="496" t="s">
        <v>981</v>
      </c>
      <c r="C32" s="515">
        <v>-484.76522710338975</v>
      </c>
      <c r="D32" s="515">
        <v>-504.44255684585761</v>
      </c>
      <c r="E32" s="515">
        <v>-562.65932749968124</v>
      </c>
      <c r="F32" s="515">
        <v>-626.15452359145911</v>
      </c>
      <c r="G32" s="515">
        <v>-676.17616862445038</v>
      </c>
      <c r="H32" s="515">
        <v>-784.59571260522557</v>
      </c>
      <c r="I32" s="515">
        <v>-874.13400346493518</v>
      </c>
      <c r="J32" s="515">
        <v>-961.09394340195138</v>
      </c>
      <c r="K32" s="515">
        <v>-1109.0275471431014</v>
      </c>
      <c r="L32" s="515">
        <v>-1267.6016755301625</v>
      </c>
      <c r="M32" s="515">
        <v>-1320.2831546210843</v>
      </c>
      <c r="N32" s="515">
        <v>-1466.6388671026016</v>
      </c>
      <c r="O32" s="515">
        <v>-1817.7294638816568</v>
      </c>
      <c r="P32" s="515">
        <v>-2102.1177712347785</v>
      </c>
      <c r="Q32" s="515">
        <v>-2521.4574240549546</v>
      </c>
      <c r="R32" s="515">
        <v>-2437.7236901980045</v>
      </c>
      <c r="S32" s="515">
        <v>-3328.6004154809093</v>
      </c>
      <c r="T32" s="515">
        <v>-3497.4850036338003</v>
      </c>
      <c r="U32" s="515">
        <v>-4732.4168584875524</v>
      </c>
      <c r="V32" s="515">
        <v>-6073.7778503842301</v>
      </c>
      <c r="W32" s="515">
        <v>-7587.0729895693585</v>
      </c>
      <c r="X32" s="515">
        <v>-10079.455170931613</v>
      </c>
      <c r="Y32" s="515">
        <v>-10219.507457946765</v>
      </c>
      <c r="Z32" s="515">
        <v>-18149.888188307839</v>
      </c>
      <c r="AA32" s="515">
        <v>-26185.077375310611</v>
      </c>
      <c r="AB32" s="515">
        <v>-45432.820398154625</v>
      </c>
      <c r="AC32" s="515">
        <v>-43267.92326541862</v>
      </c>
      <c r="AD32" s="515">
        <v>-50597.987285802024</v>
      </c>
      <c r="AE32" s="515">
        <v>-71017.913177100883</v>
      </c>
      <c r="AF32" s="515">
        <v>-100280.99345684989</v>
      </c>
      <c r="AG32" s="515">
        <v>-115774.78211980104</v>
      </c>
      <c r="AH32" s="515">
        <v>-128858.96224999988</v>
      </c>
      <c r="AI32" s="515">
        <v>-168709.84575000009</v>
      </c>
      <c r="AJ32" s="515">
        <v>-204998.95099999988</v>
      </c>
      <c r="AK32" s="515">
        <v>-274764.78124999988</v>
      </c>
      <c r="AL32" s="515">
        <v>-322482.93400000001</v>
      </c>
      <c r="AM32" s="515">
        <v>-428868.83440410113</v>
      </c>
      <c r="AN32" s="515">
        <v>-528996.2722256938</v>
      </c>
      <c r="AO32" s="515">
        <v>-640041.05658553308</v>
      </c>
      <c r="AP32" s="515">
        <v>-610444.65151129989</v>
      </c>
      <c r="AQ32" s="515">
        <v>-703155.6876201001</v>
      </c>
      <c r="AR32" s="515">
        <v>-735833.68651230028</v>
      </c>
      <c r="AS32" s="516">
        <v>-763482.95697900001</v>
      </c>
    </row>
    <row r="33" spans="1:45" ht="13">
      <c r="A33" s="517"/>
      <c r="B33" s="518" t="s">
        <v>982</v>
      </c>
      <c r="C33" s="515">
        <v>57731.255626810642</v>
      </c>
      <c r="D33" s="515">
        <v>61141.858579134481</v>
      </c>
      <c r="E33" s="515">
        <v>63863.351467572327</v>
      </c>
      <c r="F33" s="515">
        <v>68266.251601531025</v>
      </c>
      <c r="G33" s="515">
        <v>72461.942358294706</v>
      </c>
      <c r="H33" s="515">
        <v>77372.237359379229</v>
      </c>
      <c r="I33" s="515">
        <v>82104.825338850962</v>
      </c>
      <c r="J33" s="515">
        <v>86771.066303087398</v>
      </c>
      <c r="K33" s="515">
        <v>90148.790983089042</v>
      </c>
      <c r="L33" s="515">
        <v>101727.46960211871</v>
      </c>
      <c r="M33" s="515">
        <v>105073.16132794609</v>
      </c>
      <c r="N33" s="515">
        <v>114439.98221589017</v>
      </c>
      <c r="O33" s="515">
        <v>132843.96012988733</v>
      </c>
      <c r="P33" s="515">
        <v>141618.32403309536</v>
      </c>
      <c r="Q33" s="515">
        <v>157229.69212767211</v>
      </c>
      <c r="R33" s="515">
        <v>169970.37155780886</v>
      </c>
      <c r="S33" s="515">
        <v>182079.28258973273</v>
      </c>
      <c r="T33" s="515">
        <v>205107.98831200795</v>
      </c>
      <c r="U33" s="515">
        <v>237621.70397879352</v>
      </c>
      <c r="V33" s="515">
        <v>280556.24485970667</v>
      </c>
      <c r="W33" s="515">
        <v>331976.57684007072</v>
      </c>
      <c r="X33" s="515">
        <v>392555.06753822812</v>
      </c>
      <c r="Y33" s="515">
        <v>454544.25320839201</v>
      </c>
      <c r="Z33" s="515">
        <v>539191.26305760106</v>
      </c>
      <c r="AA33" s="515">
        <v>687743.9836918232</v>
      </c>
      <c r="AB33" s="515">
        <v>852730.22790265549</v>
      </c>
      <c r="AC33" s="515">
        <v>1088918.7843943243</v>
      </c>
      <c r="AD33" s="515">
        <v>1408453.8597277035</v>
      </c>
      <c r="AE33" s="515">
        <v>1689420.9966397495</v>
      </c>
      <c r="AF33" s="515">
        <v>2041569.6608465286</v>
      </c>
      <c r="AG33" s="515">
        <v>2624530.7066567941</v>
      </c>
      <c r="AH33" s="515">
        <v>3234118.1195226265</v>
      </c>
      <c r="AI33" s="515">
        <v>3984806.0690142205</v>
      </c>
      <c r="AJ33" s="515">
        <v>4720775.8928262163</v>
      </c>
      <c r="AK33" s="515">
        <v>5533977.8563985629</v>
      </c>
      <c r="AL33" s="515">
        <v>6583567.7604132425</v>
      </c>
      <c r="AM33" s="515">
        <v>7781858.1562852021</v>
      </c>
      <c r="AN33" s="515">
        <v>9371629.0787301548</v>
      </c>
      <c r="AO33" s="515">
        <v>10766581.274146419</v>
      </c>
      <c r="AP33" s="515">
        <v>11999868.125132566</v>
      </c>
      <c r="AQ33" s="515">
        <v>12632838.089683179</v>
      </c>
      <c r="AR33" s="515">
        <v>13555970.594259273</v>
      </c>
      <c r="AS33" s="516">
        <v>14602127.866886254</v>
      </c>
    </row>
    <row r="34" spans="1:45" ht="13">
      <c r="A34" s="519"/>
      <c r="B34" s="520"/>
      <c r="C34" s="521"/>
      <c r="D34" s="521"/>
      <c r="E34" s="521"/>
      <c r="F34" s="521"/>
      <c r="G34" s="521"/>
      <c r="H34" s="521"/>
      <c r="I34" s="521"/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521"/>
      <c r="U34" s="521"/>
      <c r="V34" s="521"/>
      <c r="W34" s="521"/>
      <c r="X34" s="521"/>
      <c r="Y34" s="521"/>
      <c r="Z34" s="52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1"/>
      <c r="AK34" s="521"/>
      <c r="AL34" s="521"/>
      <c r="AM34" s="521"/>
      <c r="AN34" s="521"/>
      <c r="AO34" s="521"/>
      <c r="AP34" s="521"/>
      <c r="AQ34" s="521"/>
      <c r="AR34" s="521"/>
      <c r="AS34" s="522"/>
    </row>
    <row r="35" spans="1:45" ht="13">
      <c r="A35" s="523" t="s">
        <v>983</v>
      </c>
      <c r="B35" s="496" t="s">
        <v>984</v>
      </c>
      <c r="C35" s="515">
        <v>1262.1429999999998</v>
      </c>
      <c r="D35" s="515">
        <v>1421.75</v>
      </c>
      <c r="E35" s="515">
        <v>1583.1559999999999</v>
      </c>
      <c r="F35" s="515">
        <v>1676.3530000000001</v>
      </c>
      <c r="G35" s="515">
        <v>1788.4770000000001</v>
      </c>
      <c r="H35" s="515">
        <v>1818.4320000000002</v>
      </c>
      <c r="I35" s="515">
        <v>1937.3209999999999</v>
      </c>
      <c r="J35" s="515">
        <v>2222.598</v>
      </c>
      <c r="K35" s="515">
        <v>2499.1060000000002</v>
      </c>
      <c r="L35" s="515">
        <v>2259.337</v>
      </c>
      <c r="M35" s="515">
        <v>2364.56</v>
      </c>
      <c r="N35" s="515">
        <v>2186.0970000000002</v>
      </c>
      <c r="O35" s="515">
        <v>2837.5309999999999</v>
      </c>
      <c r="P35" s="515">
        <v>2797.7449999999999</v>
      </c>
      <c r="Q35" s="515">
        <v>2946.623</v>
      </c>
      <c r="R35" s="515">
        <v>3043.3280000000004</v>
      </c>
      <c r="S35" s="515">
        <v>3479.319</v>
      </c>
      <c r="T35" s="515">
        <v>4091.0350000000008</v>
      </c>
      <c r="U35" s="515">
        <v>4142.4189999999999</v>
      </c>
      <c r="V35" s="515">
        <v>4607.4969999999994</v>
      </c>
      <c r="W35" s="515">
        <v>4800.7700000000004</v>
      </c>
      <c r="X35" s="515">
        <v>5227</v>
      </c>
      <c r="Y35" s="515">
        <v>5661</v>
      </c>
      <c r="Z35" s="515">
        <v>9026</v>
      </c>
      <c r="AA35" s="515">
        <v>13124.59</v>
      </c>
      <c r="AB35" s="515">
        <v>12144.946444444446</v>
      </c>
      <c r="AC35" s="515">
        <v>11726.914888888889</v>
      </c>
      <c r="AD35" s="515">
        <v>13990.331333333335</v>
      </c>
      <c r="AE35" s="515">
        <v>18100.535777777779</v>
      </c>
      <c r="AF35" s="515">
        <v>22075.597222222223</v>
      </c>
      <c r="AG35" s="515">
        <v>25993.146666666667</v>
      </c>
      <c r="AH35" s="515">
        <v>23093.207111111111</v>
      </c>
      <c r="AI35" s="515">
        <v>26929.768555555551</v>
      </c>
      <c r="AJ35" s="515">
        <v>38578</v>
      </c>
      <c r="AK35" s="515">
        <v>60239</v>
      </c>
      <c r="AL35" s="515">
        <v>72632</v>
      </c>
      <c r="AM35" s="515">
        <v>81704</v>
      </c>
      <c r="AN35" s="515">
        <v>93924</v>
      </c>
      <c r="AO35" s="515">
        <v>80188</v>
      </c>
      <c r="AP35" s="515">
        <v>84198</v>
      </c>
      <c r="AQ35" s="515">
        <v>66583</v>
      </c>
      <c r="AR35" s="515">
        <v>79981</v>
      </c>
      <c r="AS35" s="516">
        <v>87474</v>
      </c>
    </row>
    <row r="36" spans="1:45" ht="13">
      <c r="A36" s="523" t="s">
        <v>985</v>
      </c>
      <c r="B36" s="496" t="s">
        <v>986</v>
      </c>
      <c r="C36" s="515">
        <v>0</v>
      </c>
      <c r="D36" s="515">
        <v>0</v>
      </c>
      <c r="E36" s="515">
        <v>0</v>
      </c>
      <c r="F36" s="515">
        <v>0</v>
      </c>
      <c r="G36" s="515">
        <v>0</v>
      </c>
      <c r="H36" s="515">
        <v>0</v>
      </c>
      <c r="I36" s="515">
        <v>0</v>
      </c>
      <c r="J36" s="515">
        <v>0</v>
      </c>
      <c r="K36" s="515">
        <v>0</v>
      </c>
      <c r="L36" s="515">
        <v>0</v>
      </c>
      <c r="M36" s="515">
        <v>0</v>
      </c>
      <c r="N36" s="515">
        <v>0</v>
      </c>
      <c r="O36" s="515">
        <v>0</v>
      </c>
      <c r="P36" s="515">
        <v>396.12624</v>
      </c>
      <c r="Q36" s="515">
        <v>2040.8341599999997</v>
      </c>
      <c r="R36" s="515">
        <v>2418.0065599999998</v>
      </c>
      <c r="S36" s="515">
        <v>2669.91084</v>
      </c>
      <c r="T36" s="515">
        <v>3159.2128400000001</v>
      </c>
      <c r="U36" s="515">
        <v>4004.0249199999998</v>
      </c>
      <c r="V36" s="515">
        <v>4790.7638399999996</v>
      </c>
      <c r="W36" s="515">
        <v>6039.36024</v>
      </c>
      <c r="X36" s="515">
        <v>7962.3773599999995</v>
      </c>
      <c r="Y36" s="515">
        <v>9571.1574400000009</v>
      </c>
      <c r="Z36" s="515">
        <v>13730.08</v>
      </c>
      <c r="AA36" s="515">
        <v>21388.146999999997</v>
      </c>
      <c r="AB36" s="515">
        <v>28489.288</v>
      </c>
      <c r="AC36" s="515">
        <v>35258.945999999996</v>
      </c>
      <c r="AD36" s="515">
        <v>53871.830999999998</v>
      </c>
      <c r="AE36" s="515">
        <v>66203.998000000007</v>
      </c>
      <c r="AF36" s="515">
        <v>81174.963000000003</v>
      </c>
      <c r="AG36" s="515">
        <v>89815.214999999997</v>
      </c>
      <c r="AH36" s="515">
        <v>107887.496</v>
      </c>
      <c r="AI36" s="515">
        <v>119278.26300000001</v>
      </c>
      <c r="AJ36" s="515">
        <v>289147</v>
      </c>
      <c r="AK36" s="515">
        <v>354215</v>
      </c>
      <c r="AL36" s="515">
        <v>444157</v>
      </c>
      <c r="AM36" s="515">
        <v>524867</v>
      </c>
      <c r="AN36" s="515">
        <v>606510</v>
      </c>
      <c r="AO36" s="515">
        <v>702612</v>
      </c>
      <c r="AP36" s="515">
        <v>900324</v>
      </c>
      <c r="AQ36" s="515">
        <v>879885</v>
      </c>
      <c r="AR36" s="515">
        <v>1087012</v>
      </c>
      <c r="AS36" s="516">
        <v>1223271</v>
      </c>
    </row>
    <row r="37" spans="1:45" ht="13">
      <c r="A37" s="523"/>
      <c r="B37" s="518" t="s">
        <v>637</v>
      </c>
      <c r="C37" s="521"/>
      <c r="D37" s="521"/>
      <c r="E37" s="521"/>
      <c r="F37" s="521"/>
      <c r="G37" s="521"/>
      <c r="H37" s="521"/>
      <c r="I37" s="521"/>
      <c r="J37" s="521"/>
      <c r="K37" s="521"/>
      <c r="L37" s="521"/>
      <c r="M37" s="521"/>
      <c r="N37" s="521"/>
      <c r="O37" s="521"/>
      <c r="P37" s="521"/>
      <c r="Q37" s="521"/>
      <c r="R37" s="521"/>
      <c r="S37" s="521"/>
      <c r="T37" s="521"/>
      <c r="U37" s="521"/>
      <c r="V37" s="521"/>
      <c r="W37" s="521"/>
      <c r="X37" s="521"/>
      <c r="Y37" s="521"/>
      <c r="Z37" s="521"/>
      <c r="AA37" s="521"/>
      <c r="AB37" s="521"/>
      <c r="AC37" s="521"/>
      <c r="AD37" s="521"/>
      <c r="AE37" s="521"/>
      <c r="AF37" s="521"/>
      <c r="AG37" s="521"/>
      <c r="AH37" s="521"/>
      <c r="AI37" s="521"/>
      <c r="AJ37" s="521"/>
      <c r="AK37" s="521"/>
      <c r="AL37" s="521"/>
      <c r="AM37" s="521"/>
      <c r="AN37" s="521"/>
      <c r="AO37" s="521"/>
      <c r="AP37" s="521"/>
      <c r="AQ37" s="521"/>
      <c r="AR37" s="521"/>
      <c r="AS37" s="522"/>
    </row>
    <row r="38" spans="1:45" ht="13.5" thickBot="1">
      <c r="A38" s="524"/>
      <c r="B38" s="525" t="s">
        <v>987</v>
      </c>
      <c r="C38" s="526">
        <v>58993.398626810638</v>
      </c>
      <c r="D38" s="526">
        <v>62563.608579134481</v>
      </c>
      <c r="E38" s="526">
        <v>65446.50746757233</v>
      </c>
      <c r="F38" s="526">
        <v>69942.604601531028</v>
      </c>
      <c r="G38" s="526">
        <v>74250.419358294705</v>
      </c>
      <c r="H38" s="526">
        <v>79190.66935937923</v>
      </c>
      <c r="I38" s="526">
        <v>84042.146338850958</v>
      </c>
      <c r="J38" s="526">
        <v>88993.664303087397</v>
      </c>
      <c r="K38" s="526">
        <v>92647.896983089042</v>
      </c>
      <c r="L38" s="526">
        <v>103986.80660211871</v>
      </c>
      <c r="M38" s="526">
        <v>107437.72132794608</v>
      </c>
      <c r="N38" s="526">
        <v>116626.07921589016</v>
      </c>
      <c r="O38" s="526">
        <v>135681.49112988732</v>
      </c>
      <c r="P38" s="526">
        <v>144812.19527309536</v>
      </c>
      <c r="Q38" s="526">
        <v>162217.1492876721</v>
      </c>
      <c r="R38" s="526">
        <v>175431.70611780885</v>
      </c>
      <c r="S38" s="526">
        <v>188228.51242973271</v>
      </c>
      <c r="T38" s="526">
        <v>212358.23615200794</v>
      </c>
      <c r="U38" s="526">
        <v>245768.14789879351</v>
      </c>
      <c r="V38" s="526">
        <v>289954.50569970667</v>
      </c>
      <c r="W38" s="526">
        <v>342816.70708007074</v>
      </c>
      <c r="X38" s="526">
        <v>405744.4448982281</v>
      </c>
      <c r="Y38" s="526">
        <v>469776.41064839199</v>
      </c>
      <c r="Z38" s="526">
        <v>561947.34305760101</v>
      </c>
      <c r="AA38" s="526">
        <v>722256.72069182317</v>
      </c>
      <c r="AB38" s="526">
        <v>893364.46234709991</v>
      </c>
      <c r="AC38" s="526">
        <v>1135904.6452832131</v>
      </c>
      <c r="AD38" s="526">
        <v>1476316.0220610369</v>
      </c>
      <c r="AE38" s="526">
        <v>1773725.5304175273</v>
      </c>
      <c r="AF38" s="526">
        <v>2144820.2210687506</v>
      </c>
      <c r="AG38" s="526">
        <v>2740339.0683234609</v>
      </c>
      <c r="AH38" s="526">
        <v>3365098.8226337377</v>
      </c>
      <c r="AI38" s="526">
        <v>4131014.1005697763</v>
      </c>
      <c r="AJ38" s="526">
        <v>5048500.8928262163</v>
      </c>
      <c r="AK38" s="526">
        <v>5948431.8563985629</v>
      </c>
      <c r="AL38" s="526">
        <v>7100356.7604132425</v>
      </c>
      <c r="AM38" s="526">
        <v>8388429.1562852021</v>
      </c>
      <c r="AN38" s="526">
        <v>10072063.078730155</v>
      </c>
      <c r="AO38" s="526">
        <v>11549381.274146419</v>
      </c>
      <c r="AP38" s="526">
        <v>12984390.125132566</v>
      </c>
      <c r="AQ38" s="526">
        <v>13579306.089683179</v>
      </c>
      <c r="AR38" s="526">
        <v>14722963.594259273</v>
      </c>
      <c r="AS38" s="527">
        <v>15912872.866886254</v>
      </c>
    </row>
    <row r="39" spans="1:45" ht="13">
      <c r="A39" s="528" t="s">
        <v>988</v>
      </c>
      <c r="B39" s="528"/>
      <c r="C39" s="510"/>
      <c r="D39" s="529"/>
      <c r="E39" s="529"/>
      <c r="F39" s="529"/>
      <c r="G39" s="529"/>
      <c r="H39" s="529"/>
      <c r="I39" s="529"/>
      <c r="J39" s="529"/>
      <c r="K39" s="529"/>
      <c r="L39" s="529"/>
      <c r="M39" s="529"/>
      <c r="N39" s="529"/>
      <c r="O39" s="529"/>
      <c r="P39" s="529"/>
      <c r="Q39" s="529"/>
      <c r="R39" s="529"/>
      <c r="S39" s="529"/>
      <c r="T39" s="529"/>
      <c r="U39" s="529"/>
      <c r="V39" s="529"/>
      <c r="W39" s="529"/>
      <c r="X39" s="529"/>
      <c r="Y39" s="529"/>
      <c r="Z39" s="529"/>
      <c r="AA39" s="529"/>
      <c r="AB39" s="529"/>
      <c r="AC39" s="529"/>
      <c r="AD39" s="529"/>
      <c r="AE39" s="529"/>
      <c r="AF39" s="529"/>
      <c r="AG39" s="529"/>
      <c r="AH39" s="529"/>
      <c r="AI39" s="529"/>
      <c r="AJ39" s="529"/>
      <c r="AK39" s="529"/>
      <c r="AL39" s="529"/>
      <c r="AM39" s="529"/>
      <c r="AN39" s="529"/>
      <c r="AO39" s="529"/>
      <c r="AP39" s="529"/>
      <c r="AQ39" s="529"/>
      <c r="AR39" s="529"/>
      <c r="AS39" s="529"/>
    </row>
    <row r="40" spans="1:45" ht="13">
      <c r="A40" s="528"/>
      <c r="B40" s="528"/>
      <c r="C40" s="530"/>
      <c r="D40" s="530"/>
      <c r="E40" s="530"/>
      <c r="F40" s="530"/>
      <c r="G40" s="530"/>
      <c r="H40" s="530"/>
      <c r="I40" s="530"/>
      <c r="J40" s="530"/>
      <c r="K40" s="530"/>
      <c r="L40" s="530"/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/>
      <c r="Y40" s="530"/>
      <c r="Z40" s="530"/>
      <c r="AA40" s="530"/>
      <c r="AB40" s="530"/>
      <c r="AC40" s="530"/>
      <c r="AD40" s="530"/>
      <c r="AE40" s="530"/>
      <c r="AF40" s="530"/>
      <c r="AG40" s="531"/>
      <c r="AH40" s="531"/>
      <c r="AI40" s="531"/>
      <c r="AJ40" s="530"/>
      <c r="AK40" s="530"/>
      <c r="AL40" s="530"/>
      <c r="AM40" s="530"/>
      <c r="AN40" s="530"/>
      <c r="AO40" s="530"/>
      <c r="AP40" s="530"/>
      <c r="AQ40" s="530"/>
      <c r="AR40" s="530"/>
      <c r="AS40" s="530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2" fitToWidth="3" orientation="landscape" horizontalDpi="4294967292" verticalDpi="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36EF-C7D2-4754-BCEF-270D5F180DD6}">
  <dimension ref="A1:AS40"/>
  <sheetViews>
    <sheetView showGridLines="0" workbookViewId="0">
      <selection activeCell="F15" sqref="F15"/>
    </sheetView>
  </sheetViews>
  <sheetFormatPr defaultRowHeight="12.5"/>
  <cols>
    <col min="1" max="16384" width="8.7265625" style="485"/>
  </cols>
  <sheetData>
    <row r="1" spans="1:45" ht="13">
      <c r="A1" s="509" t="s">
        <v>929</v>
      </c>
      <c r="B1" s="528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0"/>
      <c r="AH1" s="530"/>
      <c r="AI1" s="530"/>
      <c r="AJ1" s="530"/>
      <c r="AK1" s="530"/>
      <c r="AL1" s="530"/>
      <c r="AM1" s="530"/>
      <c r="AN1" s="530"/>
      <c r="AO1" s="530"/>
      <c r="AP1" s="530"/>
      <c r="AQ1" s="530"/>
      <c r="AR1" s="530"/>
      <c r="AS1" s="530"/>
    </row>
    <row r="2" spans="1:45" ht="13">
      <c r="A2" s="509" t="s">
        <v>989</v>
      </c>
      <c r="B2" s="528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0"/>
    </row>
    <row r="3" spans="1:45" ht="13">
      <c r="A3" s="528" t="s">
        <v>931</v>
      </c>
      <c r="B3" s="528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  <c r="AH3" s="530"/>
      <c r="AI3" s="530"/>
      <c r="AJ3" s="530"/>
      <c r="AK3" s="530"/>
      <c r="AL3" s="530"/>
      <c r="AM3" s="530"/>
      <c r="AN3" s="530"/>
      <c r="AO3" s="530"/>
      <c r="AP3" s="530"/>
      <c r="AQ3" s="530"/>
      <c r="AR3" s="530"/>
      <c r="AS3" s="530"/>
    </row>
    <row r="4" spans="1:45" ht="13.5" thickBot="1">
      <c r="A4" s="528"/>
      <c r="B4" s="528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  <c r="AA4" s="530"/>
      <c r="AB4" s="530"/>
      <c r="AC4" s="530"/>
      <c r="AD4" s="530"/>
      <c r="AE4" s="530"/>
      <c r="AF4" s="530"/>
      <c r="AG4" s="530"/>
      <c r="AH4" s="530"/>
      <c r="AI4" s="530"/>
      <c r="AJ4" s="530"/>
      <c r="AK4" s="530"/>
      <c r="AL4" s="530"/>
      <c r="AM4" s="530"/>
      <c r="AN4" s="530"/>
      <c r="AO4" s="530"/>
      <c r="AP4" s="530"/>
      <c r="AQ4" s="530"/>
      <c r="AR4" s="530"/>
      <c r="AS4" s="530"/>
    </row>
    <row r="5" spans="1:45" ht="13.5" thickBot="1">
      <c r="A5" s="493" t="s">
        <v>932</v>
      </c>
      <c r="B5" s="532"/>
      <c r="C5" s="533"/>
      <c r="D5" s="534">
        <v>1954</v>
      </c>
      <c r="E5" s="534">
        <v>1955</v>
      </c>
      <c r="F5" s="534">
        <v>1956</v>
      </c>
      <c r="G5" s="534">
        <v>1957</v>
      </c>
      <c r="H5" s="534">
        <v>1958</v>
      </c>
      <c r="I5" s="534">
        <v>1959</v>
      </c>
      <c r="J5" s="534">
        <v>1960</v>
      </c>
      <c r="K5" s="534">
        <v>1961</v>
      </c>
      <c r="L5" s="534">
        <v>1962</v>
      </c>
      <c r="M5" s="534">
        <v>1963</v>
      </c>
      <c r="N5" s="534">
        <v>1964</v>
      </c>
      <c r="O5" s="534">
        <v>1965</v>
      </c>
      <c r="P5" s="534">
        <v>1966</v>
      </c>
      <c r="Q5" s="534">
        <v>1967</v>
      </c>
      <c r="R5" s="534">
        <v>1968</v>
      </c>
      <c r="S5" s="534">
        <v>1969</v>
      </c>
      <c r="T5" s="534">
        <v>1970</v>
      </c>
      <c r="U5" s="534">
        <v>1971</v>
      </c>
      <c r="V5" s="534">
        <v>1972</v>
      </c>
      <c r="W5" s="534">
        <v>1973</v>
      </c>
      <c r="X5" s="534">
        <v>1974</v>
      </c>
      <c r="Y5" s="534">
        <v>1975</v>
      </c>
      <c r="Z5" s="534">
        <v>1976</v>
      </c>
      <c r="AA5" s="534">
        <v>1977</v>
      </c>
      <c r="AB5" s="534">
        <v>1978</v>
      </c>
      <c r="AC5" s="534">
        <v>1979</v>
      </c>
      <c r="AD5" s="534">
        <v>1980</v>
      </c>
      <c r="AE5" s="534">
        <v>1981</v>
      </c>
      <c r="AF5" s="534">
        <v>1982</v>
      </c>
      <c r="AG5" s="534">
        <v>1983</v>
      </c>
      <c r="AH5" s="534">
        <v>1984</v>
      </c>
      <c r="AI5" s="534">
        <v>1985</v>
      </c>
      <c r="AJ5" s="534">
        <v>1986</v>
      </c>
      <c r="AK5" s="534">
        <v>1987</v>
      </c>
      <c r="AL5" s="534">
        <v>1988</v>
      </c>
      <c r="AM5" s="534">
        <v>1989</v>
      </c>
      <c r="AN5" s="534">
        <v>1990</v>
      </c>
      <c r="AO5" s="534">
        <v>1991</v>
      </c>
      <c r="AP5" s="534">
        <v>1992</v>
      </c>
      <c r="AQ5" s="534">
        <v>1993</v>
      </c>
      <c r="AR5" s="534">
        <v>1994</v>
      </c>
      <c r="AS5" s="535">
        <v>1995</v>
      </c>
    </row>
    <row r="6" spans="1:45" ht="13">
      <c r="A6" s="536" t="s">
        <v>933</v>
      </c>
      <c r="B6" s="537" t="s">
        <v>934</v>
      </c>
      <c r="C6" s="538"/>
      <c r="D6" s="515">
        <v>16936.95841682949</v>
      </c>
      <c r="E6" s="515">
        <v>17177.036917707213</v>
      </c>
      <c r="F6" s="515">
        <v>16191.20753315957</v>
      </c>
      <c r="G6" s="515">
        <v>17151.99536602449</v>
      </c>
      <c r="H6" s="515">
        <v>18915.797183371953</v>
      </c>
      <c r="I6" s="515">
        <v>18122.023512254094</v>
      </c>
      <c r="J6" s="515">
        <v>17768.868703958782</v>
      </c>
      <c r="K6" s="515">
        <v>18803.034126115959</v>
      </c>
      <c r="L6" s="515">
        <v>21493.040909488591</v>
      </c>
      <c r="M6" s="515">
        <v>19953.607421111785</v>
      </c>
      <c r="N6" s="515">
        <v>18473.766485953172</v>
      </c>
      <c r="O6" s="515">
        <v>17960.366780531887</v>
      </c>
      <c r="P6" s="515">
        <v>18861.628876623854</v>
      </c>
      <c r="Q6" s="515">
        <v>20710.738707885102</v>
      </c>
      <c r="R6" s="515">
        <v>22240.915012548438</v>
      </c>
      <c r="S6" s="515">
        <v>18910.532831052471</v>
      </c>
      <c r="T6" s="515">
        <v>25043.750786326586</v>
      </c>
      <c r="U6" s="515">
        <v>25586.624665385396</v>
      </c>
      <c r="V6" s="515">
        <v>32621.661263312257</v>
      </c>
      <c r="W6" s="515">
        <v>32355.747474003765</v>
      </c>
      <c r="X6" s="515">
        <v>38769.768461385815</v>
      </c>
      <c r="Y6" s="515">
        <v>40511.435592223621</v>
      </c>
      <c r="Z6" s="515">
        <v>50932.376133892736</v>
      </c>
      <c r="AA6" s="515">
        <v>52835.182912041957</v>
      </c>
      <c r="AB6" s="515">
        <v>88243.343854656661</v>
      </c>
      <c r="AC6" s="515">
        <v>106766.08998271318</v>
      </c>
      <c r="AD6" s="515">
        <v>118593.46952673866</v>
      </c>
      <c r="AE6" s="515">
        <v>145701.96326945251</v>
      </c>
      <c r="AF6" s="515">
        <v>188862.0381349278</v>
      </c>
      <c r="AG6" s="515">
        <v>222066.74992770777</v>
      </c>
      <c r="AH6" s="515">
        <v>276959.28567119094</v>
      </c>
      <c r="AI6" s="515">
        <v>335282.62831208238</v>
      </c>
      <c r="AJ6" s="515">
        <v>401865.73515116179</v>
      </c>
      <c r="AK6" s="515">
        <v>441392.28315682092</v>
      </c>
      <c r="AL6" s="515">
        <v>403324.86259704822</v>
      </c>
      <c r="AM6" s="515">
        <v>569372.58069440548</v>
      </c>
      <c r="AN6" s="515">
        <v>712632.51664855634</v>
      </c>
      <c r="AO6" s="515">
        <v>740761.29360622482</v>
      </c>
      <c r="AP6" s="515">
        <v>746504.11103807052</v>
      </c>
      <c r="AQ6" s="515">
        <v>610323.10262561939</v>
      </c>
      <c r="AR6" s="515">
        <v>663043.13722149259</v>
      </c>
      <c r="AS6" s="516">
        <v>789755.62049785734</v>
      </c>
    </row>
    <row r="7" spans="1:45" ht="13">
      <c r="A7" s="495" t="s">
        <v>935</v>
      </c>
      <c r="B7" s="323" t="s">
        <v>936</v>
      </c>
      <c r="C7" s="522"/>
      <c r="D7" s="515">
        <v>1036.6462751183974</v>
      </c>
      <c r="E7" s="515">
        <v>1037.6071210581279</v>
      </c>
      <c r="F7" s="515">
        <v>1325.5178752383943</v>
      </c>
      <c r="G7" s="515">
        <v>1330.2656990627411</v>
      </c>
      <c r="H7" s="515">
        <v>1349.5278146487494</v>
      </c>
      <c r="I7" s="515">
        <v>1194.6649868983725</v>
      </c>
      <c r="J7" s="515">
        <v>1338.253192797825</v>
      </c>
      <c r="K7" s="515">
        <v>1581.2720862601452</v>
      </c>
      <c r="L7" s="515">
        <v>1561.3223226294469</v>
      </c>
      <c r="M7" s="515">
        <v>1510.1760546211069</v>
      </c>
      <c r="N7" s="515">
        <v>1775.9652455611686</v>
      </c>
      <c r="O7" s="515">
        <v>1807.3549512890866</v>
      </c>
      <c r="P7" s="515">
        <v>1653.761220469311</v>
      </c>
      <c r="Q7" s="515">
        <v>2204.0580204646594</v>
      </c>
      <c r="R7" s="515">
        <v>2034.7222751289905</v>
      </c>
      <c r="S7" s="515">
        <v>1972.8628863692024</v>
      </c>
      <c r="T7" s="515">
        <v>2384.8907466428896</v>
      </c>
      <c r="U7" s="515">
        <v>2133.9400146709418</v>
      </c>
      <c r="V7" s="515">
        <v>2452.1459082873712</v>
      </c>
      <c r="W7" s="515">
        <v>2915.5356960865852</v>
      </c>
      <c r="X7" s="515">
        <v>2437.1946189193563</v>
      </c>
      <c r="Y7" s="515">
        <v>3329.9820315024044</v>
      </c>
      <c r="Z7" s="515">
        <v>4159.8938525668527</v>
      </c>
      <c r="AA7" s="515">
        <v>5501.8461103499449</v>
      </c>
      <c r="AB7" s="515">
        <v>6288.9667117611789</v>
      </c>
      <c r="AC7" s="515">
        <v>8270.6701377744976</v>
      </c>
      <c r="AD7" s="515">
        <v>12134.343756414361</v>
      </c>
      <c r="AE7" s="515">
        <v>12329.449528285752</v>
      </c>
      <c r="AF7" s="515">
        <v>13512.129355543098</v>
      </c>
      <c r="AG7" s="515">
        <v>16139.167308990171</v>
      </c>
      <c r="AH7" s="515">
        <v>20656.9684842116</v>
      </c>
      <c r="AI7" s="515">
        <v>26228.375513267943</v>
      </c>
      <c r="AJ7" s="515">
        <v>40421.34310004719</v>
      </c>
      <c r="AK7" s="515">
        <v>45642.348025167848</v>
      </c>
      <c r="AL7" s="515">
        <v>45262.606875487574</v>
      </c>
      <c r="AM7" s="515">
        <v>70199.527596571905</v>
      </c>
      <c r="AN7" s="515">
        <v>60379.429476652585</v>
      </c>
      <c r="AO7" s="515">
        <v>68335.389342528302</v>
      </c>
      <c r="AP7" s="515">
        <v>68177.61417115388</v>
      </c>
      <c r="AQ7" s="515">
        <v>59036.870877543879</v>
      </c>
      <c r="AR7" s="515">
        <v>52301.485699999997</v>
      </c>
      <c r="AS7" s="516">
        <v>56930.250599999999</v>
      </c>
    </row>
    <row r="8" spans="1:45" ht="13">
      <c r="A8" s="499">
        <v>21</v>
      </c>
      <c r="B8" s="323" t="s">
        <v>937</v>
      </c>
      <c r="C8" s="522"/>
      <c r="D8" s="515">
        <v>47.698414534684503</v>
      </c>
      <c r="E8" s="515">
        <v>48.429385246682692</v>
      </c>
      <c r="F8" s="515">
        <v>52.588516606610291</v>
      </c>
      <c r="G8" s="515">
        <v>61.334594347224439</v>
      </c>
      <c r="H8" s="515">
        <v>57.283727955648772</v>
      </c>
      <c r="I8" s="515">
        <v>50.271638874925834</v>
      </c>
      <c r="J8" s="515">
        <v>50.646391834567751</v>
      </c>
      <c r="K8" s="515">
        <v>44.236712953745538</v>
      </c>
      <c r="L8" s="515">
        <v>44.94154746777518</v>
      </c>
      <c r="M8" s="515">
        <v>41.907433688802598</v>
      </c>
      <c r="N8" s="515">
        <v>73.315721689158892</v>
      </c>
      <c r="O8" s="515">
        <v>73.384933244855006</v>
      </c>
      <c r="P8" s="515">
        <v>74.84555019494988</v>
      </c>
      <c r="Q8" s="515">
        <v>90.236937709657511</v>
      </c>
      <c r="R8" s="515">
        <v>67.660270876108143</v>
      </c>
      <c r="S8" s="515">
        <v>81.123187464764598</v>
      </c>
      <c r="T8" s="515">
        <v>60.898560165101586</v>
      </c>
      <c r="U8" s="515">
        <v>50.568414877767545</v>
      </c>
      <c r="V8" s="515">
        <v>45.074799080373708</v>
      </c>
      <c r="W8" s="515">
        <v>41.933939919969525</v>
      </c>
      <c r="X8" s="515">
        <v>56.108831662091809</v>
      </c>
      <c r="Y8" s="515">
        <v>95.225651874935664</v>
      </c>
      <c r="Z8" s="515">
        <v>138.99615265359225</v>
      </c>
      <c r="AA8" s="515">
        <v>161.84160126497503</v>
      </c>
      <c r="AB8" s="515">
        <v>146.26371942558919</v>
      </c>
      <c r="AC8" s="515">
        <v>193.52041337309964</v>
      </c>
      <c r="AD8" s="515">
        <v>263.03989311071871</v>
      </c>
      <c r="AE8" s="515">
        <v>444.55081930147162</v>
      </c>
      <c r="AF8" s="515">
        <v>694.23343948269053</v>
      </c>
      <c r="AG8" s="515">
        <v>1002.0858503518359</v>
      </c>
      <c r="AH8" s="515">
        <v>1328.9744754166929</v>
      </c>
      <c r="AI8" s="515">
        <v>2497.3019377791165</v>
      </c>
      <c r="AJ8" s="515">
        <v>1533.5000540944957</v>
      </c>
      <c r="AK8" s="515">
        <v>3581.8344057618556</v>
      </c>
      <c r="AL8" s="515">
        <v>2922.7478775419886</v>
      </c>
      <c r="AM8" s="515">
        <v>2949.9710760663811</v>
      </c>
      <c r="AN8" s="515">
        <v>3383.2595481800581</v>
      </c>
      <c r="AO8" s="515">
        <v>3413.9120893478807</v>
      </c>
      <c r="AP8" s="515">
        <v>3468.7038094489108</v>
      </c>
      <c r="AQ8" s="515">
        <v>3268.7168805289825</v>
      </c>
      <c r="AR8" s="515">
        <v>2636.183936072603</v>
      </c>
      <c r="AS8" s="516">
        <v>611.76427458474848</v>
      </c>
    </row>
    <row r="9" spans="1:45" ht="13">
      <c r="A9" s="495" t="s">
        <v>938</v>
      </c>
      <c r="B9" s="323" t="s">
        <v>939</v>
      </c>
      <c r="C9" s="522"/>
      <c r="D9" s="515">
        <v>136.6889639254054</v>
      </c>
      <c r="E9" s="515">
        <v>82.424506656490635</v>
      </c>
      <c r="F9" s="515">
        <v>156.42510681749224</v>
      </c>
      <c r="G9" s="515">
        <v>321.66966125621821</v>
      </c>
      <c r="H9" s="515">
        <v>150.95274715630973</v>
      </c>
      <c r="I9" s="515">
        <v>120.07689524612641</v>
      </c>
      <c r="J9" s="515">
        <v>161.67210656064447</v>
      </c>
      <c r="K9" s="515">
        <v>85.608256409853993</v>
      </c>
      <c r="L9" s="515">
        <v>143.99058908116496</v>
      </c>
      <c r="M9" s="515">
        <v>95.849379442351719</v>
      </c>
      <c r="N9" s="515">
        <v>162.0472870542585</v>
      </c>
      <c r="O9" s="515">
        <v>156.45508403512957</v>
      </c>
      <c r="P9" s="515">
        <v>199.72097784189194</v>
      </c>
      <c r="Q9" s="515">
        <v>262.69269868758329</v>
      </c>
      <c r="R9" s="515">
        <v>276.88594784269105</v>
      </c>
      <c r="S9" s="515">
        <v>205.87186159134299</v>
      </c>
      <c r="T9" s="515">
        <v>290.50436930589848</v>
      </c>
      <c r="U9" s="515">
        <v>534.03970073370158</v>
      </c>
      <c r="V9" s="515">
        <v>387.22716960596523</v>
      </c>
      <c r="W9" s="515">
        <v>309.79652869546209</v>
      </c>
      <c r="X9" s="515">
        <v>189.14205617187929</v>
      </c>
      <c r="Y9" s="515">
        <v>792.81921632941885</v>
      </c>
      <c r="Z9" s="515">
        <v>653.52746494399707</v>
      </c>
      <c r="AA9" s="515">
        <v>763.84373784863737</v>
      </c>
      <c r="AB9" s="515">
        <v>1587.0914592427364</v>
      </c>
      <c r="AC9" s="515">
        <v>2619.0308857262953</v>
      </c>
      <c r="AD9" s="515">
        <v>3151.8422233023543</v>
      </c>
      <c r="AE9" s="515">
        <v>2338.4433876238354</v>
      </c>
      <c r="AF9" s="515">
        <v>2895.0232715021489</v>
      </c>
      <c r="AG9" s="515">
        <v>3043.5162893954953</v>
      </c>
      <c r="AH9" s="515">
        <v>3338.0132444533092</v>
      </c>
      <c r="AI9" s="515">
        <v>2845.3610882197049</v>
      </c>
      <c r="AJ9" s="515">
        <v>4333.3224337894362</v>
      </c>
      <c r="AK9" s="515">
        <v>3140.2295069335933</v>
      </c>
      <c r="AL9" s="515">
        <v>5821.1912379466421</v>
      </c>
      <c r="AM9" s="515">
        <v>5921.6473955630727</v>
      </c>
      <c r="AN9" s="515">
        <v>46340.275725525258</v>
      </c>
      <c r="AO9" s="515">
        <v>41523.571233096671</v>
      </c>
      <c r="AP9" s="515">
        <v>26366.959713934019</v>
      </c>
      <c r="AQ9" s="515">
        <v>24704.242508376548</v>
      </c>
      <c r="AR9" s="515">
        <v>14413.843383428861</v>
      </c>
      <c r="AS9" s="516">
        <v>23942.187292974799</v>
      </c>
    </row>
    <row r="10" spans="1:45" ht="13">
      <c r="A10" s="499">
        <v>29</v>
      </c>
      <c r="B10" s="323" t="s">
        <v>940</v>
      </c>
      <c r="C10" s="522"/>
      <c r="D10" s="515">
        <v>135.11543238214611</v>
      </c>
      <c r="E10" s="515">
        <v>110.2028501217543</v>
      </c>
      <c r="F10" s="515">
        <v>169.21615520553212</v>
      </c>
      <c r="G10" s="515">
        <v>168.98786925027972</v>
      </c>
      <c r="H10" s="515">
        <v>180.64115805427085</v>
      </c>
      <c r="I10" s="515">
        <v>204.34124523155478</v>
      </c>
      <c r="J10" s="515">
        <v>197.76339724014144</v>
      </c>
      <c r="K10" s="515">
        <v>153.41009706442983</v>
      </c>
      <c r="L10" s="515">
        <v>136.47570250081083</v>
      </c>
      <c r="M10" s="515">
        <v>168.23202287303255</v>
      </c>
      <c r="N10" s="515">
        <v>231.83115524498345</v>
      </c>
      <c r="O10" s="515">
        <v>230.93758829991862</v>
      </c>
      <c r="P10" s="515">
        <v>280.5682594342876</v>
      </c>
      <c r="Q10" s="515">
        <v>305.61896661119749</v>
      </c>
      <c r="R10" s="515">
        <v>351.87888677558715</v>
      </c>
      <c r="S10" s="515">
        <v>377.49994907084454</v>
      </c>
      <c r="T10" s="515">
        <v>362.21963754143371</v>
      </c>
      <c r="U10" s="515">
        <v>469.56289030584145</v>
      </c>
      <c r="V10" s="515">
        <v>550.14011698417244</v>
      </c>
      <c r="W10" s="515">
        <v>1229.7304277585458</v>
      </c>
      <c r="X10" s="515">
        <v>1089.6528714912058</v>
      </c>
      <c r="Y10" s="515">
        <v>838.35366945305702</v>
      </c>
      <c r="Z10" s="515">
        <v>1086.2690834845716</v>
      </c>
      <c r="AA10" s="515">
        <v>1380.4846893720826</v>
      </c>
      <c r="AB10" s="515">
        <v>2018.2889309545121</v>
      </c>
      <c r="AC10" s="515">
        <v>2624.6889641173179</v>
      </c>
      <c r="AD10" s="515">
        <v>3706.1531316959563</v>
      </c>
      <c r="AE10" s="515">
        <v>4831.9405413070626</v>
      </c>
      <c r="AF10" s="515">
        <v>6698.2329207180373</v>
      </c>
      <c r="AG10" s="515">
        <v>7649.4411548682801</v>
      </c>
      <c r="AH10" s="515">
        <v>9931.5221032725331</v>
      </c>
      <c r="AI10" s="515">
        <v>13025.00236624251</v>
      </c>
      <c r="AJ10" s="515">
        <v>17138.672960064327</v>
      </c>
      <c r="AK10" s="515">
        <v>22083.601308421767</v>
      </c>
      <c r="AL10" s="515">
        <v>31748.69622961905</v>
      </c>
      <c r="AM10" s="515">
        <v>38041.833080358629</v>
      </c>
      <c r="AN10" s="515">
        <v>72326.649675389548</v>
      </c>
      <c r="AO10" s="515">
        <v>86274.503733794176</v>
      </c>
      <c r="AP10" s="515">
        <v>95173.040216581678</v>
      </c>
      <c r="AQ10" s="515">
        <v>110394.55418995232</v>
      </c>
      <c r="AR10" s="515">
        <v>109319.82742213925</v>
      </c>
      <c r="AS10" s="516">
        <v>118279.47545715018</v>
      </c>
    </row>
    <row r="11" spans="1:45" ht="13">
      <c r="A11" s="506" t="s">
        <v>941</v>
      </c>
      <c r="B11" s="323" t="s">
        <v>942</v>
      </c>
      <c r="C11" s="522"/>
      <c r="D11" s="515">
        <v>3382.5403743460229</v>
      </c>
      <c r="E11" s="515">
        <v>3244.908596035928</v>
      </c>
      <c r="F11" s="515">
        <v>3527.16658221853</v>
      </c>
      <c r="G11" s="515">
        <v>3311.4232790989736</v>
      </c>
      <c r="H11" s="515">
        <v>3273.2077852593852</v>
      </c>
      <c r="I11" s="515">
        <v>3933.4858344826375</v>
      </c>
      <c r="J11" s="515">
        <v>3703.4447875690707</v>
      </c>
      <c r="K11" s="515">
        <v>3854.7609147581024</v>
      </c>
      <c r="L11" s="515">
        <v>5081.78699432555</v>
      </c>
      <c r="M11" s="515">
        <v>4876.6794665439002</v>
      </c>
      <c r="N11" s="515">
        <v>5233.4246465272836</v>
      </c>
      <c r="O11" s="515">
        <v>5934.4132780390128</v>
      </c>
      <c r="P11" s="515">
        <v>6387.348092943872</v>
      </c>
      <c r="Q11" s="515">
        <v>6834.0151833005357</v>
      </c>
      <c r="R11" s="515">
        <v>8126.4971688297846</v>
      </c>
      <c r="S11" s="515">
        <v>9111.5664107110606</v>
      </c>
      <c r="T11" s="515">
        <v>9683.1161757659283</v>
      </c>
      <c r="U11" s="515">
        <v>10058.296803958057</v>
      </c>
      <c r="V11" s="515">
        <v>10600.431057874628</v>
      </c>
      <c r="W11" s="515">
        <v>12474.65992088408</v>
      </c>
      <c r="X11" s="515">
        <v>14570.592076830299</v>
      </c>
      <c r="Y11" s="515">
        <v>16716.293621749512</v>
      </c>
      <c r="Z11" s="515">
        <v>18813.080819906892</v>
      </c>
      <c r="AA11" s="515">
        <v>27930.329354496218</v>
      </c>
      <c r="AB11" s="515">
        <v>30839.551926157881</v>
      </c>
      <c r="AC11" s="515">
        <v>39672.868611691985</v>
      </c>
      <c r="AD11" s="515">
        <v>54718.149537721882</v>
      </c>
      <c r="AE11" s="515">
        <v>66130.842446625204</v>
      </c>
      <c r="AF11" s="515">
        <v>82995.640196884473</v>
      </c>
      <c r="AG11" s="515">
        <v>103080.49330214219</v>
      </c>
      <c r="AH11" s="515">
        <v>128310.10870232884</v>
      </c>
      <c r="AI11" s="515">
        <v>168743.61981869471</v>
      </c>
      <c r="AJ11" s="515">
        <v>221718.1594428008</v>
      </c>
      <c r="AK11" s="515">
        <v>262132.03219038268</v>
      </c>
      <c r="AL11" s="515">
        <v>324528.21831770422</v>
      </c>
      <c r="AM11" s="515">
        <v>367461.41246871895</v>
      </c>
      <c r="AN11" s="515">
        <v>451396.55423294747</v>
      </c>
      <c r="AO11" s="515">
        <v>515094.57343069458</v>
      </c>
      <c r="AP11" s="515">
        <v>581361.61858542287</v>
      </c>
      <c r="AQ11" s="515">
        <v>610857.4574877586</v>
      </c>
      <c r="AR11" s="515">
        <v>636075.30359448749</v>
      </c>
      <c r="AS11" s="516">
        <v>630531.89588946465</v>
      </c>
    </row>
    <row r="12" spans="1:45" ht="13">
      <c r="A12" s="506" t="s">
        <v>943</v>
      </c>
      <c r="B12" s="323" t="s">
        <v>944</v>
      </c>
      <c r="C12" s="522"/>
      <c r="D12" s="515">
        <v>5051.0814025284471</v>
      </c>
      <c r="E12" s="515">
        <v>4207.4586433273298</v>
      </c>
      <c r="F12" s="515">
        <v>4810.7457959252142</v>
      </c>
      <c r="G12" s="515">
        <v>4634.2372278378998</v>
      </c>
      <c r="H12" s="515">
        <v>5049.3562723592613</v>
      </c>
      <c r="I12" s="515">
        <v>4690.5904838205097</v>
      </c>
      <c r="J12" s="515">
        <v>5084.5590466825488</v>
      </c>
      <c r="K12" s="515">
        <v>4457.3562092918182</v>
      </c>
      <c r="L12" s="515">
        <v>5547.4085732119111</v>
      </c>
      <c r="M12" s="515">
        <v>6184.3026422421262</v>
      </c>
      <c r="N12" s="515">
        <v>7038.1999002100456</v>
      </c>
      <c r="O12" s="515">
        <v>9256.6994430196864</v>
      </c>
      <c r="P12" s="515">
        <v>9436.2381715225711</v>
      </c>
      <c r="Q12" s="515">
        <v>7912.1775478972513</v>
      </c>
      <c r="R12" s="515">
        <v>7847.8865034488717</v>
      </c>
      <c r="S12" s="515">
        <v>10104.502066339845</v>
      </c>
      <c r="T12" s="515">
        <v>12729.581199832201</v>
      </c>
      <c r="U12" s="515">
        <v>17590.573266827239</v>
      </c>
      <c r="V12" s="515">
        <v>13891.509110115299</v>
      </c>
      <c r="W12" s="515">
        <v>16692.814860238315</v>
      </c>
      <c r="X12" s="515">
        <v>21052.848684048513</v>
      </c>
      <c r="Y12" s="515">
        <v>21841.063419642207</v>
      </c>
      <c r="Z12" s="515">
        <v>31382.925543020345</v>
      </c>
      <c r="AA12" s="515">
        <v>34520.517977239062</v>
      </c>
      <c r="AB12" s="515">
        <v>42059.059794029417</v>
      </c>
      <c r="AC12" s="515">
        <v>48471.735760224517</v>
      </c>
      <c r="AD12" s="515">
        <v>70971.386584203821</v>
      </c>
      <c r="AE12" s="515">
        <v>96426.16962115129</v>
      </c>
      <c r="AF12" s="515">
        <v>112282.71701117889</v>
      </c>
      <c r="AG12" s="515">
        <v>115674.85356494147</v>
      </c>
      <c r="AH12" s="515">
        <v>176572.11322527938</v>
      </c>
      <c r="AI12" s="515">
        <v>212513.08927518121</v>
      </c>
      <c r="AJ12" s="515">
        <v>308561.85455149901</v>
      </c>
      <c r="AK12" s="515">
        <v>363388.05296327121</v>
      </c>
      <c r="AL12" s="515">
        <v>453376.60610802931</v>
      </c>
      <c r="AM12" s="515">
        <v>540281.13357804203</v>
      </c>
      <c r="AN12" s="515">
        <v>665785.17201792053</v>
      </c>
      <c r="AO12" s="515">
        <v>687541.19913516263</v>
      </c>
      <c r="AP12" s="515">
        <v>708250.68479768699</v>
      </c>
      <c r="AQ12" s="515">
        <v>721691.56221990369</v>
      </c>
      <c r="AR12" s="515">
        <v>732291.86123127805</v>
      </c>
      <c r="AS12" s="516">
        <v>737637.56588822452</v>
      </c>
    </row>
    <row r="13" spans="1:45" ht="13">
      <c r="A13" s="506" t="s">
        <v>945</v>
      </c>
      <c r="B13" s="323" t="s">
        <v>946</v>
      </c>
      <c r="C13" s="522"/>
      <c r="D13" s="515">
        <v>1485.4642635805369</v>
      </c>
      <c r="E13" s="515">
        <v>2130.911674466618</v>
      </c>
      <c r="F13" s="515">
        <v>2252.6538707179825</v>
      </c>
      <c r="G13" s="515">
        <v>2790.728629595691</v>
      </c>
      <c r="H13" s="515">
        <v>2339.066269931127</v>
      </c>
      <c r="I13" s="515">
        <v>2502.3585449851344</v>
      </c>
      <c r="J13" s="515">
        <v>2370.817777862575</v>
      </c>
      <c r="K13" s="515">
        <v>2790.3631913321947</v>
      </c>
      <c r="L13" s="515">
        <v>3466.4348809081071</v>
      </c>
      <c r="M13" s="515">
        <v>3182.8656801729667</v>
      </c>
      <c r="N13" s="515">
        <v>4240.5612551641962</v>
      </c>
      <c r="O13" s="515">
        <v>4110.4607188081754</v>
      </c>
      <c r="P13" s="515">
        <v>5624.8511610501846</v>
      </c>
      <c r="Q13" s="515">
        <v>5395.7596258970943</v>
      </c>
      <c r="R13" s="515">
        <v>4680.4607531009342</v>
      </c>
      <c r="S13" s="515">
        <v>4796.1714871071472</v>
      </c>
      <c r="T13" s="515">
        <v>4761.4983079683243</v>
      </c>
      <c r="U13" s="515">
        <v>6439.6929320895033</v>
      </c>
      <c r="V13" s="515">
        <v>4958.5543784334977</v>
      </c>
      <c r="W13" s="515">
        <v>6789.9157571503583</v>
      </c>
      <c r="X13" s="515">
        <v>8746.3568681051056</v>
      </c>
      <c r="Y13" s="515">
        <v>8933.2753603292022</v>
      </c>
      <c r="Z13" s="515">
        <v>9651.8236625808313</v>
      </c>
      <c r="AA13" s="515">
        <v>14010.698886277918</v>
      </c>
      <c r="AB13" s="515">
        <v>18185.601855327172</v>
      </c>
      <c r="AC13" s="515">
        <v>24569.191371312943</v>
      </c>
      <c r="AD13" s="515">
        <v>37388.934547329096</v>
      </c>
      <c r="AE13" s="515">
        <v>39588.883707421759</v>
      </c>
      <c r="AF13" s="515">
        <v>30292.176328626592</v>
      </c>
      <c r="AG13" s="515">
        <v>36865.414592758716</v>
      </c>
      <c r="AH13" s="515">
        <v>40788.6739504098</v>
      </c>
      <c r="AI13" s="515">
        <v>54410.96983836632</v>
      </c>
      <c r="AJ13" s="515">
        <v>63654.417741909332</v>
      </c>
      <c r="AK13" s="515">
        <v>82190.755135105268</v>
      </c>
      <c r="AL13" s="515">
        <v>96074.996468559722</v>
      </c>
      <c r="AM13" s="515">
        <v>116621.54720207446</v>
      </c>
      <c r="AN13" s="515">
        <v>143583.72166556184</v>
      </c>
      <c r="AO13" s="515">
        <v>113486.55459528657</v>
      </c>
      <c r="AP13" s="515">
        <v>136989.58068062126</v>
      </c>
      <c r="AQ13" s="515">
        <v>138262.91628685629</v>
      </c>
      <c r="AR13" s="515">
        <v>171937.71923372426</v>
      </c>
      <c r="AS13" s="516">
        <v>193353.26682988106</v>
      </c>
    </row>
    <row r="14" spans="1:45" ht="13">
      <c r="A14" s="506" t="s">
        <v>947</v>
      </c>
      <c r="B14" s="323" t="s">
        <v>948</v>
      </c>
      <c r="C14" s="522"/>
      <c r="D14" s="515">
        <v>701.39400642537998</v>
      </c>
      <c r="E14" s="515">
        <v>667.97636242320573</v>
      </c>
      <c r="F14" s="515">
        <v>708.8828642815887</v>
      </c>
      <c r="G14" s="515">
        <v>991.37204964779448</v>
      </c>
      <c r="H14" s="515">
        <v>817.04731202106768</v>
      </c>
      <c r="I14" s="515">
        <v>981.61691628367578</v>
      </c>
      <c r="J14" s="515">
        <v>988.99387624833389</v>
      </c>
      <c r="K14" s="515">
        <v>1068.5486409500725</v>
      </c>
      <c r="L14" s="515">
        <v>1096.1674835620972</v>
      </c>
      <c r="M14" s="515">
        <v>1106.0390961785336</v>
      </c>
      <c r="N14" s="515">
        <v>1563.3410199307148</v>
      </c>
      <c r="O14" s="515">
        <v>2545.0650592925722</v>
      </c>
      <c r="P14" s="515">
        <v>2997.2793270460602</v>
      </c>
      <c r="Q14" s="515">
        <v>3320.8459855907604</v>
      </c>
      <c r="R14" s="515">
        <v>3759.1207083730023</v>
      </c>
      <c r="S14" s="515">
        <v>3924.5991034245285</v>
      </c>
      <c r="T14" s="515">
        <v>3881.0026264395783</v>
      </c>
      <c r="U14" s="515">
        <v>4201.3110580785215</v>
      </c>
      <c r="V14" s="515">
        <v>3951.163835286015</v>
      </c>
      <c r="W14" s="515">
        <v>5078.1691067713491</v>
      </c>
      <c r="X14" s="515">
        <v>6126.4883011870343</v>
      </c>
      <c r="Y14" s="515">
        <v>6970.5364959040053</v>
      </c>
      <c r="Z14" s="515">
        <v>7251.542800651504</v>
      </c>
      <c r="AA14" s="515">
        <v>7453.720799984254</v>
      </c>
      <c r="AB14" s="515">
        <v>11203.586521152782</v>
      </c>
      <c r="AC14" s="515">
        <v>15256.34550448807</v>
      </c>
      <c r="AD14" s="515">
        <v>23589.667540954673</v>
      </c>
      <c r="AE14" s="515">
        <v>27968.89536162512</v>
      </c>
      <c r="AF14" s="515">
        <v>32775.647450945195</v>
      </c>
      <c r="AG14" s="515">
        <v>36366.083614191717</v>
      </c>
      <c r="AH14" s="515">
        <v>48445.791648747952</v>
      </c>
      <c r="AI14" s="515">
        <v>74970.068600926519</v>
      </c>
      <c r="AJ14" s="515">
        <v>93660.143714156759</v>
      </c>
      <c r="AK14" s="515">
        <v>129664.61439450085</v>
      </c>
      <c r="AL14" s="515">
        <v>151161.6716944642</v>
      </c>
      <c r="AM14" s="515">
        <v>171454.0791107094</v>
      </c>
      <c r="AN14" s="515">
        <v>183323.4587466144</v>
      </c>
      <c r="AO14" s="515">
        <v>193899.4863531735</v>
      </c>
      <c r="AP14" s="515">
        <v>176582.48566507132</v>
      </c>
      <c r="AQ14" s="515">
        <v>170745.1605732938</v>
      </c>
      <c r="AR14" s="515">
        <v>177087.05535409052</v>
      </c>
      <c r="AS14" s="516">
        <v>219327.85879925906</v>
      </c>
    </row>
    <row r="15" spans="1:45" ht="13">
      <c r="A15" s="506" t="s">
        <v>949</v>
      </c>
      <c r="B15" s="323" t="s">
        <v>950</v>
      </c>
      <c r="C15" s="522"/>
      <c r="D15" s="515">
        <v>2984.1905288356547</v>
      </c>
      <c r="E15" s="515">
        <v>2799.4487656991082</v>
      </c>
      <c r="F15" s="515">
        <v>3591.3874622461199</v>
      </c>
      <c r="G15" s="515">
        <v>3402.0839565646856</v>
      </c>
      <c r="H15" s="515">
        <v>4499.3552028323465</v>
      </c>
      <c r="I15" s="515">
        <v>5383.8474088611847</v>
      </c>
      <c r="J15" s="515">
        <v>6304.003457072241</v>
      </c>
      <c r="K15" s="515">
        <v>5054.2688058137492</v>
      </c>
      <c r="L15" s="515">
        <v>7027.0966193728345</v>
      </c>
      <c r="M15" s="515">
        <v>7036.0976785172643</v>
      </c>
      <c r="N15" s="515">
        <v>7166.3253309685779</v>
      </c>
      <c r="O15" s="515">
        <v>8524.9176950539731</v>
      </c>
      <c r="P15" s="515">
        <v>8685.4858372254585</v>
      </c>
      <c r="Q15" s="515">
        <v>8570.3412908634382</v>
      </c>
      <c r="R15" s="515">
        <v>10670.309925018444</v>
      </c>
      <c r="S15" s="515">
        <v>10381.144261482437</v>
      </c>
      <c r="T15" s="515">
        <v>11679.597351195778</v>
      </c>
      <c r="U15" s="515">
        <v>9732.5059100321741</v>
      </c>
      <c r="V15" s="515">
        <v>10743.921546773992</v>
      </c>
      <c r="W15" s="515">
        <v>12947.136901858774</v>
      </c>
      <c r="X15" s="515">
        <v>14090.351125234698</v>
      </c>
      <c r="Y15" s="515">
        <v>13270.779751312544</v>
      </c>
      <c r="Z15" s="515">
        <v>14659.99316338823</v>
      </c>
      <c r="AA15" s="515">
        <v>18935.089951054462</v>
      </c>
      <c r="AB15" s="515">
        <v>18748.526613486385</v>
      </c>
      <c r="AC15" s="515">
        <v>27508.283618301313</v>
      </c>
      <c r="AD15" s="515">
        <v>35999.809115295393</v>
      </c>
      <c r="AE15" s="515">
        <v>36782.031934989507</v>
      </c>
      <c r="AF15" s="515">
        <v>40304.529287013465</v>
      </c>
      <c r="AG15" s="515">
        <v>39165.372375248204</v>
      </c>
      <c r="AH15" s="515">
        <v>63522.312886297645</v>
      </c>
      <c r="AI15" s="515">
        <v>101897.53001206239</v>
      </c>
      <c r="AJ15" s="515">
        <v>154690.33605834105</v>
      </c>
      <c r="AK15" s="515">
        <v>174510.45689519262</v>
      </c>
      <c r="AL15" s="515">
        <v>189432.79414498163</v>
      </c>
      <c r="AM15" s="515">
        <v>249746.14564877149</v>
      </c>
      <c r="AN15" s="515">
        <v>206552.35809774167</v>
      </c>
      <c r="AO15" s="515">
        <v>298098.52015395451</v>
      </c>
      <c r="AP15" s="515">
        <v>306340.14733030554</v>
      </c>
      <c r="AQ15" s="515">
        <v>293340.80362123012</v>
      </c>
      <c r="AR15" s="515">
        <v>307236.95382676582</v>
      </c>
      <c r="AS15" s="516">
        <v>324683.31669171614</v>
      </c>
    </row>
    <row r="16" spans="1:45" ht="13">
      <c r="A16" s="506" t="s">
        <v>951</v>
      </c>
      <c r="B16" s="323" t="s">
        <v>952</v>
      </c>
      <c r="C16" s="522"/>
      <c r="D16" s="515">
        <v>684.1877820298497</v>
      </c>
      <c r="E16" s="515">
        <v>719.70616106263935</v>
      </c>
      <c r="F16" s="515">
        <v>864.70688346843986</v>
      </c>
      <c r="G16" s="515">
        <v>932.08841654073478</v>
      </c>
      <c r="H16" s="515">
        <v>1161.1714477823498</v>
      </c>
      <c r="I16" s="515">
        <v>1306.8148364947854</v>
      </c>
      <c r="J16" s="515">
        <v>1702.629030914678</v>
      </c>
      <c r="K16" s="515">
        <v>1656.1579390517888</v>
      </c>
      <c r="L16" s="515">
        <v>1682.2815483308341</v>
      </c>
      <c r="M16" s="515">
        <v>1967.2406205188367</v>
      </c>
      <c r="N16" s="515">
        <v>2041.3554943847289</v>
      </c>
      <c r="O16" s="515">
        <v>3014.5081410106327</v>
      </c>
      <c r="P16" s="515">
        <v>3905.0536381590396</v>
      </c>
      <c r="Q16" s="515">
        <v>3605.7368012386737</v>
      </c>
      <c r="R16" s="515">
        <v>3853.2808902454576</v>
      </c>
      <c r="S16" s="515">
        <v>3912.26216502234</v>
      </c>
      <c r="T16" s="515">
        <v>4307.4790321879364</v>
      </c>
      <c r="U16" s="515">
        <v>3881.3598744590927</v>
      </c>
      <c r="V16" s="515">
        <v>5126.4604448515129</v>
      </c>
      <c r="W16" s="515">
        <v>5210.2049170386508</v>
      </c>
      <c r="X16" s="515">
        <v>6716.267165094866</v>
      </c>
      <c r="Y16" s="515">
        <v>7132.5184064040841</v>
      </c>
      <c r="Z16" s="515">
        <v>7497.3693045897144</v>
      </c>
      <c r="AA16" s="515">
        <v>11657.389071964331</v>
      </c>
      <c r="AB16" s="515">
        <v>16004.066901406446</v>
      </c>
      <c r="AC16" s="515">
        <v>19239.783746948098</v>
      </c>
      <c r="AD16" s="515">
        <v>25162.970286135285</v>
      </c>
      <c r="AE16" s="515">
        <v>29866.154453357653</v>
      </c>
      <c r="AF16" s="515">
        <v>35011.420785809845</v>
      </c>
      <c r="AG16" s="515">
        <v>39372.452206740723</v>
      </c>
      <c r="AH16" s="515">
        <v>53219.256175086142</v>
      </c>
      <c r="AI16" s="515">
        <v>66234.372163622058</v>
      </c>
      <c r="AJ16" s="515">
        <v>81453.868036545406</v>
      </c>
      <c r="AK16" s="515">
        <v>112946.53723792594</v>
      </c>
      <c r="AL16" s="515">
        <v>143903.23313328644</v>
      </c>
      <c r="AM16" s="515">
        <v>182287.20293641681</v>
      </c>
      <c r="AN16" s="515">
        <v>199519.94092185408</v>
      </c>
      <c r="AO16" s="515">
        <v>230084.68462271316</v>
      </c>
      <c r="AP16" s="515">
        <v>245244.56684921746</v>
      </c>
      <c r="AQ16" s="515">
        <v>292659.04888022249</v>
      </c>
      <c r="AR16" s="515">
        <v>316842.85916784505</v>
      </c>
      <c r="AS16" s="516">
        <v>345435.55679646076</v>
      </c>
    </row>
    <row r="17" spans="1:45" ht="13">
      <c r="A17" s="506" t="s">
        <v>953</v>
      </c>
      <c r="B17" s="323" t="s">
        <v>954</v>
      </c>
      <c r="C17" s="522"/>
      <c r="D17" s="515">
        <v>127.56161182868345</v>
      </c>
      <c r="E17" s="515">
        <v>117.17290331946366</v>
      </c>
      <c r="F17" s="515">
        <v>60.073484815979384</v>
      </c>
      <c r="G17" s="515">
        <v>28.770760820293681</v>
      </c>
      <c r="H17" s="515">
        <v>110.27698440950057</v>
      </c>
      <c r="I17" s="515">
        <v>101.63482384337661</v>
      </c>
      <c r="J17" s="515">
        <v>151.7491998583144</v>
      </c>
      <c r="K17" s="515">
        <v>216.24754610688339</v>
      </c>
      <c r="L17" s="515">
        <v>278.33307963083433</v>
      </c>
      <c r="M17" s="515">
        <v>333.60409043346459</v>
      </c>
      <c r="N17" s="515">
        <v>566.34366398481666</v>
      </c>
      <c r="O17" s="515">
        <v>756.67936731064515</v>
      </c>
      <c r="P17" s="515">
        <v>965.28167063395153</v>
      </c>
      <c r="Q17" s="515">
        <v>850.60900231262133</v>
      </c>
      <c r="R17" s="515">
        <v>1491.4028406800403</v>
      </c>
      <c r="S17" s="515">
        <v>1855.079690398386</v>
      </c>
      <c r="T17" s="515">
        <v>1944.6784202052406</v>
      </c>
      <c r="U17" s="515">
        <v>2326.7448162763699</v>
      </c>
      <c r="V17" s="515">
        <v>2677.9814628205113</v>
      </c>
      <c r="W17" s="515">
        <v>2713.0593649801012</v>
      </c>
      <c r="X17" s="515">
        <v>1988.2820547216047</v>
      </c>
      <c r="Y17" s="515">
        <v>1899.7618100749062</v>
      </c>
      <c r="Z17" s="515">
        <v>2794.4477345277273</v>
      </c>
      <c r="AA17" s="515">
        <v>4037.9474833930021</v>
      </c>
      <c r="AB17" s="515">
        <v>8139.4059861118958</v>
      </c>
      <c r="AC17" s="515">
        <v>9998.9688581190476</v>
      </c>
      <c r="AD17" s="515">
        <v>11993.507383018714</v>
      </c>
      <c r="AE17" s="515">
        <v>16058.014381555502</v>
      </c>
      <c r="AF17" s="515">
        <v>19874.169923122252</v>
      </c>
      <c r="AG17" s="515">
        <v>21768.593238496382</v>
      </c>
      <c r="AH17" s="515">
        <v>24069.860540528738</v>
      </c>
      <c r="AI17" s="515">
        <v>31951.037527347395</v>
      </c>
      <c r="AJ17" s="515">
        <v>38644.464977078613</v>
      </c>
      <c r="AK17" s="515">
        <v>56328.452137121712</v>
      </c>
      <c r="AL17" s="515">
        <v>55039.41205270488</v>
      </c>
      <c r="AM17" s="515">
        <v>59111.943527833981</v>
      </c>
      <c r="AN17" s="515">
        <v>80100.823164659232</v>
      </c>
      <c r="AO17" s="515">
        <v>66834.64684877127</v>
      </c>
      <c r="AP17" s="515">
        <v>58582.355570520471</v>
      </c>
      <c r="AQ17" s="515">
        <v>56069.830175046045</v>
      </c>
      <c r="AR17" s="515">
        <v>58835.601756910874</v>
      </c>
      <c r="AS17" s="516">
        <v>57167.661313927223</v>
      </c>
    </row>
    <row r="18" spans="1:45" ht="13">
      <c r="A18" s="506" t="s">
        <v>955</v>
      </c>
      <c r="B18" s="323" t="s">
        <v>956</v>
      </c>
      <c r="C18" s="522"/>
      <c r="D18" s="515">
        <v>1306.4677423996138</v>
      </c>
      <c r="E18" s="515">
        <v>1158.7912341662416</v>
      </c>
      <c r="F18" s="515">
        <v>1494.208748713917</v>
      </c>
      <c r="G18" s="515">
        <v>2283.7745584164386</v>
      </c>
      <c r="H18" s="515">
        <v>2968.9364067705401</v>
      </c>
      <c r="I18" s="515">
        <v>3343.047926254153</v>
      </c>
      <c r="J18" s="515">
        <v>2929.3708537900839</v>
      </c>
      <c r="K18" s="515">
        <v>3015.3273521289625</v>
      </c>
      <c r="L18" s="515">
        <v>3809.5046877420527</v>
      </c>
      <c r="M18" s="515">
        <v>4956.0409632117153</v>
      </c>
      <c r="N18" s="515">
        <v>5131.9469061011941</v>
      </c>
      <c r="O18" s="515">
        <v>6327.2900525941695</v>
      </c>
      <c r="P18" s="515">
        <v>7330.9557931636682</v>
      </c>
      <c r="Q18" s="515">
        <v>8104.9780039696252</v>
      </c>
      <c r="R18" s="515">
        <v>8391.4365672069762</v>
      </c>
      <c r="S18" s="515">
        <v>10009.066128010583</v>
      </c>
      <c r="T18" s="515">
        <v>12567.507961637684</v>
      </c>
      <c r="U18" s="515">
        <v>15182.578147593509</v>
      </c>
      <c r="V18" s="515">
        <v>19214.512775751235</v>
      </c>
      <c r="W18" s="515">
        <v>21533.391247485823</v>
      </c>
      <c r="X18" s="515">
        <v>26720.056798840033</v>
      </c>
      <c r="Y18" s="515">
        <v>25427.8863334628</v>
      </c>
      <c r="Z18" s="515">
        <v>30494.847058722917</v>
      </c>
      <c r="AA18" s="515">
        <v>34728.607741934698</v>
      </c>
      <c r="AB18" s="515">
        <v>39739.759597060576</v>
      </c>
      <c r="AC18" s="515">
        <v>52545.873994740548</v>
      </c>
      <c r="AD18" s="515">
        <v>72040.950546385226</v>
      </c>
      <c r="AE18" s="515">
        <v>88908.58415763927</v>
      </c>
      <c r="AF18" s="515">
        <v>97002.632099845636</v>
      </c>
      <c r="AG18" s="515">
        <v>112881.41017723447</v>
      </c>
      <c r="AH18" s="515">
        <v>132785.50026497012</v>
      </c>
      <c r="AI18" s="515">
        <v>172961.59001187931</v>
      </c>
      <c r="AJ18" s="515">
        <v>195747.52625684347</v>
      </c>
      <c r="AK18" s="515">
        <v>257732.37494473046</v>
      </c>
      <c r="AL18" s="515">
        <v>281735.0275455364</v>
      </c>
      <c r="AM18" s="515">
        <v>357182.19361848634</v>
      </c>
      <c r="AN18" s="515">
        <v>442588.7598460773</v>
      </c>
      <c r="AO18" s="515">
        <v>471755.38442732452</v>
      </c>
      <c r="AP18" s="515">
        <v>498440.60772065807</v>
      </c>
      <c r="AQ18" s="515">
        <v>493397.52119426697</v>
      </c>
      <c r="AR18" s="515">
        <v>486341.12113163463</v>
      </c>
      <c r="AS18" s="516">
        <v>599042.00260982628</v>
      </c>
    </row>
    <row r="19" spans="1:45" ht="13">
      <c r="A19" s="506" t="s">
        <v>957</v>
      </c>
      <c r="B19" s="323" t="s">
        <v>958</v>
      </c>
      <c r="C19" s="522"/>
      <c r="D19" s="515">
        <v>104.03809629100398</v>
      </c>
      <c r="E19" s="515">
        <v>99.424310783619774</v>
      </c>
      <c r="F19" s="515">
        <v>114.73045762941797</v>
      </c>
      <c r="G19" s="515">
        <v>109.78347893987683</v>
      </c>
      <c r="H19" s="515">
        <v>133.08815496532583</v>
      </c>
      <c r="I19" s="515">
        <v>130.91183875226247</v>
      </c>
      <c r="J19" s="515">
        <v>143.4883531101286</v>
      </c>
      <c r="K19" s="515">
        <v>186.65586892706767</v>
      </c>
      <c r="L19" s="515">
        <v>201.37969501973748</v>
      </c>
      <c r="M19" s="515">
        <v>215.08642133371964</v>
      </c>
      <c r="N19" s="515">
        <v>171.5869279906006</v>
      </c>
      <c r="O19" s="515">
        <v>230.07287619515017</v>
      </c>
      <c r="P19" s="515">
        <v>230.04573356002902</v>
      </c>
      <c r="Q19" s="515">
        <v>252.92888167938466</v>
      </c>
      <c r="R19" s="515">
        <v>273.46196814960365</v>
      </c>
      <c r="S19" s="515">
        <v>338.27227912021885</v>
      </c>
      <c r="T19" s="515">
        <v>418.92471149690158</v>
      </c>
      <c r="U19" s="515">
        <v>426.70139988965917</v>
      </c>
      <c r="V19" s="515">
        <v>513.25337075234097</v>
      </c>
      <c r="W19" s="515">
        <v>661.2840141811763</v>
      </c>
      <c r="X19" s="515">
        <v>807.49422902857327</v>
      </c>
      <c r="Y19" s="515">
        <v>792.78811954021023</v>
      </c>
      <c r="Z19" s="515">
        <v>801.0951286509071</v>
      </c>
      <c r="AA19" s="515">
        <v>1394.918384398745</v>
      </c>
      <c r="AB19" s="515">
        <v>1711.7229808808784</v>
      </c>
      <c r="AC19" s="515">
        <v>2221.1396131341262</v>
      </c>
      <c r="AD19" s="515">
        <v>2838.1807239667055</v>
      </c>
      <c r="AE19" s="515">
        <v>2574.5445258468003</v>
      </c>
      <c r="AF19" s="515">
        <v>3025.4128401620437</v>
      </c>
      <c r="AG19" s="515">
        <v>3600.645833035092</v>
      </c>
      <c r="AH19" s="515">
        <v>5638.3877490383766</v>
      </c>
      <c r="AI19" s="515">
        <v>7502.8125397174981</v>
      </c>
      <c r="AJ19" s="515">
        <v>9391.5762958088544</v>
      </c>
      <c r="AK19" s="515">
        <v>11552.543031799069</v>
      </c>
      <c r="AL19" s="515">
        <v>11972.543730108149</v>
      </c>
      <c r="AM19" s="515">
        <v>14123.413527188754</v>
      </c>
      <c r="AN19" s="515">
        <v>18038.532645792468</v>
      </c>
      <c r="AO19" s="515">
        <v>22305.224961677617</v>
      </c>
      <c r="AP19" s="515">
        <v>25947.992859713515</v>
      </c>
      <c r="AQ19" s="515">
        <v>28519.460938611748</v>
      </c>
      <c r="AR19" s="515">
        <v>32371.513820943655</v>
      </c>
      <c r="AS19" s="516">
        <v>30450.947618598908</v>
      </c>
    </row>
    <row r="20" spans="1:45" ht="13">
      <c r="A20" s="506" t="s">
        <v>959</v>
      </c>
      <c r="B20" s="323" t="s">
        <v>960</v>
      </c>
      <c r="C20" s="522"/>
      <c r="D20" s="515">
        <v>695.93574620401455</v>
      </c>
      <c r="E20" s="515">
        <v>866.73501035889626</v>
      </c>
      <c r="F20" s="515">
        <v>925.61451419762307</v>
      </c>
      <c r="G20" s="515">
        <v>883.88463138558268</v>
      </c>
      <c r="H20" s="515">
        <v>1102.1653681880878</v>
      </c>
      <c r="I20" s="515">
        <v>1312.6150723747926</v>
      </c>
      <c r="J20" s="515">
        <v>1406.6911910553745</v>
      </c>
      <c r="K20" s="515">
        <v>1589.4389610296255</v>
      </c>
      <c r="L20" s="515">
        <v>1822.5727195579498</v>
      </c>
      <c r="M20" s="515">
        <v>1867.5678268831182</v>
      </c>
      <c r="N20" s="515">
        <v>2058.8667703160586</v>
      </c>
      <c r="O20" s="515">
        <v>2184.6637718562088</v>
      </c>
      <c r="P20" s="515">
        <v>2326.3931915493322</v>
      </c>
      <c r="Q20" s="515">
        <v>2522.1596478118331</v>
      </c>
      <c r="R20" s="515">
        <v>2961.2901939764874</v>
      </c>
      <c r="S20" s="515">
        <v>3148.5681382084922</v>
      </c>
      <c r="T20" s="515">
        <v>3447.8212613434789</v>
      </c>
      <c r="U20" s="515">
        <v>4036.68848568463</v>
      </c>
      <c r="V20" s="515">
        <v>4289.227594924072</v>
      </c>
      <c r="W20" s="515">
        <v>4718.565618417696</v>
      </c>
      <c r="X20" s="515">
        <v>5254.0742030612118</v>
      </c>
      <c r="Y20" s="515">
        <v>4272.8695717518885</v>
      </c>
      <c r="Z20" s="515">
        <v>4182.5549486222644</v>
      </c>
      <c r="AA20" s="515">
        <v>8539.4839256700398</v>
      </c>
      <c r="AB20" s="515">
        <v>12001.37905534426</v>
      </c>
      <c r="AC20" s="515">
        <v>17717.826050870783</v>
      </c>
      <c r="AD20" s="515">
        <v>14299.482311878104</v>
      </c>
      <c r="AE20" s="515">
        <v>23667.394813961808</v>
      </c>
      <c r="AF20" s="515">
        <v>29077.509876416563</v>
      </c>
      <c r="AG20" s="515">
        <v>56607.686707971137</v>
      </c>
      <c r="AH20" s="515">
        <v>94713.342092149484</v>
      </c>
      <c r="AI20" s="515">
        <v>145190.29082064037</v>
      </c>
      <c r="AJ20" s="515">
        <v>156690.34320256175</v>
      </c>
      <c r="AK20" s="515">
        <v>198870.42382943531</v>
      </c>
      <c r="AL20" s="515">
        <v>257780.12810280488</v>
      </c>
      <c r="AM20" s="515">
        <v>250791.59161394008</v>
      </c>
      <c r="AN20" s="515">
        <v>294108.64664444554</v>
      </c>
      <c r="AO20" s="515">
        <v>381798.38472988835</v>
      </c>
      <c r="AP20" s="515">
        <v>443656.47247066186</v>
      </c>
      <c r="AQ20" s="515">
        <v>498247.2526878714</v>
      </c>
      <c r="AR20" s="515">
        <v>536477.36884121806</v>
      </c>
      <c r="AS20" s="516">
        <v>551403.58078329905</v>
      </c>
    </row>
    <row r="21" spans="1:45" ht="13">
      <c r="A21" s="506" t="s">
        <v>961</v>
      </c>
      <c r="B21" s="323" t="s">
        <v>962</v>
      </c>
      <c r="C21" s="522"/>
      <c r="D21" s="515">
        <v>191.50395962629096</v>
      </c>
      <c r="E21" s="515">
        <v>206.87625694816302</v>
      </c>
      <c r="F21" s="515">
        <v>206.75116380703608</v>
      </c>
      <c r="G21" s="515">
        <v>223.72480194026917</v>
      </c>
      <c r="H21" s="515">
        <v>227.22474123814627</v>
      </c>
      <c r="I21" s="515">
        <v>270.51760699090892</v>
      </c>
      <c r="J21" s="515">
        <v>271.79761158763336</v>
      </c>
      <c r="K21" s="515">
        <v>280.30853225132</v>
      </c>
      <c r="L21" s="515">
        <v>305.58053664644979</v>
      </c>
      <c r="M21" s="515">
        <v>302.17499170625115</v>
      </c>
      <c r="N21" s="515">
        <v>362.88130317136785</v>
      </c>
      <c r="O21" s="515">
        <v>347.20789899473749</v>
      </c>
      <c r="P21" s="515">
        <v>406.596319115445</v>
      </c>
      <c r="Q21" s="515">
        <v>396.43107685609232</v>
      </c>
      <c r="R21" s="515">
        <v>450.42217829389989</v>
      </c>
      <c r="S21" s="515">
        <v>518.76166505456047</v>
      </c>
      <c r="T21" s="515">
        <v>461.41750724453465</v>
      </c>
      <c r="U21" s="515">
        <v>589.42134251963034</v>
      </c>
      <c r="V21" s="515">
        <v>661.94221075485871</v>
      </c>
      <c r="W21" s="515">
        <v>899.14440868569466</v>
      </c>
      <c r="X21" s="515">
        <v>896.46583308186894</v>
      </c>
      <c r="Y21" s="515">
        <v>835.02693116341788</v>
      </c>
      <c r="Z21" s="515">
        <v>837.22702746780521</v>
      </c>
      <c r="AA21" s="515">
        <v>847.37017998088538</v>
      </c>
      <c r="AB21" s="515">
        <v>1115.3871585974525</v>
      </c>
      <c r="AC21" s="515">
        <v>1431.4037668529936</v>
      </c>
      <c r="AD21" s="515">
        <v>1123.6167107487406</v>
      </c>
      <c r="AE21" s="515">
        <v>1550.4791049658932</v>
      </c>
      <c r="AF21" s="515">
        <v>1750.6411100512737</v>
      </c>
      <c r="AG21" s="515">
        <v>2287.3052739385785</v>
      </c>
      <c r="AH21" s="515">
        <v>3738.2096550721249</v>
      </c>
      <c r="AI21" s="515">
        <v>7056.205904421764</v>
      </c>
      <c r="AJ21" s="515">
        <v>10306.146335669944</v>
      </c>
      <c r="AK21" s="515">
        <v>13442.364105763529</v>
      </c>
      <c r="AL21" s="515">
        <v>17750.69058754099</v>
      </c>
      <c r="AM21" s="515">
        <v>20888.21142907895</v>
      </c>
      <c r="AN21" s="515">
        <v>22592.469626117607</v>
      </c>
      <c r="AO21" s="515">
        <v>25859.163455461428</v>
      </c>
      <c r="AP21" s="515">
        <v>31012.508418910911</v>
      </c>
      <c r="AQ21" s="515">
        <v>34870.51913980901</v>
      </c>
      <c r="AR21" s="515">
        <v>38826.368999048238</v>
      </c>
      <c r="AS21" s="516">
        <v>40078.17111426044</v>
      </c>
    </row>
    <row r="22" spans="1:45" ht="13">
      <c r="A22" s="506" t="s">
        <v>273</v>
      </c>
      <c r="B22" s="323" t="s">
        <v>963</v>
      </c>
      <c r="C22" s="522"/>
      <c r="D22" s="515">
        <v>3306.0872756156195</v>
      </c>
      <c r="E22" s="515">
        <v>3688.8309689974117</v>
      </c>
      <c r="F22" s="515">
        <v>4443.017069128874</v>
      </c>
      <c r="G22" s="515">
        <v>4884.7434531586287</v>
      </c>
      <c r="H22" s="515">
        <v>5324.7477293915808</v>
      </c>
      <c r="I22" s="515">
        <v>5596.8878545161597</v>
      </c>
      <c r="J22" s="515">
        <v>6355.5851587739371</v>
      </c>
      <c r="K22" s="515">
        <v>6457.5606885286743</v>
      </c>
      <c r="L22" s="515">
        <v>6677.7140500456899</v>
      </c>
      <c r="M22" s="515">
        <v>7176.6539170283386</v>
      </c>
      <c r="N22" s="515">
        <v>7617.783222839088</v>
      </c>
      <c r="O22" s="515">
        <v>8833.5369579424514</v>
      </c>
      <c r="P22" s="515">
        <v>10371.46213545683</v>
      </c>
      <c r="Q22" s="515">
        <v>11890.584121351258</v>
      </c>
      <c r="R22" s="515">
        <v>13278.912128534139</v>
      </c>
      <c r="S22" s="515">
        <v>14890.385269572071</v>
      </c>
      <c r="T22" s="515">
        <v>17772.195929796519</v>
      </c>
      <c r="U22" s="515">
        <v>23358.11027429601</v>
      </c>
      <c r="V22" s="515">
        <v>29971.511274612676</v>
      </c>
      <c r="W22" s="515">
        <v>33285.386076528099</v>
      </c>
      <c r="X22" s="515">
        <v>33062.494621708858</v>
      </c>
      <c r="Y22" s="515">
        <v>41836.927641042581</v>
      </c>
      <c r="Z22" s="515">
        <v>48517.56611323735</v>
      </c>
      <c r="AA22" s="515">
        <v>62888.299402165307</v>
      </c>
      <c r="AB22" s="515">
        <v>81774.622803107486</v>
      </c>
      <c r="AC22" s="515">
        <v>96507.841952756993</v>
      </c>
      <c r="AD22" s="515">
        <v>106363.40599901522</v>
      </c>
      <c r="AE22" s="515">
        <v>147874.95559176829</v>
      </c>
      <c r="AF22" s="515">
        <v>184363.37073217487</v>
      </c>
      <c r="AG22" s="515">
        <v>215812.88792551885</v>
      </c>
      <c r="AH22" s="515">
        <v>222261.94970772232</v>
      </c>
      <c r="AI22" s="515">
        <v>232848.65089618007</v>
      </c>
      <c r="AJ22" s="515">
        <v>276417.12540919438</v>
      </c>
      <c r="AK22" s="515">
        <v>335025.55454949429</v>
      </c>
      <c r="AL22" s="515">
        <v>392625.29359831451</v>
      </c>
      <c r="AM22" s="515">
        <v>407965.05025192042</v>
      </c>
      <c r="AN22" s="515">
        <v>481157.62304665532</v>
      </c>
      <c r="AO22" s="515">
        <v>593385.65431350644</v>
      </c>
      <c r="AP22" s="515">
        <v>770131.83747494721</v>
      </c>
      <c r="AQ22" s="515">
        <v>762271.85523843707</v>
      </c>
      <c r="AR22" s="515">
        <v>853563.70110901876</v>
      </c>
      <c r="AS22" s="516">
        <v>910327.9446449473</v>
      </c>
    </row>
    <row r="23" spans="1:45" ht="13">
      <c r="A23" s="506" t="s">
        <v>964</v>
      </c>
      <c r="B23" s="323" t="s">
        <v>965</v>
      </c>
      <c r="C23" s="522"/>
      <c r="D23" s="515">
        <v>6781.6057857546666</v>
      </c>
      <c r="E23" s="515">
        <v>8169.5129120124402</v>
      </c>
      <c r="F23" s="515">
        <v>7728.1789016135845</v>
      </c>
      <c r="G23" s="515">
        <v>9998.1344362272812</v>
      </c>
      <c r="H23" s="515">
        <v>10084.27104096139</v>
      </c>
      <c r="I23" s="515">
        <v>11221.384328967324</v>
      </c>
      <c r="J23" s="515">
        <v>12175.037142779396</v>
      </c>
      <c r="K23" s="515">
        <v>12925.661130116214</v>
      </c>
      <c r="L23" s="515">
        <v>12939.048564612696</v>
      </c>
      <c r="M23" s="515">
        <v>16243.81776773307</v>
      </c>
      <c r="N23" s="515">
        <v>16764.547072922302</v>
      </c>
      <c r="O23" s="515">
        <v>19466.911532641916</v>
      </c>
      <c r="P23" s="515">
        <v>21022.627188073075</v>
      </c>
      <c r="Q23" s="515">
        <v>21416.997476630906</v>
      </c>
      <c r="R23" s="515">
        <v>25762.568451056879</v>
      </c>
      <c r="S23" s="515">
        <v>28416.771994633033</v>
      </c>
      <c r="T23" s="515">
        <v>28156.425048536581</v>
      </c>
      <c r="U23" s="515">
        <v>33183.681440484812</v>
      </c>
      <c r="V23" s="515">
        <v>39282.562117720663</v>
      </c>
      <c r="W23" s="515">
        <v>43134.898543381008</v>
      </c>
      <c r="X23" s="515">
        <v>54343.222353403151</v>
      </c>
      <c r="Y23" s="515">
        <v>53666.479687714076</v>
      </c>
      <c r="Z23" s="515">
        <v>68121.242978292576</v>
      </c>
      <c r="AA23" s="515">
        <v>82704.598800891981</v>
      </c>
      <c r="AB23" s="515">
        <v>108969.44867419271</v>
      </c>
      <c r="AC23" s="515">
        <v>135967.49748647137</v>
      </c>
      <c r="AD23" s="515">
        <v>175433.98271615861</v>
      </c>
      <c r="AE23" s="515">
        <v>250604.87601923445</v>
      </c>
      <c r="AF23" s="515">
        <v>281525.59867143777</v>
      </c>
      <c r="AG23" s="515">
        <v>342232.68980281346</v>
      </c>
      <c r="AH23" s="515">
        <v>442003.96728363557</v>
      </c>
      <c r="AI23" s="515">
        <v>566009.67218671588</v>
      </c>
      <c r="AJ23" s="515">
        <v>681089.83764778532</v>
      </c>
      <c r="AK23" s="515">
        <v>874193.05327924597</v>
      </c>
      <c r="AL23" s="515">
        <v>935920.15120351547</v>
      </c>
      <c r="AM23" s="515">
        <v>1123901.7548816304</v>
      </c>
      <c r="AN23" s="515">
        <v>1245229.1684499655</v>
      </c>
      <c r="AO23" s="515">
        <v>1471467.3029591795</v>
      </c>
      <c r="AP23" s="515">
        <v>1663820.7800713039</v>
      </c>
      <c r="AQ23" s="515">
        <v>1904487.3651633516</v>
      </c>
      <c r="AR23" s="515">
        <v>1955728.0802214539</v>
      </c>
      <c r="AS23" s="516">
        <v>2048785.7634391866</v>
      </c>
    </row>
    <row r="24" spans="1:45" ht="13">
      <c r="A24" s="506" t="s">
        <v>966</v>
      </c>
      <c r="B24" s="323" t="s">
        <v>967</v>
      </c>
      <c r="C24" s="522"/>
      <c r="D24" s="515">
        <v>700.12590171476791</v>
      </c>
      <c r="E24" s="515">
        <v>679.98622869977817</v>
      </c>
      <c r="F24" s="515">
        <v>721.94640700408672</v>
      </c>
      <c r="G24" s="515">
        <v>639.86414098957562</v>
      </c>
      <c r="H24" s="515">
        <v>547.66343051158674</v>
      </c>
      <c r="I24" s="515">
        <v>735.92251091463118</v>
      </c>
      <c r="J24" s="515">
        <v>800.57100199485308</v>
      </c>
      <c r="K24" s="515">
        <v>873.59117429681976</v>
      </c>
      <c r="L24" s="515">
        <v>802.73329627582029</v>
      </c>
      <c r="M24" s="515">
        <v>872.61584571772585</v>
      </c>
      <c r="N24" s="515">
        <v>994.64143871989165</v>
      </c>
      <c r="O24" s="515">
        <v>1196.5060906877093</v>
      </c>
      <c r="P24" s="515">
        <v>1653.9660004226196</v>
      </c>
      <c r="Q24" s="515">
        <v>2069.7421275060965</v>
      </c>
      <c r="R24" s="515">
        <v>2131.4436614481792</v>
      </c>
      <c r="S24" s="515">
        <v>2513.6674893833879</v>
      </c>
      <c r="T24" s="515">
        <v>2594.5640232815081</v>
      </c>
      <c r="U24" s="515">
        <v>3423.3419235451961</v>
      </c>
      <c r="V24" s="515">
        <v>4124.0118969587684</v>
      </c>
      <c r="W24" s="515">
        <v>5071.6555272024789</v>
      </c>
      <c r="X24" s="515">
        <v>5717.1820606968395</v>
      </c>
      <c r="Y24" s="515">
        <v>5981.6387570579045</v>
      </c>
      <c r="Z24" s="515">
        <v>8336.4580102974487</v>
      </c>
      <c r="AA24" s="515">
        <v>11996.429321487716</v>
      </c>
      <c r="AB24" s="515">
        <v>12738.962553325144</v>
      </c>
      <c r="AC24" s="515">
        <v>18362.381210280117</v>
      </c>
      <c r="AD24" s="515">
        <v>25690.610054016874</v>
      </c>
      <c r="AE24" s="515">
        <v>30433.686019815636</v>
      </c>
      <c r="AF24" s="515">
        <v>38314.707038543267</v>
      </c>
      <c r="AG24" s="515">
        <v>50071.256835762819</v>
      </c>
      <c r="AH24" s="515">
        <v>64786.403725131706</v>
      </c>
      <c r="AI24" s="515">
        <v>86055.027227993633</v>
      </c>
      <c r="AJ24" s="515">
        <v>109846.40370064777</v>
      </c>
      <c r="AK24" s="515">
        <v>138220.65170677617</v>
      </c>
      <c r="AL24" s="515">
        <v>162276.90129811465</v>
      </c>
      <c r="AM24" s="515">
        <v>197348.01741666175</v>
      </c>
      <c r="AN24" s="515">
        <v>260598.02585296257</v>
      </c>
      <c r="AO24" s="515">
        <v>328900.11871554446</v>
      </c>
      <c r="AP24" s="515">
        <v>415355.04256243526</v>
      </c>
      <c r="AQ24" s="515">
        <v>497727.56458747602</v>
      </c>
      <c r="AR24" s="515">
        <v>553765.74304620095</v>
      </c>
      <c r="AS24" s="516">
        <v>580559.20105449634</v>
      </c>
    </row>
    <row r="25" spans="1:45" ht="13">
      <c r="A25" s="506" t="s">
        <v>968</v>
      </c>
      <c r="B25" s="323" t="s">
        <v>969</v>
      </c>
      <c r="C25" s="522"/>
      <c r="D25" s="515">
        <v>1711.0081066320674</v>
      </c>
      <c r="E25" s="515">
        <v>2176.6794436584732</v>
      </c>
      <c r="F25" s="515">
        <v>2127.0081682849786</v>
      </c>
      <c r="G25" s="515">
        <v>2149.344558548682</v>
      </c>
      <c r="H25" s="515">
        <v>2245.8928381752189</v>
      </c>
      <c r="I25" s="515">
        <v>2255.1492798913846</v>
      </c>
      <c r="J25" s="515">
        <v>2448.4983463144308</v>
      </c>
      <c r="K25" s="515">
        <v>2689.7303147334301</v>
      </c>
      <c r="L25" s="515">
        <v>3088.1801485228361</v>
      </c>
      <c r="M25" s="515">
        <v>3296.4114265485764</v>
      </c>
      <c r="N25" s="515">
        <v>3835.3560920075683</v>
      </c>
      <c r="O25" s="515">
        <v>4452.5464609142655</v>
      </c>
      <c r="P25" s="515">
        <v>4884.1392635187558</v>
      </c>
      <c r="Q25" s="515">
        <v>5476.065782405668</v>
      </c>
      <c r="R25" s="515">
        <v>6044.9407921453358</v>
      </c>
      <c r="S25" s="515">
        <v>6328.1248523806389</v>
      </c>
      <c r="T25" s="515">
        <v>8157.2098719832893</v>
      </c>
      <c r="U25" s="515">
        <v>7985.8925983207437</v>
      </c>
      <c r="V25" s="515">
        <v>11076.862578212473</v>
      </c>
      <c r="W25" s="515">
        <v>11588.083613135766</v>
      </c>
      <c r="X25" s="515">
        <v>12181.88040104323</v>
      </c>
      <c r="Y25" s="515">
        <v>15727.244780585821</v>
      </c>
      <c r="Z25" s="515">
        <v>21810.927008818941</v>
      </c>
      <c r="AA25" s="515">
        <v>29057.492998865393</v>
      </c>
      <c r="AB25" s="515">
        <v>34847.424201062619</v>
      </c>
      <c r="AC25" s="515">
        <v>40594.996764102136</v>
      </c>
      <c r="AD25" s="515">
        <v>46434.051390556859</v>
      </c>
      <c r="AE25" s="515">
        <v>57395.49757400994</v>
      </c>
      <c r="AF25" s="515">
        <v>77853.318711823566</v>
      </c>
      <c r="AG25" s="515">
        <v>98767.451560236717</v>
      </c>
      <c r="AH25" s="515">
        <v>129368.73251250332</v>
      </c>
      <c r="AI25" s="515">
        <v>168697.8365479566</v>
      </c>
      <c r="AJ25" s="515">
        <v>235128.8692537976</v>
      </c>
      <c r="AK25" s="515">
        <v>266717.9672524833</v>
      </c>
      <c r="AL25" s="515">
        <v>305071.04824027431</v>
      </c>
      <c r="AM25" s="515">
        <v>347460.47675099212</v>
      </c>
      <c r="AN25" s="515">
        <v>400972.49965706829</v>
      </c>
      <c r="AO25" s="515">
        <v>442709.34407735092</v>
      </c>
      <c r="AP25" s="515">
        <v>535534.35054593603</v>
      </c>
      <c r="AQ25" s="515">
        <v>524721.12840887601</v>
      </c>
      <c r="AR25" s="515">
        <v>548792.80564819649</v>
      </c>
      <c r="AS25" s="516">
        <v>599746.59738285211</v>
      </c>
    </row>
    <row r="26" spans="1:45" ht="13">
      <c r="A26" s="506" t="s">
        <v>970</v>
      </c>
      <c r="B26" s="323" t="s">
        <v>971</v>
      </c>
      <c r="C26" s="522"/>
      <c r="D26" s="515">
        <v>609.24362108331025</v>
      </c>
      <c r="E26" s="515">
        <v>743.92468440597577</v>
      </c>
      <c r="F26" s="515">
        <v>725.10044268604076</v>
      </c>
      <c r="G26" s="515">
        <v>762.78653322185289</v>
      </c>
      <c r="H26" s="515">
        <v>816.61026020828945</v>
      </c>
      <c r="I26" s="515">
        <v>875.46715057536403</v>
      </c>
      <c r="J26" s="515">
        <v>916.96851231133144</v>
      </c>
      <c r="K26" s="515">
        <v>986.01694433281068</v>
      </c>
      <c r="L26" s="515">
        <v>1082.4854473791077</v>
      </c>
      <c r="M26" s="515">
        <v>1166.72593423885</v>
      </c>
      <c r="N26" s="515">
        <v>1313.50549399089</v>
      </c>
      <c r="O26" s="515">
        <v>1049.0615353996941</v>
      </c>
      <c r="P26" s="515">
        <v>1512.2037981760109</v>
      </c>
      <c r="Q26" s="515">
        <v>1692.9456063501314</v>
      </c>
      <c r="R26" s="515">
        <v>1874.2212590256745</v>
      </c>
      <c r="S26" s="515">
        <v>2072.9414163640604</v>
      </c>
      <c r="T26" s="515">
        <v>2300.8601099610873</v>
      </c>
      <c r="U26" s="515">
        <v>2570.8761556906479</v>
      </c>
      <c r="V26" s="515">
        <v>2912.8484922832513</v>
      </c>
      <c r="W26" s="515">
        <v>3148.0185966706781</v>
      </c>
      <c r="X26" s="515">
        <v>3269.0431585940232</v>
      </c>
      <c r="Y26" s="515">
        <v>3782.3782682228111</v>
      </c>
      <c r="Z26" s="515">
        <v>6530.5436730703177</v>
      </c>
      <c r="AA26" s="515">
        <v>8642.4886302545128</v>
      </c>
      <c r="AB26" s="515">
        <v>9274.5907679716001</v>
      </c>
      <c r="AC26" s="515">
        <v>16309.850397925686</v>
      </c>
      <c r="AD26" s="515">
        <v>23293.75334295183</v>
      </c>
      <c r="AE26" s="515">
        <v>20202.484339850987</v>
      </c>
      <c r="AF26" s="515">
        <v>37829.17747128912</v>
      </c>
      <c r="AG26" s="515">
        <v>41375.603243611375</v>
      </c>
      <c r="AH26" s="515">
        <v>52463.269262264985</v>
      </c>
      <c r="AI26" s="515">
        <v>69788.46876435481</v>
      </c>
      <c r="AJ26" s="515">
        <v>95299.193197477594</v>
      </c>
      <c r="AK26" s="515">
        <v>117849.56910493151</v>
      </c>
      <c r="AL26" s="515">
        <v>135733.64053716438</v>
      </c>
      <c r="AM26" s="515">
        <v>160396.77985809717</v>
      </c>
      <c r="AN26" s="515">
        <v>175818.18622518296</v>
      </c>
      <c r="AO26" s="515">
        <v>229768.68779446825</v>
      </c>
      <c r="AP26" s="515">
        <v>301705.74686423689</v>
      </c>
      <c r="AQ26" s="515">
        <v>318463.26812330948</v>
      </c>
      <c r="AR26" s="515">
        <v>354295.37873826205</v>
      </c>
      <c r="AS26" s="516">
        <v>386681.373752043</v>
      </c>
    </row>
    <row r="27" spans="1:45" ht="13">
      <c r="A27" s="506" t="s">
        <v>972</v>
      </c>
      <c r="B27" s="323" t="s">
        <v>973</v>
      </c>
      <c r="C27" s="522"/>
      <c r="D27" s="515">
        <v>807.20280967205429</v>
      </c>
      <c r="E27" s="515">
        <v>860.17557901647046</v>
      </c>
      <c r="F27" s="515">
        <v>928.21430267240385</v>
      </c>
      <c r="G27" s="515">
        <v>988.60212149470351</v>
      </c>
      <c r="H27" s="515">
        <v>1096.0677227131548</v>
      </c>
      <c r="I27" s="515">
        <v>1165.2095594551986</v>
      </c>
      <c r="J27" s="515">
        <v>1323.6725059715034</v>
      </c>
      <c r="K27" s="515">
        <v>1445.6153538397007</v>
      </c>
      <c r="L27" s="515">
        <v>1628.8622887985073</v>
      </c>
      <c r="M27" s="515">
        <v>1761.6808239608895</v>
      </c>
      <c r="N27" s="515">
        <v>1994.1704792460123</v>
      </c>
      <c r="O27" s="515">
        <v>2356.6140261172482</v>
      </c>
      <c r="P27" s="515">
        <v>2610.7813252393826</v>
      </c>
      <c r="Q27" s="515">
        <v>2989.7128330444789</v>
      </c>
      <c r="R27" s="515">
        <v>3513.1177665633995</v>
      </c>
      <c r="S27" s="515">
        <v>3871.2465824172236</v>
      </c>
      <c r="T27" s="515">
        <v>4517.8346540165157</v>
      </c>
      <c r="U27" s="515">
        <v>5255.2618906902471</v>
      </c>
      <c r="V27" s="515">
        <v>6237.5301335945896</v>
      </c>
      <c r="W27" s="515">
        <v>7727.0526809266867</v>
      </c>
      <c r="X27" s="515">
        <v>8483.7828120720715</v>
      </c>
      <c r="Y27" s="515">
        <v>9393.2825860910143</v>
      </c>
      <c r="Z27" s="515">
        <v>17168.788652588559</v>
      </c>
      <c r="AA27" s="515">
        <v>23328.980868689323</v>
      </c>
      <c r="AB27" s="515">
        <v>41209.966935739605</v>
      </c>
      <c r="AC27" s="515">
        <v>39710.356828110816</v>
      </c>
      <c r="AD27" s="515">
        <v>48391.571981389301</v>
      </c>
      <c r="AE27" s="515">
        <v>66797.533139107589</v>
      </c>
      <c r="AF27" s="515">
        <v>90363.526949999883</v>
      </c>
      <c r="AG27" s="515">
        <v>106524.79929241854</v>
      </c>
      <c r="AH27" s="515">
        <v>115926.13788370109</v>
      </c>
      <c r="AI27" s="515">
        <v>168445.58310276759</v>
      </c>
      <c r="AJ27" s="515">
        <v>209961.27036263605</v>
      </c>
      <c r="AK27" s="515">
        <v>284193.85996942705</v>
      </c>
      <c r="AL27" s="515">
        <v>325982.31943073333</v>
      </c>
      <c r="AM27" s="515">
        <v>438080.05972173833</v>
      </c>
      <c r="AN27" s="515">
        <v>551620.40220039547</v>
      </c>
      <c r="AO27" s="515">
        <v>645925.00371738209</v>
      </c>
      <c r="AP27" s="515">
        <v>637627.73283227836</v>
      </c>
      <c r="AQ27" s="515">
        <v>753196.92286080099</v>
      </c>
      <c r="AR27" s="515">
        <v>784707.15996972425</v>
      </c>
      <c r="AS27" s="516">
        <v>786311.94169163483</v>
      </c>
    </row>
    <row r="28" spans="1:45" ht="13">
      <c r="A28" s="506" t="s">
        <v>974</v>
      </c>
      <c r="B28" s="323" t="s">
        <v>975</v>
      </c>
      <c r="C28" s="522"/>
      <c r="D28" s="515">
        <v>438.70093873816194</v>
      </c>
      <c r="E28" s="515">
        <v>430.51515620326143</v>
      </c>
      <c r="F28" s="515">
        <v>469.74329736053664</v>
      </c>
      <c r="G28" s="515">
        <v>472.05759625950583</v>
      </c>
      <c r="H28" s="515">
        <v>539.32878049283943</v>
      </c>
      <c r="I28" s="515">
        <v>519.14852577372756</v>
      </c>
      <c r="J28" s="515">
        <v>501.97541555759864</v>
      </c>
      <c r="K28" s="515">
        <v>588.91602110177303</v>
      </c>
      <c r="L28" s="515">
        <v>623.16174284134161</v>
      </c>
      <c r="M28" s="515">
        <v>594.06371347222125</v>
      </c>
      <c r="N28" s="515">
        <v>599.05843144108405</v>
      </c>
      <c r="O28" s="515">
        <v>728.93342024247158</v>
      </c>
      <c r="P28" s="515">
        <v>771.84417078680428</v>
      </c>
      <c r="Q28" s="515">
        <v>913.19412958765736</v>
      </c>
      <c r="R28" s="515">
        <v>1024.1822739222246</v>
      </c>
      <c r="S28" s="515">
        <v>1137.4911694915832</v>
      </c>
      <c r="T28" s="515">
        <v>1345.941793168482</v>
      </c>
      <c r="U28" s="515">
        <v>1603.2137363017287</v>
      </c>
      <c r="V28" s="515">
        <v>1765.9853933053896</v>
      </c>
      <c r="W28" s="515">
        <v>1725.7491332365807</v>
      </c>
      <c r="X28" s="515">
        <v>2344.980791752253</v>
      </c>
      <c r="Y28" s="515">
        <v>2542.2794937619724</v>
      </c>
      <c r="Z28" s="515">
        <v>3953.1235368525113</v>
      </c>
      <c r="AA28" s="515">
        <v>4739.730270372339</v>
      </c>
      <c r="AB28" s="515">
        <v>5299.0539947589386</v>
      </c>
      <c r="AC28" s="515">
        <v>6435.0645209097675</v>
      </c>
      <c r="AD28" s="515">
        <v>8986.3604779546513</v>
      </c>
      <c r="AE28" s="515">
        <v>10128.866752893287</v>
      </c>
      <c r="AF28" s="515">
        <v>11688.994062975738</v>
      </c>
      <c r="AG28" s="515">
        <v>13490.129539502359</v>
      </c>
      <c r="AH28" s="515">
        <v>18091.963946989224</v>
      </c>
      <c r="AI28" s="515">
        <v>19866.14895187243</v>
      </c>
      <c r="AJ28" s="515">
        <v>28709.927877875805</v>
      </c>
      <c r="AK28" s="515">
        <v>32426.401437285178</v>
      </c>
      <c r="AL28" s="515">
        <v>33715.091365598993</v>
      </c>
      <c r="AM28" s="515">
        <v>38927.405103732017</v>
      </c>
      <c r="AN28" s="515">
        <v>40395.41016862783</v>
      </c>
      <c r="AO28" s="515">
        <v>37138.620443279186</v>
      </c>
      <c r="AP28" s="515">
        <v>16935.916911513457</v>
      </c>
      <c r="AQ28" s="515">
        <v>42324.077421574271</v>
      </c>
      <c r="AR28" s="515">
        <v>75332.260391563701</v>
      </c>
      <c r="AS28" s="516">
        <v>96770.695855913</v>
      </c>
    </row>
    <row r="29" spans="1:45" ht="13">
      <c r="A29" s="506" t="s">
        <v>976</v>
      </c>
      <c r="B29" s="323" t="s">
        <v>977</v>
      </c>
      <c r="C29" s="522"/>
      <c r="D29" s="515">
        <v>5138.8864534361946</v>
      </c>
      <c r="E29" s="515">
        <v>5455.5169564366206</v>
      </c>
      <c r="F29" s="515">
        <v>5805.123622932424</v>
      </c>
      <c r="G29" s="515">
        <v>6079.6103164741799</v>
      </c>
      <c r="H29" s="515">
        <v>6582.5638620467535</v>
      </c>
      <c r="I29" s="515">
        <v>6821.5113998028864</v>
      </c>
      <c r="J29" s="515">
        <v>7408.2442504047121</v>
      </c>
      <c r="K29" s="515">
        <v>7940.559302067637</v>
      </c>
      <c r="L29" s="515">
        <v>8371.0378854198207</v>
      </c>
      <c r="M29" s="515">
        <v>8938.4040127431235</v>
      </c>
      <c r="N29" s="515">
        <v>9761.797498557431</v>
      </c>
      <c r="O29" s="515">
        <v>10619.129506490817</v>
      </c>
      <c r="P29" s="515">
        <v>11172.022192830065</v>
      </c>
      <c r="Q29" s="515">
        <v>12502.649587755286</v>
      </c>
      <c r="R29" s="515">
        <v>13903.323171724251</v>
      </c>
      <c r="S29" s="515">
        <v>15524.995263547908</v>
      </c>
      <c r="T29" s="515">
        <v>17491.671365635677</v>
      </c>
      <c r="U29" s="515">
        <v>19736.835994184945</v>
      </c>
      <c r="V29" s="515">
        <v>23307.968563504844</v>
      </c>
      <c r="W29" s="515">
        <v>27297.472875961099</v>
      </c>
      <c r="X29" s="515">
        <v>31488.364669309787</v>
      </c>
      <c r="Y29" s="515">
        <v>33721.263585274093</v>
      </c>
      <c r="Z29" s="515">
        <v>37871.167860847781</v>
      </c>
      <c r="AA29" s="515">
        <v>42908.395927086996</v>
      </c>
      <c r="AB29" s="515">
        <v>48382.141325600453</v>
      </c>
      <c r="AC29" s="515">
        <v>55795.570050225571</v>
      </c>
      <c r="AD29" s="515">
        <v>68297.253999401233</v>
      </c>
      <c r="AE29" s="515">
        <v>77560.05470486921</v>
      </c>
      <c r="AF29" s="515">
        <v>87256.419050714758</v>
      </c>
      <c r="AG29" s="515">
        <v>102342.88268355116</v>
      </c>
      <c r="AH29" s="515">
        <v>123934.24344585744</v>
      </c>
      <c r="AI29" s="515">
        <v>143549.6761970864</v>
      </c>
      <c r="AJ29" s="515">
        <v>172288.00786614447</v>
      </c>
      <c r="AK29" s="515">
        <v>233959.28716938966</v>
      </c>
      <c r="AL29" s="515">
        <v>283589.53458852723</v>
      </c>
      <c r="AM29" s="515">
        <v>349697.01019705326</v>
      </c>
      <c r="AN29" s="515">
        <v>445295.85560357315</v>
      </c>
      <c r="AO29" s="515">
        <v>554994.92722531047</v>
      </c>
      <c r="AP29" s="515">
        <v>697039.51761696266</v>
      </c>
      <c r="AQ29" s="515">
        <v>810467.86536543083</v>
      </c>
      <c r="AR29" s="515">
        <v>943188.61179264751</v>
      </c>
      <c r="AS29" s="516">
        <v>1123417.4426743735</v>
      </c>
    </row>
    <row r="30" spans="1:45" ht="13">
      <c r="A30" s="506" t="s">
        <v>913</v>
      </c>
      <c r="B30" s="323" t="s">
        <v>978</v>
      </c>
      <c r="C30" s="522"/>
      <c r="D30" s="515">
        <v>3359.6155378600783</v>
      </c>
      <c r="E30" s="515">
        <v>3440.4837945773943</v>
      </c>
      <c r="F30" s="515">
        <v>3804.3161323761237</v>
      </c>
      <c r="G30" s="515">
        <v>3952.8934557747775</v>
      </c>
      <c r="H30" s="515">
        <v>4154.0187743631013</v>
      </c>
      <c r="I30" s="515">
        <v>4245.779543228824</v>
      </c>
      <c r="J30" s="515">
        <v>5328.8607647430736</v>
      </c>
      <c r="K30" s="515">
        <v>6515.2244889316707</v>
      </c>
      <c r="L30" s="515">
        <v>7235.0218438918519</v>
      </c>
      <c r="M30" s="515">
        <v>7636.1287957821678</v>
      </c>
      <c r="N30" s="515">
        <v>8106.1614082133319</v>
      </c>
      <c r="O30" s="515">
        <v>8461.9212854972939</v>
      </c>
      <c r="P30" s="515">
        <v>9046.1731059340946</v>
      </c>
      <c r="Q30" s="515">
        <v>10368.835443541939</v>
      </c>
      <c r="R30" s="515">
        <v>12380.338038969339</v>
      </c>
      <c r="S30" s="515">
        <v>12895.831898673776</v>
      </c>
      <c r="T30" s="515">
        <v>14393.503105638172</v>
      </c>
      <c r="U30" s="515">
        <v>17604.47963015136</v>
      </c>
      <c r="V30" s="515">
        <v>21714.330354357073</v>
      </c>
      <c r="W30" s="515">
        <v>23771.920031564234</v>
      </c>
      <c r="X30" s="515">
        <v>28978.0669015286</v>
      </c>
      <c r="Y30" s="515">
        <v>37799.867575075412</v>
      </c>
      <c r="Z30" s="515">
        <v>51015.388806858631</v>
      </c>
      <c r="AA30" s="515">
        <v>65288.424278663668</v>
      </c>
      <c r="AB30" s="515">
        <v>82007.172413393389</v>
      </c>
      <c r="AC30" s="515">
        <v>104683.90925336431</v>
      </c>
      <c r="AD30" s="515">
        <v>133880.50211809893</v>
      </c>
      <c r="AE30" s="515">
        <v>171896.5776792324</v>
      </c>
      <c r="AF30" s="515">
        <v>208748.69899456605</v>
      </c>
      <c r="AG30" s="515">
        <v>258452.39245683132</v>
      </c>
      <c r="AH30" s="515">
        <v>316065.98189910938</v>
      </c>
      <c r="AI30" s="515">
        <v>390467.7200114681</v>
      </c>
      <c r="AJ30" s="515">
        <v>497175.95837252511</v>
      </c>
      <c r="AK30" s="515">
        <v>608304.25206778478</v>
      </c>
      <c r="AL30" s="515">
        <v>739797.02003965445</v>
      </c>
      <c r="AM30" s="515">
        <v>915958.80861725775</v>
      </c>
      <c r="AN30" s="515">
        <v>1104477.7851030536</v>
      </c>
      <c r="AO30" s="515">
        <v>1352119.610390791</v>
      </c>
      <c r="AP30" s="515">
        <v>1669659.7644334571</v>
      </c>
      <c r="AQ30" s="515">
        <v>1900127.7595534858</v>
      </c>
      <c r="AR30" s="515">
        <v>2074012.2112667067</v>
      </c>
      <c r="AS30" s="516">
        <v>2193463.9581424645</v>
      </c>
    </row>
    <row r="31" spans="1:45" ht="13">
      <c r="A31" s="499">
        <v>9</v>
      </c>
      <c r="B31" s="323" t="s">
        <v>979</v>
      </c>
      <c r="C31" s="522"/>
      <c r="D31" s="515">
        <v>3305.2233551657305</v>
      </c>
      <c r="E31" s="515">
        <v>3174.4983830279057</v>
      </c>
      <c r="F31" s="515">
        <v>3423.917878610363</v>
      </c>
      <c r="G31" s="515">
        <v>3406.587844206028</v>
      </c>
      <c r="H31" s="515">
        <v>4029.8593502310355</v>
      </c>
      <c r="I31" s="515">
        <v>4234.6453528272395</v>
      </c>
      <c r="J31" s="515">
        <v>4933.47628308407</v>
      </c>
      <c r="K31" s="515">
        <v>5339.0699223637621</v>
      </c>
      <c r="L31" s="515">
        <v>5158.1351364591646</v>
      </c>
      <c r="M31" s="515">
        <v>5251.3352163492491</v>
      </c>
      <c r="N31" s="515">
        <v>5188.3676931764348</v>
      </c>
      <c r="O31" s="515">
        <v>6149.6830639753671</v>
      </c>
      <c r="P31" s="515">
        <v>8332.7766135292059</v>
      </c>
      <c r="Q31" s="515">
        <v>9115.1306957347715</v>
      </c>
      <c r="R31" s="515">
        <v>9770.9801012309235</v>
      </c>
      <c r="S31" s="515">
        <v>9825.5082025718912</v>
      </c>
      <c r="T31" s="515">
        <v>10027.286935003563</v>
      </c>
      <c r="U31" s="515">
        <v>12720.384648546244</v>
      </c>
      <c r="V31" s="515">
        <v>14991.232459478257</v>
      </c>
      <c r="W31" s="515">
        <v>17403.89134828245</v>
      </c>
      <c r="X31" s="515">
        <v>19507.95022659704</v>
      </c>
      <c r="Y31" s="515">
        <v>24655.4107377945</v>
      </c>
      <c r="Z31" s="515">
        <v>31081.110894342131</v>
      </c>
      <c r="AA31" s="515">
        <v>37358.194041104056</v>
      </c>
      <c r="AB31" s="515">
        <v>44479.141260196368</v>
      </c>
      <c r="AC31" s="515">
        <v>50655.57711306397</v>
      </c>
      <c r="AD31" s="515">
        <v>59667.097820497125</v>
      </c>
      <c r="AE31" s="515">
        <v>72864.197933437492</v>
      </c>
      <c r="AF31" s="515">
        <v>89987.497139315441</v>
      </c>
      <c r="AG31" s="515">
        <v>107753.76290705794</v>
      </c>
      <c r="AH31" s="515">
        <v>128199.66780491012</v>
      </c>
      <c r="AI31" s="515">
        <v>151805.05684518194</v>
      </c>
      <c r="AJ31" s="515">
        <v>183106.76225399494</v>
      </c>
      <c r="AK31" s="515">
        <v>242191.35372244319</v>
      </c>
      <c r="AL31" s="515">
        <v>304915.64159718133</v>
      </c>
      <c r="AM31" s="515">
        <v>396738.5486363488</v>
      </c>
      <c r="AN31" s="515">
        <v>498360.42899608146</v>
      </c>
      <c r="AO31" s="515">
        <v>624313.3342494457</v>
      </c>
      <c r="AP31" s="515">
        <v>767564.47468996339</v>
      </c>
      <c r="AQ31" s="515">
        <v>898248.13469516893</v>
      </c>
      <c r="AR31" s="515">
        <v>1029542.9082768249</v>
      </c>
      <c r="AS31" s="516">
        <v>1155481.6683305518</v>
      </c>
    </row>
    <row r="32" spans="1:45" ht="13">
      <c r="A32" s="507" t="s">
        <v>980</v>
      </c>
      <c r="B32" s="323" t="s">
        <v>981</v>
      </c>
      <c r="C32" s="522"/>
      <c r="D32" s="515">
        <v>-500.47761788484814</v>
      </c>
      <c r="E32" s="515">
        <v>-544.30424028912012</v>
      </c>
      <c r="F32" s="515">
        <v>-607.91701319559138</v>
      </c>
      <c r="G32" s="515">
        <v>-666.18341736399066</v>
      </c>
      <c r="H32" s="515">
        <v>-770.72270393440624</v>
      </c>
      <c r="I32" s="515">
        <v>-864.62314882782914</v>
      </c>
      <c r="J32" s="515">
        <v>-944.10014086635704</v>
      </c>
      <c r="K32" s="515">
        <v>-1105.7104158954151</v>
      </c>
      <c r="L32" s="515">
        <v>-1237.8922612599247</v>
      </c>
      <c r="M32" s="515">
        <v>-1285.5726919387384</v>
      </c>
      <c r="N32" s="515">
        <v>-1411.586975074689</v>
      </c>
      <c r="O32" s="515">
        <v>-1756.2603515764802</v>
      </c>
      <c r="P32" s="515">
        <v>-1986.8788007890155</v>
      </c>
      <c r="Q32" s="515">
        <v>-2431.4922122034282</v>
      </c>
      <c r="R32" s="515">
        <v>-2328.293877935057</v>
      </c>
      <c r="S32" s="515">
        <v>-3099.2555078965634</v>
      </c>
      <c r="T32" s="515">
        <v>-3340.4823339386821</v>
      </c>
      <c r="U32" s="515">
        <v>-4402.2482404535376</v>
      </c>
      <c r="V32" s="515">
        <v>-5582.5164066031521</v>
      </c>
      <c r="W32" s="515">
        <v>-6866.1294023252103</v>
      </c>
      <c r="X32" s="515">
        <v>-7880.7311735196363</v>
      </c>
      <c r="Y32" s="515">
        <v>-8480.9190522379777</v>
      </c>
      <c r="Z32" s="515">
        <v>-15355.235353898344</v>
      </c>
      <c r="AA32" s="515">
        <v>-20599.247967990515</v>
      </c>
      <c r="AB32" s="515">
        <v>-37026.886913151189</v>
      </c>
      <c r="AC32" s="515">
        <v>-34999.166764287133</v>
      </c>
      <c r="AD32" s="515">
        <v>-43386.578758798336</v>
      </c>
      <c r="AE32" s="515">
        <v>-59161.497455748671</v>
      </c>
      <c r="AF32" s="515">
        <v>-81708.477237341285</v>
      </c>
      <c r="AG32" s="515">
        <v>-92250.822406215942</v>
      </c>
      <c r="AH32" s="515">
        <v>-99658.903518948122</v>
      </c>
      <c r="AI32" s="515">
        <v>-141416.46751886012</v>
      </c>
      <c r="AJ32" s="515">
        <v>-183526.36615935527</v>
      </c>
      <c r="AK32" s="515">
        <v>-251156.10717550269</v>
      </c>
      <c r="AL32" s="515">
        <v>-293968.03463992698</v>
      </c>
      <c r="AM32" s="515">
        <v>-380878.18330737227</v>
      </c>
      <c r="AN32" s="515">
        <v>-466487.01254470367</v>
      </c>
      <c r="AO32" s="515">
        <v>-574543.13876618748</v>
      </c>
      <c r="AP32" s="515">
        <v>-560555.23554756679</v>
      </c>
      <c r="AQ32" s="515">
        <v>-660240.08227239456</v>
      </c>
      <c r="AR32" s="515">
        <v>-699461.67919420195</v>
      </c>
      <c r="AS32" s="516">
        <v>-733413.02303458215</v>
      </c>
    </row>
    <row r="33" spans="1:45" ht="13">
      <c r="A33" s="517"/>
      <c r="B33" s="528" t="s">
        <v>982</v>
      </c>
      <c r="C33" s="522"/>
      <c r="D33" s="515">
        <v>60664.69518467343</v>
      </c>
      <c r="E33" s="515">
        <v>62950.930566128103</v>
      </c>
      <c r="F33" s="515">
        <v>66020.526224523273</v>
      </c>
      <c r="G33" s="515">
        <v>71294.566019720412</v>
      </c>
      <c r="H33" s="515">
        <v>76985.399662104624</v>
      </c>
      <c r="I33" s="515">
        <v>80455.301928773391</v>
      </c>
      <c r="J33" s="515">
        <v>85823.538219211478</v>
      </c>
      <c r="K33" s="515">
        <v>89493.230164862776</v>
      </c>
      <c r="L33" s="515">
        <v>100066.80603246306</v>
      </c>
      <c r="M33" s="515">
        <v>105449.73655111445</v>
      </c>
      <c r="N33" s="515">
        <v>111055.56097029166</v>
      </c>
      <c r="O33" s="515">
        <v>125019.06116790859</v>
      </c>
      <c r="P33" s="515">
        <v>138757.17081371174</v>
      </c>
      <c r="Q33" s="515">
        <v>147343.69397048029</v>
      </c>
      <c r="R33" s="515">
        <v>164833.36585718059</v>
      </c>
      <c r="S33" s="515">
        <v>174025.59274156718</v>
      </c>
      <c r="T33" s="515">
        <v>197441.89915838224</v>
      </c>
      <c r="U33" s="515">
        <v>226280.4397751404</v>
      </c>
      <c r="V33" s="515">
        <v>262487.53390303295</v>
      </c>
      <c r="W33" s="515">
        <v>293859.08920872025</v>
      </c>
      <c r="X33" s="515">
        <v>341007.38100205036</v>
      </c>
      <c r="Y33" s="515">
        <v>374286.4700431003</v>
      </c>
      <c r="Z33" s="515">
        <v>464389.05206097884</v>
      </c>
      <c r="AA33" s="515">
        <v>573013.05937886203</v>
      </c>
      <c r="AB33" s="515">
        <v>729987.641081793</v>
      </c>
      <c r="AC33" s="515">
        <v>909131.3000933124</v>
      </c>
      <c r="AD33" s="515">
        <v>1141027.5149601421</v>
      </c>
      <c r="AE33" s="515">
        <v>1441765.5743535808</v>
      </c>
      <c r="AF33" s="515">
        <v>1723276.9856177289</v>
      </c>
      <c r="AG33" s="515">
        <v>2062144.3052591011</v>
      </c>
      <c r="AH33" s="515">
        <v>2597461.7348213308</v>
      </c>
      <c r="AI33" s="515">
        <v>3279427.6289431686</v>
      </c>
      <c r="AJ33" s="515">
        <v>4105308.4000950959</v>
      </c>
      <c r="AK33" s="515">
        <v>5060524.7463520914</v>
      </c>
      <c r="AL33" s="515">
        <v>5797494.0339625161</v>
      </c>
      <c r="AM33" s="515">
        <v>7012030.1626322865</v>
      </c>
      <c r="AN33" s="515">
        <v>8340090.9414428985</v>
      </c>
      <c r="AO33" s="515">
        <v>9653245.9578391705</v>
      </c>
      <c r="AP33" s="515">
        <v>11066919.378353447</v>
      </c>
      <c r="AQ33" s="515">
        <v>11898184.879432406</v>
      </c>
      <c r="AR33" s="515">
        <v>12809505.385887478</v>
      </c>
      <c r="AS33" s="516">
        <v>13866764.686391369</v>
      </c>
    </row>
    <row r="34" spans="1:45" ht="13">
      <c r="A34" s="519"/>
      <c r="B34" s="509"/>
      <c r="C34" s="522"/>
      <c r="D34" s="515"/>
      <c r="E34" s="515"/>
      <c r="F34" s="515"/>
      <c r="G34" s="515"/>
      <c r="H34" s="515"/>
      <c r="I34" s="515"/>
      <c r="J34" s="515"/>
      <c r="K34" s="515"/>
      <c r="L34" s="515"/>
      <c r="M34" s="515"/>
      <c r="N34" s="515"/>
      <c r="O34" s="515"/>
      <c r="P34" s="515"/>
      <c r="Q34" s="515"/>
      <c r="R34" s="515"/>
      <c r="S34" s="515"/>
      <c r="T34" s="515"/>
      <c r="U34" s="515"/>
      <c r="V34" s="515"/>
      <c r="W34" s="515"/>
      <c r="X34" s="515"/>
      <c r="Y34" s="515"/>
      <c r="Z34" s="515"/>
      <c r="AA34" s="515"/>
      <c r="AB34" s="515"/>
      <c r="AC34" s="515"/>
      <c r="AD34" s="515"/>
      <c r="AE34" s="515"/>
      <c r="AF34" s="515"/>
      <c r="AG34" s="515"/>
      <c r="AH34" s="515"/>
      <c r="AI34" s="515"/>
      <c r="AJ34" s="515"/>
      <c r="AK34" s="515"/>
      <c r="AL34" s="515"/>
      <c r="AM34" s="515"/>
      <c r="AN34" s="515"/>
      <c r="AO34" s="515"/>
      <c r="AP34" s="515"/>
      <c r="AQ34" s="515"/>
      <c r="AR34" s="515"/>
      <c r="AS34" s="516"/>
    </row>
    <row r="35" spans="1:45" ht="13">
      <c r="A35" s="523" t="s">
        <v>983</v>
      </c>
      <c r="B35" s="323" t="s">
        <v>984</v>
      </c>
      <c r="C35" s="522"/>
      <c r="D35" s="515">
        <v>1382.9599127459819</v>
      </c>
      <c r="E35" s="515">
        <v>1546.8193114685885</v>
      </c>
      <c r="F35" s="515">
        <v>1785.2515529208224</v>
      </c>
      <c r="G35" s="515">
        <v>1877.6768114617</v>
      </c>
      <c r="H35" s="515">
        <v>1764.1955779673308</v>
      </c>
      <c r="I35" s="515">
        <v>1896.3250670635712</v>
      </c>
      <c r="J35" s="515">
        <v>2245.5696981179999</v>
      </c>
      <c r="K35" s="515">
        <v>2686.5679454254737</v>
      </c>
      <c r="L35" s="515">
        <v>2335.2862197342315</v>
      </c>
      <c r="M35" s="515">
        <v>2529.8659746462376</v>
      </c>
      <c r="N35" s="515">
        <v>2885.7163366100472</v>
      </c>
      <c r="O35" s="515">
        <v>2582.6607499173288</v>
      </c>
      <c r="P35" s="515">
        <v>3102.8936468003203</v>
      </c>
      <c r="Q35" s="515">
        <v>3096.8972436607323</v>
      </c>
      <c r="R35" s="515">
        <v>3489.6962452937096</v>
      </c>
      <c r="S35" s="515">
        <v>3253.777705656375</v>
      </c>
      <c r="T35" s="515">
        <v>3790.4210196135177</v>
      </c>
      <c r="U35" s="515">
        <v>4593.2792347298491</v>
      </c>
      <c r="V35" s="515">
        <v>4588.1184546960785</v>
      </c>
      <c r="W35" s="515">
        <v>5113.5560005338839</v>
      </c>
      <c r="X35" s="515">
        <v>5297.5857610434477</v>
      </c>
      <c r="Y35" s="515">
        <v>3927.6628716906548</v>
      </c>
      <c r="Z35" s="515">
        <v>6379.0748433440831</v>
      </c>
      <c r="AA35" s="515">
        <v>10039.407076818157</v>
      </c>
      <c r="AB35" s="515">
        <v>13059.981258018444</v>
      </c>
      <c r="AC35" s="515">
        <v>13068.418550862527</v>
      </c>
      <c r="AD35" s="515">
        <v>13585.433271840757</v>
      </c>
      <c r="AE35" s="515">
        <v>14714.732722113011</v>
      </c>
      <c r="AF35" s="515">
        <v>21193.51109863929</v>
      </c>
      <c r="AG35" s="515">
        <v>19839.587474381078</v>
      </c>
      <c r="AH35" s="515">
        <v>25350.85990692614</v>
      </c>
      <c r="AI35" s="515">
        <v>25683.884052124809</v>
      </c>
      <c r="AJ35" s="515">
        <v>33691.606644863765</v>
      </c>
      <c r="AK35" s="515">
        <v>49231.059989984555</v>
      </c>
      <c r="AL35" s="515">
        <v>71174.187831306495</v>
      </c>
      <c r="AM35" s="515">
        <v>82751.807269142126</v>
      </c>
      <c r="AN35" s="515">
        <v>94552.577705816875</v>
      </c>
      <c r="AO35" s="515">
        <v>102120.74626615933</v>
      </c>
      <c r="AP35" s="515">
        <v>92510.928329046568</v>
      </c>
      <c r="AQ35" s="515">
        <v>91654.622457339952</v>
      </c>
      <c r="AR35" s="515">
        <v>81987.601458051489</v>
      </c>
      <c r="AS35" s="516">
        <v>95190.864172300353</v>
      </c>
    </row>
    <row r="36" spans="1:45" ht="13">
      <c r="A36" s="523" t="s">
        <v>985</v>
      </c>
      <c r="B36" s="323" t="s">
        <v>986</v>
      </c>
      <c r="C36" s="522"/>
      <c r="D36" s="515">
        <v>0</v>
      </c>
      <c r="E36" s="515">
        <v>0</v>
      </c>
      <c r="F36" s="515">
        <v>0</v>
      </c>
      <c r="G36" s="515">
        <v>0</v>
      </c>
      <c r="H36" s="515">
        <v>0</v>
      </c>
      <c r="I36" s="515">
        <v>0</v>
      </c>
      <c r="J36" s="515">
        <v>0</v>
      </c>
      <c r="K36" s="515">
        <v>0</v>
      </c>
      <c r="L36" s="515">
        <v>0</v>
      </c>
      <c r="M36" s="515">
        <v>0</v>
      </c>
      <c r="N36" s="515">
        <v>0</v>
      </c>
      <c r="O36" s="515">
        <v>0</v>
      </c>
      <c r="P36" s="515">
        <v>0</v>
      </c>
      <c r="Q36" s="515">
        <v>386.13838825503717</v>
      </c>
      <c r="R36" s="515">
        <v>2123.1970679153487</v>
      </c>
      <c r="S36" s="515">
        <v>2423.8178899876993</v>
      </c>
      <c r="T36" s="515">
        <v>2948.4096348895118</v>
      </c>
      <c r="U36" s="515">
        <v>3758.2725690883658</v>
      </c>
      <c r="V36" s="515">
        <v>4199.1829070039212</v>
      </c>
      <c r="W36" s="515">
        <v>5250.1986194796764</v>
      </c>
      <c r="X36" s="515">
        <v>6503.6109097884628</v>
      </c>
      <c r="Y36" s="515">
        <v>6857.3043691565435</v>
      </c>
      <c r="Z36" s="515">
        <v>9766.4295808903607</v>
      </c>
      <c r="AA36" s="515">
        <v>12704.988376885076</v>
      </c>
      <c r="AB36" s="515">
        <v>23738.727926310861</v>
      </c>
      <c r="AC36" s="515">
        <v>34602.763193882653</v>
      </c>
      <c r="AD36" s="515">
        <v>35408.675990270764</v>
      </c>
      <c r="AE36" s="515">
        <v>51942.91646694237</v>
      </c>
      <c r="AF36" s="515">
        <v>67625.534256191881</v>
      </c>
      <c r="AG36" s="515">
        <v>83677.961510269495</v>
      </c>
      <c r="AH36" s="515">
        <v>88975.412569303109</v>
      </c>
      <c r="AI36" s="515">
        <v>115054.16712062179</v>
      </c>
      <c r="AJ36" s="515">
        <v>129158.87142235615</v>
      </c>
      <c r="AK36" s="515">
        <v>324057.62876747223</v>
      </c>
      <c r="AL36" s="515">
        <v>397409.47123754956</v>
      </c>
      <c r="AM36" s="515">
        <v>477651.20044292521</v>
      </c>
      <c r="AN36" s="515">
        <v>613069.41792379937</v>
      </c>
      <c r="AO36" s="515">
        <v>656111.03226320317</v>
      </c>
      <c r="AP36" s="515">
        <v>751458.08777952357</v>
      </c>
      <c r="AQ36" s="515">
        <v>905305.76012146519</v>
      </c>
      <c r="AR36" s="515">
        <v>890029.04456009448</v>
      </c>
      <c r="AS36" s="516">
        <v>1100711.9418361054</v>
      </c>
    </row>
    <row r="37" spans="1:45" ht="13">
      <c r="A37" s="523"/>
      <c r="B37" s="528" t="s">
        <v>637</v>
      </c>
      <c r="C37" s="522"/>
      <c r="D37" s="515"/>
      <c r="E37" s="515"/>
      <c r="F37" s="515"/>
      <c r="G37" s="515"/>
      <c r="H37" s="515"/>
      <c r="I37" s="515"/>
      <c r="J37" s="515"/>
      <c r="K37" s="515"/>
      <c r="L37" s="515"/>
      <c r="M37" s="515"/>
      <c r="N37" s="515"/>
      <c r="O37" s="515"/>
      <c r="P37" s="515"/>
      <c r="Q37" s="515"/>
      <c r="R37" s="515"/>
      <c r="S37" s="515"/>
      <c r="T37" s="515"/>
      <c r="U37" s="515"/>
      <c r="V37" s="515"/>
      <c r="W37" s="515"/>
      <c r="X37" s="515"/>
      <c r="Y37" s="515"/>
      <c r="Z37" s="515"/>
      <c r="AA37" s="515"/>
      <c r="AB37" s="515"/>
      <c r="AC37" s="515"/>
      <c r="AD37" s="515"/>
      <c r="AE37" s="515"/>
      <c r="AF37" s="515"/>
      <c r="AG37" s="515"/>
      <c r="AH37" s="515"/>
      <c r="AI37" s="515"/>
      <c r="AJ37" s="515"/>
      <c r="AK37" s="515"/>
      <c r="AL37" s="515"/>
      <c r="AM37" s="515"/>
      <c r="AN37" s="515"/>
      <c r="AO37" s="515"/>
      <c r="AP37" s="515"/>
      <c r="AQ37" s="515"/>
      <c r="AR37" s="515"/>
      <c r="AS37" s="516"/>
    </row>
    <row r="38" spans="1:45" ht="13.5" thickBot="1">
      <c r="A38" s="524"/>
      <c r="B38" s="539" t="s">
        <v>987</v>
      </c>
      <c r="C38" s="540"/>
      <c r="D38" s="526">
        <v>62047.655097419411</v>
      </c>
      <c r="E38" s="526">
        <v>64497.749877596689</v>
      </c>
      <c r="F38" s="526">
        <v>67805.777777444091</v>
      </c>
      <c r="G38" s="526">
        <v>73172.242831182113</v>
      </c>
      <c r="H38" s="526">
        <v>78749.595240071954</v>
      </c>
      <c r="I38" s="526">
        <v>82351.626995836967</v>
      </c>
      <c r="J38" s="526">
        <v>88069.107917329471</v>
      </c>
      <c r="K38" s="526">
        <v>92179.798110288248</v>
      </c>
      <c r="L38" s="526">
        <v>102402.0922521973</v>
      </c>
      <c r="M38" s="526">
        <v>107979.60252576068</v>
      </c>
      <c r="N38" s="526">
        <v>113941.2773069017</v>
      </c>
      <c r="O38" s="526">
        <v>127601.72191782591</v>
      </c>
      <c r="P38" s="526">
        <v>141860.06446051205</v>
      </c>
      <c r="Q38" s="526">
        <v>150826.72960239605</v>
      </c>
      <c r="R38" s="526">
        <v>170446.25917038965</v>
      </c>
      <c r="S38" s="526">
        <v>179703.18833721126</v>
      </c>
      <c r="T38" s="526">
        <v>204180.72981288526</v>
      </c>
      <c r="U38" s="526">
        <v>234631.99157895861</v>
      </c>
      <c r="V38" s="526">
        <v>271274.83526473294</v>
      </c>
      <c r="W38" s="526">
        <v>304222.84382873384</v>
      </c>
      <c r="X38" s="526">
        <v>352808.5776728823</v>
      </c>
      <c r="Y38" s="526">
        <v>385071.43728394748</v>
      </c>
      <c r="Z38" s="526">
        <v>480534.55648521328</v>
      </c>
      <c r="AA38" s="526">
        <v>595757.45483256527</v>
      </c>
      <c r="AB38" s="526">
        <v>766786.35026612226</v>
      </c>
      <c r="AC38" s="526">
        <v>956802.48183805752</v>
      </c>
      <c r="AD38" s="526">
        <v>1190021.6242222537</v>
      </c>
      <c r="AE38" s="526">
        <v>1508423.2235426363</v>
      </c>
      <c r="AF38" s="526">
        <v>1812096.0309725602</v>
      </c>
      <c r="AG38" s="526">
        <v>2165661.8542437516</v>
      </c>
      <c r="AH38" s="526">
        <v>2711788.0072975601</v>
      </c>
      <c r="AI38" s="526">
        <v>3420165.6801159154</v>
      </c>
      <c r="AJ38" s="526">
        <v>4268158.878162316</v>
      </c>
      <c r="AK38" s="526">
        <v>5433813.4351095483</v>
      </c>
      <c r="AL38" s="526">
        <v>6266077.6930313725</v>
      </c>
      <c r="AM38" s="526">
        <v>7572433.1703443537</v>
      </c>
      <c r="AN38" s="526">
        <v>9047712.9370725155</v>
      </c>
      <c r="AO38" s="526">
        <v>10411477.736368533</v>
      </c>
      <c r="AP38" s="526">
        <v>11910888.394462017</v>
      </c>
      <c r="AQ38" s="526">
        <v>12895145.262011211</v>
      </c>
      <c r="AR38" s="526">
        <v>13781522.031905623</v>
      </c>
      <c r="AS38" s="527">
        <v>15062667.492399774</v>
      </c>
    </row>
    <row r="39" spans="1:45" ht="13">
      <c r="A39" s="528" t="s">
        <v>988</v>
      </c>
      <c r="B39" s="528"/>
      <c r="C39" s="531"/>
      <c r="D39" s="541"/>
      <c r="E39" s="541"/>
      <c r="F39" s="541"/>
      <c r="G39" s="541"/>
      <c r="H39" s="541"/>
      <c r="I39" s="541"/>
      <c r="J39" s="541"/>
      <c r="K39" s="541"/>
      <c r="L39" s="541"/>
      <c r="M39" s="541"/>
      <c r="N39" s="541"/>
      <c r="O39" s="541"/>
      <c r="P39" s="541"/>
      <c r="Q39" s="541"/>
      <c r="R39" s="541"/>
      <c r="S39" s="541"/>
      <c r="T39" s="541"/>
      <c r="U39" s="541"/>
      <c r="V39" s="541"/>
      <c r="W39" s="541"/>
      <c r="X39" s="541"/>
      <c r="Y39" s="541"/>
      <c r="Z39" s="541"/>
      <c r="AA39" s="541"/>
      <c r="AB39" s="541"/>
      <c r="AC39" s="541"/>
      <c r="AD39" s="541"/>
      <c r="AE39" s="541"/>
      <c r="AF39" s="541"/>
      <c r="AG39" s="541"/>
      <c r="AH39" s="541"/>
      <c r="AI39" s="541"/>
      <c r="AJ39" s="541"/>
      <c r="AK39" s="541"/>
      <c r="AL39" s="541"/>
      <c r="AM39" s="541"/>
      <c r="AN39" s="541"/>
      <c r="AO39" s="541"/>
      <c r="AP39" s="541"/>
      <c r="AQ39" s="541"/>
    </row>
    <row r="40" spans="1:45">
      <c r="AR40" s="542"/>
      <c r="AS40" s="542"/>
    </row>
  </sheetData>
  <pageMargins left="0.75" right="0.75" top="1" bottom="1" header="0.5" footer="0.5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349A-068A-4C9F-942D-92B47FCF5131}">
  <sheetPr>
    <pageSetUpPr fitToPage="1"/>
  </sheetPr>
  <dimension ref="A1:AS2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5"/>
  <cols>
    <col min="1" max="1" width="33.26953125" style="485" customWidth="1"/>
    <col min="2" max="38" width="8.7265625" style="485"/>
    <col min="39" max="44" width="10" style="485" customWidth="1"/>
    <col min="45" max="256" width="8.7265625" style="485"/>
    <col min="257" max="257" width="33.26953125" style="485" customWidth="1"/>
    <col min="258" max="294" width="8.7265625" style="485"/>
    <col min="295" max="300" width="10" style="485" customWidth="1"/>
    <col min="301" max="512" width="8.7265625" style="485"/>
    <col min="513" max="513" width="33.26953125" style="485" customWidth="1"/>
    <col min="514" max="550" width="8.7265625" style="485"/>
    <col min="551" max="556" width="10" style="485" customWidth="1"/>
    <col min="557" max="768" width="8.7265625" style="485"/>
    <col min="769" max="769" width="33.26953125" style="485" customWidth="1"/>
    <col min="770" max="806" width="8.7265625" style="485"/>
    <col min="807" max="812" width="10" style="485" customWidth="1"/>
    <col min="813" max="1024" width="8.7265625" style="485"/>
    <col min="1025" max="1025" width="33.26953125" style="485" customWidth="1"/>
    <col min="1026" max="1062" width="8.7265625" style="485"/>
    <col min="1063" max="1068" width="10" style="485" customWidth="1"/>
    <col min="1069" max="1280" width="8.7265625" style="485"/>
    <col min="1281" max="1281" width="33.26953125" style="485" customWidth="1"/>
    <col min="1282" max="1318" width="8.7265625" style="485"/>
    <col min="1319" max="1324" width="10" style="485" customWidth="1"/>
    <col min="1325" max="1536" width="8.7265625" style="485"/>
    <col min="1537" max="1537" width="33.26953125" style="485" customWidth="1"/>
    <col min="1538" max="1574" width="8.7265625" style="485"/>
    <col min="1575" max="1580" width="10" style="485" customWidth="1"/>
    <col min="1581" max="1792" width="8.7265625" style="485"/>
    <col min="1793" max="1793" width="33.26953125" style="485" customWidth="1"/>
    <col min="1794" max="1830" width="8.7265625" style="485"/>
    <col min="1831" max="1836" width="10" style="485" customWidth="1"/>
    <col min="1837" max="2048" width="8.7265625" style="485"/>
    <col min="2049" max="2049" width="33.26953125" style="485" customWidth="1"/>
    <col min="2050" max="2086" width="8.7265625" style="485"/>
    <col min="2087" max="2092" width="10" style="485" customWidth="1"/>
    <col min="2093" max="2304" width="8.7265625" style="485"/>
    <col min="2305" max="2305" width="33.26953125" style="485" customWidth="1"/>
    <col min="2306" max="2342" width="8.7265625" style="485"/>
    <col min="2343" max="2348" width="10" style="485" customWidth="1"/>
    <col min="2349" max="2560" width="8.7265625" style="485"/>
    <col min="2561" max="2561" width="33.26953125" style="485" customWidth="1"/>
    <col min="2562" max="2598" width="8.7265625" style="485"/>
    <col min="2599" max="2604" width="10" style="485" customWidth="1"/>
    <col min="2605" max="2816" width="8.7265625" style="485"/>
    <col min="2817" max="2817" width="33.26953125" style="485" customWidth="1"/>
    <col min="2818" max="2854" width="8.7265625" style="485"/>
    <col min="2855" max="2860" width="10" style="485" customWidth="1"/>
    <col min="2861" max="3072" width="8.7265625" style="485"/>
    <col min="3073" max="3073" width="33.26953125" style="485" customWidth="1"/>
    <col min="3074" max="3110" width="8.7265625" style="485"/>
    <col min="3111" max="3116" width="10" style="485" customWidth="1"/>
    <col min="3117" max="3328" width="8.7265625" style="485"/>
    <col min="3329" max="3329" width="33.26953125" style="485" customWidth="1"/>
    <col min="3330" max="3366" width="8.7265625" style="485"/>
    <col min="3367" max="3372" width="10" style="485" customWidth="1"/>
    <col min="3373" max="3584" width="8.7265625" style="485"/>
    <col min="3585" max="3585" width="33.26953125" style="485" customWidth="1"/>
    <col min="3586" max="3622" width="8.7265625" style="485"/>
    <col min="3623" max="3628" width="10" style="485" customWidth="1"/>
    <col min="3629" max="3840" width="8.7265625" style="485"/>
    <col min="3841" max="3841" width="33.26953125" style="485" customWidth="1"/>
    <col min="3842" max="3878" width="8.7265625" style="485"/>
    <col min="3879" max="3884" width="10" style="485" customWidth="1"/>
    <col min="3885" max="4096" width="8.7265625" style="485"/>
    <col min="4097" max="4097" width="33.26953125" style="485" customWidth="1"/>
    <col min="4098" max="4134" width="8.7265625" style="485"/>
    <col min="4135" max="4140" width="10" style="485" customWidth="1"/>
    <col min="4141" max="4352" width="8.7265625" style="485"/>
    <col min="4353" max="4353" width="33.26953125" style="485" customWidth="1"/>
    <col min="4354" max="4390" width="8.7265625" style="485"/>
    <col min="4391" max="4396" width="10" style="485" customWidth="1"/>
    <col min="4397" max="4608" width="8.7265625" style="485"/>
    <col min="4609" max="4609" width="33.26953125" style="485" customWidth="1"/>
    <col min="4610" max="4646" width="8.7265625" style="485"/>
    <col min="4647" max="4652" width="10" style="485" customWidth="1"/>
    <col min="4653" max="4864" width="8.7265625" style="485"/>
    <col min="4865" max="4865" width="33.26953125" style="485" customWidth="1"/>
    <col min="4866" max="4902" width="8.7265625" style="485"/>
    <col min="4903" max="4908" width="10" style="485" customWidth="1"/>
    <col min="4909" max="5120" width="8.7265625" style="485"/>
    <col min="5121" max="5121" width="33.26953125" style="485" customWidth="1"/>
    <col min="5122" max="5158" width="8.7265625" style="485"/>
    <col min="5159" max="5164" width="10" style="485" customWidth="1"/>
    <col min="5165" max="5376" width="8.7265625" style="485"/>
    <col min="5377" max="5377" width="33.26953125" style="485" customWidth="1"/>
    <col min="5378" max="5414" width="8.7265625" style="485"/>
    <col min="5415" max="5420" width="10" style="485" customWidth="1"/>
    <col min="5421" max="5632" width="8.7265625" style="485"/>
    <col min="5633" max="5633" width="33.26953125" style="485" customWidth="1"/>
    <col min="5634" max="5670" width="8.7265625" style="485"/>
    <col min="5671" max="5676" width="10" style="485" customWidth="1"/>
    <col min="5677" max="5888" width="8.7265625" style="485"/>
    <col min="5889" max="5889" width="33.26953125" style="485" customWidth="1"/>
    <col min="5890" max="5926" width="8.7265625" style="485"/>
    <col min="5927" max="5932" width="10" style="485" customWidth="1"/>
    <col min="5933" max="6144" width="8.7265625" style="485"/>
    <col min="6145" max="6145" width="33.26953125" style="485" customWidth="1"/>
    <col min="6146" max="6182" width="8.7265625" style="485"/>
    <col min="6183" max="6188" width="10" style="485" customWidth="1"/>
    <col min="6189" max="6400" width="8.7265625" style="485"/>
    <col min="6401" max="6401" width="33.26953125" style="485" customWidth="1"/>
    <col min="6402" max="6438" width="8.7265625" style="485"/>
    <col min="6439" max="6444" width="10" style="485" customWidth="1"/>
    <col min="6445" max="6656" width="8.7265625" style="485"/>
    <col min="6657" max="6657" width="33.26953125" style="485" customWidth="1"/>
    <col min="6658" max="6694" width="8.7265625" style="485"/>
    <col min="6695" max="6700" width="10" style="485" customWidth="1"/>
    <col min="6701" max="6912" width="8.7265625" style="485"/>
    <col min="6913" max="6913" width="33.26953125" style="485" customWidth="1"/>
    <col min="6914" max="6950" width="8.7265625" style="485"/>
    <col min="6951" max="6956" width="10" style="485" customWidth="1"/>
    <col min="6957" max="7168" width="8.7265625" style="485"/>
    <col min="7169" max="7169" width="33.26953125" style="485" customWidth="1"/>
    <col min="7170" max="7206" width="8.7265625" style="485"/>
    <col min="7207" max="7212" width="10" style="485" customWidth="1"/>
    <col min="7213" max="7424" width="8.7265625" style="485"/>
    <col min="7425" max="7425" width="33.26953125" style="485" customWidth="1"/>
    <col min="7426" max="7462" width="8.7265625" style="485"/>
    <col min="7463" max="7468" width="10" style="485" customWidth="1"/>
    <col min="7469" max="7680" width="8.7265625" style="485"/>
    <col min="7681" max="7681" width="33.26953125" style="485" customWidth="1"/>
    <col min="7682" max="7718" width="8.7265625" style="485"/>
    <col min="7719" max="7724" width="10" style="485" customWidth="1"/>
    <col min="7725" max="7936" width="8.7265625" style="485"/>
    <col min="7937" max="7937" width="33.26953125" style="485" customWidth="1"/>
    <col min="7938" max="7974" width="8.7265625" style="485"/>
    <col min="7975" max="7980" width="10" style="485" customWidth="1"/>
    <col min="7981" max="8192" width="8.7265625" style="485"/>
    <col min="8193" max="8193" width="33.26953125" style="485" customWidth="1"/>
    <col min="8194" max="8230" width="8.7265625" style="485"/>
    <col min="8231" max="8236" width="10" style="485" customWidth="1"/>
    <col min="8237" max="8448" width="8.7265625" style="485"/>
    <col min="8449" max="8449" width="33.26953125" style="485" customWidth="1"/>
    <col min="8450" max="8486" width="8.7265625" style="485"/>
    <col min="8487" max="8492" width="10" style="485" customWidth="1"/>
    <col min="8493" max="8704" width="8.7265625" style="485"/>
    <col min="8705" max="8705" width="33.26953125" style="485" customWidth="1"/>
    <col min="8706" max="8742" width="8.7265625" style="485"/>
    <col min="8743" max="8748" width="10" style="485" customWidth="1"/>
    <col min="8749" max="8960" width="8.7265625" style="485"/>
    <col min="8961" max="8961" width="33.26953125" style="485" customWidth="1"/>
    <col min="8962" max="8998" width="8.7265625" style="485"/>
    <col min="8999" max="9004" width="10" style="485" customWidth="1"/>
    <col min="9005" max="9216" width="8.7265625" style="485"/>
    <col min="9217" max="9217" width="33.26953125" style="485" customWidth="1"/>
    <col min="9218" max="9254" width="8.7265625" style="485"/>
    <col min="9255" max="9260" width="10" style="485" customWidth="1"/>
    <col min="9261" max="9472" width="8.7265625" style="485"/>
    <col min="9473" max="9473" width="33.26953125" style="485" customWidth="1"/>
    <col min="9474" max="9510" width="8.7265625" style="485"/>
    <col min="9511" max="9516" width="10" style="485" customWidth="1"/>
    <col min="9517" max="9728" width="8.7265625" style="485"/>
    <col min="9729" max="9729" width="33.26953125" style="485" customWidth="1"/>
    <col min="9730" max="9766" width="8.7265625" style="485"/>
    <col min="9767" max="9772" width="10" style="485" customWidth="1"/>
    <col min="9773" max="9984" width="8.7265625" style="485"/>
    <col min="9985" max="9985" width="33.26953125" style="485" customWidth="1"/>
    <col min="9986" max="10022" width="8.7265625" style="485"/>
    <col min="10023" max="10028" width="10" style="485" customWidth="1"/>
    <col min="10029" max="10240" width="8.7265625" style="485"/>
    <col min="10241" max="10241" width="33.26953125" style="485" customWidth="1"/>
    <col min="10242" max="10278" width="8.7265625" style="485"/>
    <col min="10279" max="10284" width="10" style="485" customWidth="1"/>
    <col min="10285" max="10496" width="8.7265625" style="485"/>
    <col min="10497" max="10497" width="33.26953125" style="485" customWidth="1"/>
    <col min="10498" max="10534" width="8.7265625" style="485"/>
    <col min="10535" max="10540" width="10" style="485" customWidth="1"/>
    <col min="10541" max="10752" width="8.7265625" style="485"/>
    <col min="10753" max="10753" width="33.26953125" style="485" customWidth="1"/>
    <col min="10754" max="10790" width="8.7265625" style="485"/>
    <col min="10791" max="10796" width="10" style="485" customWidth="1"/>
    <col min="10797" max="11008" width="8.7265625" style="485"/>
    <col min="11009" max="11009" width="33.26953125" style="485" customWidth="1"/>
    <col min="11010" max="11046" width="8.7265625" style="485"/>
    <col min="11047" max="11052" width="10" style="485" customWidth="1"/>
    <col min="11053" max="11264" width="8.7265625" style="485"/>
    <col min="11265" max="11265" width="33.26953125" style="485" customWidth="1"/>
    <col min="11266" max="11302" width="8.7265625" style="485"/>
    <col min="11303" max="11308" width="10" style="485" customWidth="1"/>
    <col min="11309" max="11520" width="8.7265625" style="485"/>
    <col min="11521" max="11521" width="33.26953125" style="485" customWidth="1"/>
    <col min="11522" max="11558" width="8.7265625" style="485"/>
    <col min="11559" max="11564" width="10" style="485" customWidth="1"/>
    <col min="11565" max="11776" width="8.7265625" style="485"/>
    <col min="11777" max="11777" width="33.26953125" style="485" customWidth="1"/>
    <col min="11778" max="11814" width="8.7265625" style="485"/>
    <col min="11815" max="11820" width="10" style="485" customWidth="1"/>
    <col min="11821" max="12032" width="8.7265625" style="485"/>
    <col min="12033" max="12033" width="33.26953125" style="485" customWidth="1"/>
    <col min="12034" max="12070" width="8.7265625" style="485"/>
    <col min="12071" max="12076" width="10" style="485" customWidth="1"/>
    <col min="12077" max="12288" width="8.7265625" style="485"/>
    <col min="12289" max="12289" width="33.26953125" style="485" customWidth="1"/>
    <col min="12290" max="12326" width="8.7265625" style="485"/>
    <col min="12327" max="12332" width="10" style="485" customWidth="1"/>
    <col min="12333" max="12544" width="8.7265625" style="485"/>
    <col min="12545" max="12545" width="33.26953125" style="485" customWidth="1"/>
    <col min="12546" max="12582" width="8.7265625" style="485"/>
    <col min="12583" max="12588" width="10" style="485" customWidth="1"/>
    <col min="12589" max="12800" width="8.7265625" style="485"/>
    <col min="12801" max="12801" width="33.26953125" style="485" customWidth="1"/>
    <col min="12802" max="12838" width="8.7265625" style="485"/>
    <col min="12839" max="12844" width="10" style="485" customWidth="1"/>
    <col min="12845" max="13056" width="8.7265625" style="485"/>
    <col min="13057" max="13057" width="33.26953125" style="485" customWidth="1"/>
    <col min="13058" max="13094" width="8.7265625" style="485"/>
    <col min="13095" max="13100" width="10" style="485" customWidth="1"/>
    <col min="13101" max="13312" width="8.7265625" style="485"/>
    <col min="13313" max="13313" width="33.26953125" style="485" customWidth="1"/>
    <col min="13314" max="13350" width="8.7265625" style="485"/>
    <col min="13351" max="13356" width="10" style="485" customWidth="1"/>
    <col min="13357" max="13568" width="8.7265625" style="485"/>
    <col min="13569" max="13569" width="33.26953125" style="485" customWidth="1"/>
    <col min="13570" max="13606" width="8.7265625" style="485"/>
    <col min="13607" max="13612" width="10" style="485" customWidth="1"/>
    <col min="13613" max="13824" width="8.7265625" style="485"/>
    <col min="13825" max="13825" width="33.26953125" style="485" customWidth="1"/>
    <col min="13826" max="13862" width="8.7265625" style="485"/>
    <col min="13863" max="13868" width="10" style="485" customWidth="1"/>
    <col min="13869" max="14080" width="8.7265625" style="485"/>
    <col min="14081" max="14081" width="33.26953125" style="485" customWidth="1"/>
    <col min="14082" max="14118" width="8.7265625" style="485"/>
    <col min="14119" max="14124" width="10" style="485" customWidth="1"/>
    <col min="14125" max="14336" width="8.7265625" style="485"/>
    <col min="14337" max="14337" width="33.26953125" style="485" customWidth="1"/>
    <col min="14338" max="14374" width="8.7265625" style="485"/>
    <col min="14375" max="14380" width="10" style="485" customWidth="1"/>
    <col min="14381" max="14592" width="8.7265625" style="485"/>
    <col min="14593" max="14593" width="33.26953125" style="485" customWidth="1"/>
    <col min="14594" max="14630" width="8.7265625" style="485"/>
    <col min="14631" max="14636" width="10" style="485" customWidth="1"/>
    <col min="14637" max="14848" width="8.7265625" style="485"/>
    <col min="14849" max="14849" width="33.26953125" style="485" customWidth="1"/>
    <col min="14850" max="14886" width="8.7265625" style="485"/>
    <col min="14887" max="14892" width="10" style="485" customWidth="1"/>
    <col min="14893" max="15104" width="8.7265625" style="485"/>
    <col min="15105" max="15105" width="33.26953125" style="485" customWidth="1"/>
    <col min="15106" max="15142" width="8.7265625" style="485"/>
    <col min="15143" max="15148" width="10" style="485" customWidth="1"/>
    <col min="15149" max="15360" width="8.7265625" style="485"/>
    <col min="15361" max="15361" width="33.26953125" style="485" customWidth="1"/>
    <col min="15362" max="15398" width="8.7265625" style="485"/>
    <col min="15399" max="15404" width="10" style="485" customWidth="1"/>
    <col min="15405" max="15616" width="8.7265625" style="485"/>
    <col min="15617" max="15617" width="33.26953125" style="485" customWidth="1"/>
    <col min="15618" max="15654" width="8.7265625" style="485"/>
    <col min="15655" max="15660" width="10" style="485" customWidth="1"/>
    <col min="15661" max="15872" width="8.7265625" style="485"/>
    <col min="15873" max="15873" width="33.26953125" style="485" customWidth="1"/>
    <col min="15874" max="15910" width="8.7265625" style="485"/>
    <col min="15911" max="15916" width="10" style="485" customWidth="1"/>
    <col min="15917" max="16128" width="8.7265625" style="485"/>
    <col min="16129" max="16129" width="33.26953125" style="485" customWidth="1"/>
    <col min="16130" max="16166" width="8.7265625" style="485"/>
    <col min="16167" max="16172" width="10" style="485" customWidth="1"/>
    <col min="16173" max="16384" width="8.7265625" style="485"/>
  </cols>
  <sheetData>
    <row r="1" spans="1:45" ht="13">
      <c r="A1" s="322" t="s">
        <v>990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</row>
    <row r="2" spans="1:45" ht="13">
      <c r="A2" s="322" t="s">
        <v>930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</row>
    <row r="3" spans="1:45" ht="13">
      <c r="A3" s="323" t="s">
        <v>931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</row>
    <row r="4" spans="1:45" ht="13.5" thickBot="1">
      <c r="A4" s="322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</row>
    <row r="5" spans="1:45" ht="13">
      <c r="A5" s="336"/>
      <c r="B5" s="543">
        <v>1953</v>
      </c>
      <c r="C5" s="543">
        <v>1954</v>
      </c>
      <c r="D5" s="543">
        <v>1955</v>
      </c>
      <c r="E5" s="543">
        <v>1956</v>
      </c>
      <c r="F5" s="543">
        <v>1957</v>
      </c>
      <c r="G5" s="543">
        <v>1958</v>
      </c>
      <c r="H5" s="543">
        <v>1959</v>
      </c>
      <c r="I5" s="543">
        <v>1960</v>
      </c>
      <c r="J5" s="543">
        <v>1961</v>
      </c>
      <c r="K5" s="543">
        <v>1962</v>
      </c>
      <c r="L5" s="543">
        <v>1963</v>
      </c>
      <c r="M5" s="543">
        <v>1964</v>
      </c>
      <c r="N5" s="543">
        <v>1965</v>
      </c>
      <c r="O5" s="543">
        <v>1966</v>
      </c>
      <c r="P5" s="543">
        <v>1967</v>
      </c>
      <c r="Q5" s="543">
        <v>1968</v>
      </c>
      <c r="R5" s="544">
        <v>1969</v>
      </c>
      <c r="S5" s="543">
        <v>1970</v>
      </c>
      <c r="T5" s="543">
        <v>1971</v>
      </c>
      <c r="U5" s="543">
        <v>1972</v>
      </c>
      <c r="V5" s="543">
        <v>1973</v>
      </c>
      <c r="W5" s="543">
        <v>1974</v>
      </c>
      <c r="X5" s="543">
        <v>1975</v>
      </c>
      <c r="Y5" s="543">
        <v>1976</v>
      </c>
      <c r="Z5" s="543">
        <v>1977</v>
      </c>
      <c r="AA5" s="543">
        <v>1978</v>
      </c>
      <c r="AB5" s="543">
        <v>1979</v>
      </c>
      <c r="AC5" s="543">
        <v>1980</v>
      </c>
      <c r="AD5" s="543">
        <v>1981</v>
      </c>
      <c r="AE5" s="543">
        <v>1982</v>
      </c>
      <c r="AF5" s="543">
        <v>1983</v>
      </c>
      <c r="AG5" s="543">
        <v>1984</v>
      </c>
      <c r="AH5" s="543">
        <v>1985</v>
      </c>
      <c r="AI5" s="543">
        <v>1986</v>
      </c>
      <c r="AJ5" s="543">
        <v>1987</v>
      </c>
      <c r="AK5" s="543">
        <v>1988</v>
      </c>
      <c r="AL5" s="543">
        <v>1989</v>
      </c>
      <c r="AM5" s="543">
        <v>1990</v>
      </c>
      <c r="AN5" s="543">
        <v>1991</v>
      </c>
      <c r="AO5" s="543">
        <v>1992</v>
      </c>
      <c r="AP5" s="543">
        <v>1993</v>
      </c>
      <c r="AQ5" s="543">
        <v>1994</v>
      </c>
      <c r="AR5" s="342">
        <v>1995</v>
      </c>
    </row>
    <row r="6" spans="1:45" ht="13.5" thickBot="1">
      <c r="A6" s="334"/>
      <c r="B6" s="545"/>
      <c r="C6" s="545"/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  <c r="AG6" s="545"/>
      <c r="AH6" s="545"/>
      <c r="AI6" s="545"/>
      <c r="AJ6" s="545"/>
      <c r="AK6" s="545"/>
      <c r="AL6" s="545"/>
      <c r="AM6" s="545"/>
      <c r="AN6" s="545"/>
      <c r="AO6" s="545"/>
      <c r="AP6" s="545"/>
      <c r="AQ6" s="545"/>
      <c r="AR6" s="501"/>
    </row>
    <row r="7" spans="1:45" ht="13">
      <c r="A7" s="336" t="s">
        <v>991</v>
      </c>
      <c r="B7" s="546">
        <v>46443.158318016925</v>
      </c>
      <c r="C7" s="546">
        <v>48612.889906111675</v>
      </c>
      <c r="D7" s="546">
        <v>51294.453445818515</v>
      </c>
      <c r="E7" s="546">
        <v>52882.645751435084</v>
      </c>
      <c r="F7" s="546">
        <v>57029.381893707308</v>
      </c>
      <c r="G7" s="546">
        <v>58278.682027881478</v>
      </c>
      <c r="H7" s="546">
        <v>62132.193258606487</v>
      </c>
      <c r="I7" s="546">
        <v>66738.035628956364</v>
      </c>
      <c r="J7" s="546">
        <v>69047.101128946349</v>
      </c>
      <c r="K7" s="546">
        <v>74217.162934168067</v>
      </c>
      <c r="L7" s="546">
        <v>77444.0119597702</v>
      </c>
      <c r="M7" s="546">
        <v>83167.432311517041</v>
      </c>
      <c r="N7" s="546">
        <v>96976.907237246516</v>
      </c>
      <c r="O7" s="546">
        <v>102432.95773247271</v>
      </c>
      <c r="P7" s="546">
        <v>114477.53119870936</v>
      </c>
      <c r="Q7" s="546">
        <v>124436.74676699509</v>
      </c>
      <c r="R7" s="546">
        <v>126959.6331987218</v>
      </c>
      <c r="S7" s="546">
        <v>144049.2145290327</v>
      </c>
      <c r="T7" s="546">
        <v>162428.00818730716</v>
      </c>
      <c r="U7" s="546">
        <v>183059.44497376555</v>
      </c>
      <c r="V7" s="546">
        <v>222688.64265819232</v>
      </c>
      <c r="W7" s="546">
        <v>284045.0904140799</v>
      </c>
      <c r="X7" s="546">
        <v>328414.07822574658</v>
      </c>
      <c r="Y7" s="546">
        <v>392113.32766871509</v>
      </c>
      <c r="Z7" s="546">
        <v>479621.64703150332</v>
      </c>
      <c r="AA7" s="546">
        <v>591910.34167971171</v>
      </c>
      <c r="AB7" s="546">
        <v>751661.18659449369</v>
      </c>
      <c r="AC7" s="546">
        <v>986849.15883817931</v>
      </c>
      <c r="AD7" s="546">
        <v>1220415.0963537907</v>
      </c>
      <c r="AE7" s="546">
        <v>1467838.3420685688</v>
      </c>
      <c r="AF7" s="546">
        <v>1847081.9203027897</v>
      </c>
      <c r="AG7" s="546">
        <v>2343762.6802822221</v>
      </c>
      <c r="AH7" s="546">
        <v>2776209.0106879002</v>
      </c>
      <c r="AI7" s="546">
        <v>3331322.2714645518</v>
      </c>
      <c r="AJ7" s="546">
        <v>3917452.9052645685</v>
      </c>
      <c r="AK7" s="546">
        <v>4764366.7577046417</v>
      </c>
      <c r="AL7" s="546">
        <v>5527752.5265986696</v>
      </c>
      <c r="AM7" s="546">
        <v>6590213.6553653553</v>
      </c>
      <c r="AN7" s="546">
        <v>7869454.2503317492</v>
      </c>
      <c r="AO7" s="546">
        <v>8788578.5041448511</v>
      </c>
      <c r="AP7" s="546">
        <v>9330587.8305399939</v>
      </c>
      <c r="AQ7" s="546">
        <v>10045188.547258144</v>
      </c>
      <c r="AR7" s="547">
        <v>10728194.553722728</v>
      </c>
    </row>
    <row r="8" spans="1:45" ht="13">
      <c r="A8" s="327" t="s">
        <v>992</v>
      </c>
      <c r="B8" s="548">
        <v>5025.1688775521725</v>
      </c>
      <c r="C8" s="548">
        <v>5692.9308595537914</v>
      </c>
      <c r="D8" s="548">
        <v>5871.0067288636137</v>
      </c>
      <c r="E8" s="548">
        <v>5899.4420111717018</v>
      </c>
      <c r="F8" s="548">
        <v>6333.033444928541</v>
      </c>
      <c r="G8" s="548">
        <v>6569.8719947972522</v>
      </c>
      <c r="H8" s="548">
        <v>7414.2116559132483</v>
      </c>
      <c r="I8" s="548">
        <v>7990.1015445714411</v>
      </c>
      <c r="J8" s="548">
        <v>10092.423778252278</v>
      </c>
      <c r="K8" s="548">
        <v>11017.530540697095</v>
      </c>
      <c r="L8" s="548">
        <v>11429.867883787778</v>
      </c>
      <c r="M8" s="548">
        <v>12352.567668035337</v>
      </c>
      <c r="N8" s="548">
        <v>13416.194001800022</v>
      </c>
      <c r="O8" s="548">
        <v>14848.613257778252</v>
      </c>
      <c r="P8" s="548">
        <v>17918.328367269423</v>
      </c>
      <c r="Q8" s="548">
        <v>19818.551220713256</v>
      </c>
      <c r="R8" s="548">
        <v>21557.414544228002</v>
      </c>
      <c r="S8" s="548">
        <v>25686.572430375345</v>
      </c>
      <c r="T8" s="548">
        <v>28170.180314366502</v>
      </c>
      <c r="U8" s="548">
        <v>32375.562333483493</v>
      </c>
      <c r="V8" s="548">
        <v>37370.265748748498</v>
      </c>
      <c r="W8" s="548">
        <v>49434.589835044295</v>
      </c>
      <c r="X8" s="548">
        <v>60288.513525563067</v>
      </c>
      <c r="Y8" s="548">
        <v>71164.216387928624</v>
      </c>
      <c r="Z8" s="548">
        <v>93408.121310058224</v>
      </c>
      <c r="AA8" s="548">
        <v>117441.76593745986</v>
      </c>
      <c r="AB8" s="548">
        <v>148629.0169631532</v>
      </c>
      <c r="AC8" s="548">
        <v>198703.84508675867</v>
      </c>
      <c r="AD8" s="548">
        <v>246827.33435494723</v>
      </c>
      <c r="AE8" s="548">
        <v>300954.1032693368</v>
      </c>
      <c r="AF8" s="548">
        <v>380485.15060243855</v>
      </c>
      <c r="AG8" s="548">
        <v>463248.39502429828</v>
      </c>
      <c r="AH8" s="548">
        <v>586003.21975584794</v>
      </c>
      <c r="AI8" s="548">
        <v>713882.44685118576</v>
      </c>
      <c r="AJ8" s="548">
        <v>827073.74026669178</v>
      </c>
      <c r="AK8" s="548">
        <v>1019741.5311733378</v>
      </c>
      <c r="AL8" s="548">
        <v>1252123.7579406654</v>
      </c>
      <c r="AM8" s="548">
        <v>1524696.1935759485</v>
      </c>
      <c r="AN8" s="548">
        <v>1949041.8967804001</v>
      </c>
      <c r="AO8" s="548">
        <v>2209932.5738368481</v>
      </c>
      <c r="AP8" s="548">
        <v>2403211.0619945456</v>
      </c>
      <c r="AQ8" s="548">
        <v>2567254.7142837318</v>
      </c>
      <c r="AR8" s="58">
        <v>2790016.1336471038</v>
      </c>
    </row>
    <row r="9" spans="1:45" ht="13">
      <c r="A9" s="327" t="s">
        <v>993</v>
      </c>
      <c r="B9" s="548">
        <v>10777.027165136949</v>
      </c>
      <c r="C9" s="548">
        <v>11207.540545042415</v>
      </c>
      <c r="D9" s="548">
        <v>11703.552444156332</v>
      </c>
      <c r="E9" s="548">
        <v>14626.801401119226</v>
      </c>
      <c r="F9" s="548">
        <v>16105.036775848204</v>
      </c>
      <c r="G9" s="548">
        <v>18353.486225350098</v>
      </c>
      <c r="H9" s="548">
        <v>19054.805547403055</v>
      </c>
      <c r="I9" s="548">
        <v>19687.279591248742</v>
      </c>
      <c r="J9" s="548">
        <v>24541.415373003034</v>
      </c>
      <c r="K9" s="548">
        <v>24640.321938726942</v>
      </c>
      <c r="L9" s="548">
        <v>25646.986277549691</v>
      </c>
      <c r="M9" s="548">
        <v>28780.80312271</v>
      </c>
      <c r="N9" s="548">
        <v>35244.723071346627</v>
      </c>
      <c r="O9" s="548">
        <v>39414.923616749802</v>
      </c>
      <c r="P9" s="548">
        <v>41703.871119329793</v>
      </c>
      <c r="Q9" s="548">
        <v>46032.842399068708</v>
      </c>
      <c r="R9" s="548">
        <v>52426.740963915247</v>
      </c>
      <c r="S9" s="548">
        <v>61250.547017998251</v>
      </c>
      <c r="T9" s="548">
        <v>77917.033418106948</v>
      </c>
      <c r="U9" s="548">
        <v>98562.075496192454</v>
      </c>
      <c r="V9" s="548">
        <v>113211.55638725788</v>
      </c>
      <c r="W9" s="548">
        <v>133405.14741463028</v>
      </c>
      <c r="X9" s="548">
        <v>132871.20197506272</v>
      </c>
      <c r="Y9" s="548">
        <v>170563.62846260791</v>
      </c>
      <c r="Z9" s="548">
        <v>255595.39287919775</v>
      </c>
      <c r="AA9" s="548">
        <v>300146.61085920403</v>
      </c>
      <c r="AB9" s="548">
        <v>377483.71319970279</v>
      </c>
      <c r="AC9" s="548">
        <v>531929.39927766658</v>
      </c>
      <c r="AD9" s="548">
        <v>671457.09968459466</v>
      </c>
      <c r="AE9" s="548">
        <v>814461.94535642641</v>
      </c>
      <c r="AF9" s="548">
        <v>894013.59096332476</v>
      </c>
      <c r="AG9" s="548">
        <v>934832.42962556623</v>
      </c>
      <c r="AH9" s="548">
        <v>1098204.6756309271</v>
      </c>
      <c r="AI9" s="548">
        <v>1308148.8370770596</v>
      </c>
      <c r="AJ9" s="548">
        <v>1811715.8243995223</v>
      </c>
      <c r="AK9" s="548">
        <v>2284026.7973634629</v>
      </c>
      <c r="AL9" s="548">
        <v>2561932.5051318775</v>
      </c>
      <c r="AM9" s="548">
        <v>3128130.8644870617</v>
      </c>
      <c r="AN9" s="548">
        <v>3180074.384213354</v>
      </c>
      <c r="AO9" s="548">
        <v>3558519.6346845767</v>
      </c>
      <c r="AP9" s="548">
        <v>3274047.8949193363</v>
      </c>
      <c r="AQ9" s="548">
        <v>3682970.100990382</v>
      </c>
      <c r="AR9" s="58">
        <v>3905006.1600086121</v>
      </c>
    </row>
    <row r="10" spans="1:45" ht="13">
      <c r="A10" s="327" t="s">
        <v>994</v>
      </c>
      <c r="B10" s="548">
        <v>10210.703282084347</v>
      </c>
      <c r="C10" s="548">
        <v>10439.864096470214</v>
      </c>
      <c r="D10" s="548">
        <v>11625.569525681787</v>
      </c>
      <c r="E10" s="548">
        <v>13534.330053803418</v>
      </c>
      <c r="F10" s="548">
        <v>15188.191442403928</v>
      </c>
      <c r="G10" s="548">
        <v>17111.626343833843</v>
      </c>
      <c r="H10" s="548">
        <v>18347.582855369634</v>
      </c>
      <c r="I10" s="548">
        <v>18997.394893697092</v>
      </c>
      <c r="J10" s="548">
        <v>23097.013141667583</v>
      </c>
      <c r="K10" s="548">
        <v>24217.019136411804</v>
      </c>
      <c r="L10" s="548">
        <v>23232.961247875042</v>
      </c>
      <c r="M10" s="548">
        <v>26048.355201370126</v>
      </c>
      <c r="N10" s="548">
        <v>29920.521799437614</v>
      </c>
      <c r="O10" s="548">
        <v>36936.463385341332</v>
      </c>
      <c r="P10" s="548">
        <v>40121.657514884748</v>
      </c>
      <c r="Q10" s="548">
        <v>42279.109235676704</v>
      </c>
      <c r="R10" s="548">
        <v>48428.339458981296</v>
      </c>
      <c r="S10" s="548">
        <v>53595.451380007908</v>
      </c>
      <c r="T10" s="548">
        <v>68729.28170470841</v>
      </c>
      <c r="U10" s="548">
        <v>86451.476528553336</v>
      </c>
      <c r="V10" s="548">
        <v>105751.41263244288</v>
      </c>
      <c r="W10" s="548">
        <v>139188.98933902587</v>
      </c>
      <c r="X10" s="548">
        <v>133233.39526041306</v>
      </c>
      <c r="Y10" s="548">
        <v>148355.67942644871</v>
      </c>
      <c r="Z10" s="548">
        <v>227764.96736387751</v>
      </c>
      <c r="AA10" s="548">
        <v>263379.76483858121</v>
      </c>
      <c r="AB10" s="548">
        <v>376798.89510938997</v>
      </c>
      <c r="AC10" s="548">
        <v>440866.43197398685</v>
      </c>
      <c r="AD10" s="548">
        <v>604268.78966629738</v>
      </c>
      <c r="AE10" s="548">
        <v>720263.52273985802</v>
      </c>
      <c r="AF10" s="548">
        <v>871830.33194629685</v>
      </c>
      <c r="AG10" s="548">
        <v>941631.59958664188</v>
      </c>
      <c r="AH10" s="548">
        <v>1085204.9311897603</v>
      </c>
      <c r="AI10" s="548">
        <v>1281691.0128636707</v>
      </c>
      <c r="AJ10" s="548">
        <v>1698758.7739841333</v>
      </c>
      <c r="AK10" s="548">
        <v>2168654.0766053633</v>
      </c>
      <c r="AL10" s="548">
        <v>2491780.1165178623</v>
      </c>
      <c r="AM10" s="548">
        <v>2872625.2553395205</v>
      </c>
      <c r="AN10" s="548">
        <v>3216457.5644673272</v>
      </c>
      <c r="AO10" s="548">
        <v>3594750.6799030486</v>
      </c>
      <c r="AP10" s="548">
        <v>3392877.6098736026</v>
      </c>
      <c r="AQ10" s="548">
        <v>3532686.737852145</v>
      </c>
      <c r="AR10" s="58">
        <v>3803093.5586833782</v>
      </c>
    </row>
    <row r="11" spans="1:45" ht="13">
      <c r="A11" s="327" t="s">
        <v>995</v>
      </c>
      <c r="B11" s="548">
        <v>566.32388305260292</v>
      </c>
      <c r="C11" s="548">
        <v>767.67644857220057</v>
      </c>
      <c r="D11" s="548">
        <v>77.982918474544022</v>
      </c>
      <c r="E11" s="548">
        <v>1092.4713473158081</v>
      </c>
      <c r="F11" s="548">
        <v>916.84533344427655</v>
      </c>
      <c r="G11" s="548">
        <v>1241.8598815162568</v>
      </c>
      <c r="H11" s="548">
        <v>707.22269203342239</v>
      </c>
      <c r="I11" s="548">
        <v>689.88469755164988</v>
      </c>
      <c r="J11" s="548">
        <v>1444.4022313354508</v>
      </c>
      <c r="K11" s="548">
        <v>423.30280231513825</v>
      </c>
      <c r="L11" s="548">
        <v>2414.0250296746499</v>
      </c>
      <c r="M11" s="548">
        <v>2732.4479213398736</v>
      </c>
      <c r="N11" s="548">
        <v>5324.2012719090117</v>
      </c>
      <c r="O11" s="548">
        <v>2478.4602314084677</v>
      </c>
      <c r="P11" s="548">
        <v>1582.213604445049</v>
      </c>
      <c r="Q11" s="548">
        <v>3753.7331633920021</v>
      </c>
      <c r="R11" s="548">
        <v>3998.4015049339487</v>
      </c>
      <c r="S11" s="548">
        <v>7655.0956379903473</v>
      </c>
      <c r="T11" s="548">
        <v>9187.751713398533</v>
      </c>
      <c r="U11" s="548">
        <v>12110.598967639115</v>
      </c>
      <c r="V11" s="548">
        <v>7460.1437548150025</v>
      </c>
      <c r="W11" s="548">
        <v>-5783.8419243955868</v>
      </c>
      <c r="X11" s="548">
        <v>-362.19328535034583</v>
      </c>
      <c r="Y11" s="548">
        <v>22207.949036159203</v>
      </c>
      <c r="Z11" s="548">
        <v>27830.425515320239</v>
      </c>
      <c r="AA11" s="548">
        <v>36766.846020622805</v>
      </c>
      <c r="AB11" s="548">
        <v>684.81809031282319</v>
      </c>
      <c r="AC11" s="548">
        <v>91062.967303679674</v>
      </c>
      <c r="AD11" s="548">
        <v>67188.310018297343</v>
      </c>
      <c r="AE11" s="548">
        <v>94198.422616568394</v>
      </c>
      <c r="AF11" s="548">
        <v>22183.259017027915</v>
      </c>
      <c r="AG11" s="548">
        <v>-6799.1699610756477</v>
      </c>
      <c r="AH11" s="548">
        <v>12999.744441166869</v>
      </c>
      <c r="AI11" s="548">
        <v>26457.824213388783</v>
      </c>
      <c r="AJ11" s="548">
        <v>112957.05041538901</v>
      </c>
      <c r="AK11" s="548">
        <v>115372.72075809981</v>
      </c>
      <c r="AL11" s="548">
        <v>70152.388614015072</v>
      </c>
      <c r="AM11" s="548">
        <v>255505.60914754122</v>
      </c>
      <c r="AN11" s="548">
        <v>-36383.180253973231</v>
      </c>
      <c r="AO11" s="548">
        <v>-36231.045218471671</v>
      </c>
      <c r="AP11" s="548">
        <v>-118829.71495426632</v>
      </c>
      <c r="AQ11" s="548">
        <v>150283.36313823704</v>
      </c>
      <c r="AR11" s="58">
        <v>101912.6013252339</v>
      </c>
    </row>
    <row r="12" spans="1:45" ht="13">
      <c r="A12" s="327" t="s">
        <v>996</v>
      </c>
      <c r="B12" s="548">
        <v>8279.8242098710725</v>
      </c>
      <c r="C12" s="548">
        <v>9468.38441786982</v>
      </c>
      <c r="D12" s="548">
        <v>10477.402459687508</v>
      </c>
      <c r="E12" s="548">
        <v>11612.838829101433</v>
      </c>
      <c r="F12" s="548">
        <v>11690.83027379013</v>
      </c>
      <c r="G12" s="548">
        <v>12615.384510737778</v>
      </c>
      <c r="H12" s="548">
        <v>11824.911218759658</v>
      </c>
      <c r="I12" s="548">
        <v>13540.146005414586</v>
      </c>
      <c r="J12" s="548">
        <v>13775.811088506936</v>
      </c>
      <c r="K12" s="548">
        <v>16419.641038529295</v>
      </c>
      <c r="L12" s="548">
        <v>17382.681463403533</v>
      </c>
      <c r="M12" s="548">
        <v>21308.546295727974</v>
      </c>
      <c r="N12" s="548">
        <v>23977.510603899984</v>
      </c>
      <c r="O12" s="548">
        <v>25328.590234152274</v>
      </c>
      <c r="P12" s="548">
        <v>28500.171259633185</v>
      </c>
      <c r="Q12" s="548">
        <v>30785.41295216748</v>
      </c>
      <c r="R12" s="548">
        <v>35270.690934001483</v>
      </c>
      <c r="S12" s="548">
        <v>38823.812403655313</v>
      </c>
      <c r="T12" s="548">
        <v>44120.843406835993</v>
      </c>
      <c r="U12" s="548">
        <v>51667.58183712553</v>
      </c>
      <c r="V12" s="548">
        <v>64213.37892354354</v>
      </c>
      <c r="W12" s="548">
        <v>80955.58527578981</v>
      </c>
      <c r="X12" s="548">
        <v>70385.553367590706</v>
      </c>
      <c r="Y12" s="548">
        <v>75149.402015855812</v>
      </c>
      <c r="Z12" s="548">
        <v>104519.05813785113</v>
      </c>
      <c r="AA12" s="548">
        <v>139749.92655524483</v>
      </c>
      <c r="AB12" s="548">
        <v>227654.24761522649</v>
      </c>
      <c r="AC12" s="548">
        <v>308793.55729533843</v>
      </c>
      <c r="AD12" s="548">
        <v>350584.58495292545</v>
      </c>
      <c r="AE12" s="548">
        <v>430633.60291759612</v>
      </c>
      <c r="AF12" s="548">
        <v>647153.53918605577</v>
      </c>
      <c r="AG12" s="548">
        <v>943477.07219950145</v>
      </c>
      <c r="AH12" s="548">
        <v>1191751.7993586923</v>
      </c>
      <c r="AI12" s="548">
        <v>1338967.0711118188</v>
      </c>
      <c r="AJ12" s="548">
        <v>1610522.9918966303</v>
      </c>
      <c r="AK12" s="548">
        <v>1919189.2958937762</v>
      </c>
      <c r="AL12" s="548">
        <v>2432661.6609583208</v>
      </c>
      <c r="AM12" s="548">
        <v>2857864.8245959696</v>
      </c>
      <c r="AN12" s="548">
        <v>2903564.8700441895</v>
      </c>
      <c r="AO12" s="548">
        <v>3003456.3585886201</v>
      </c>
      <c r="AP12" s="548">
        <v>3094288.2022293</v>
      </c>
      <c r="AQ12" s="548">
        <v>3577844.0317270141</v>
      </c>
      <c r="AR12" s="58">
        <v>4214307.5195078077</v>
      </c>
    </row>
    <row r="13" spans="1:45" ht="13">
      <c r="A13" s="327" t="s">
        <v>997</v>
      </c>
      <c r="B13" s="548">
        <v>6386</v>
      </c>
      <c r="C13" s="548">
        <v>7401</v>
      </c>
      <c r="D13" s="548">
        <v>8270</v>
      </c>
      <c r="E13" s="548">
        <v>8729</v>
      </c>
      <c r="F13" s="548">
        <v>8401</v>
      </c>
      <c r="G13" s="548">
        <v>8412</v>
      </c>
      <c r="H13" s="548">
        <v>8467</v>
      </c>
      <c r="I13" s="548">
        <v>9525</v>
      </c>
      <c r="J13" s="548">
        <v>9492</v>
      </c>
      <c r="K13" s="548">
        <v>10830</v>
      </c>
      <c r="L13" s="548">
        <v>12203</v>
      </c>
      <c r="M13" s="548">
        <v>15008</v>
      </c>
      <c r="N13" s="548">
        <v>16739</v>
      </c>
      <c r="O13" s="548">
        <v>18034</v>
      </c>
      <c r="P13" s="548">
        <v>20319</v>
      </c>
      <c r="Q13" s="548">
        <v>22142</v>
      </c>
      <c r="R13" s="548">
        <v>24975</v>
      </c>
      <c r="S13" s="548">
        <v>27463</v>
      </c>
      <c r="T13" s="548">
        <v>30296</v>
      </c>
      <c r="U13" s="548">
        <v>35304</v>
      </c>
      <c r="V13" s="548">
        <v>45475</v>
      </c>
      <c r="W13" s="548">
        <v>58082</v>
      </c>
      <c r="X13" s="548">
        <v>49449</v>
      </c>
      <c r="Y13" s="548">
        <v>55122</v>
      </c>
      <c r="Z13" s="548">
        <v>77927</v>
      </c>
      <c r="AA13" s="548">
        <v>106762</v>
      </c>
      <c r="AB13" s="548">
        <v>176833</v>
      </c>
      <c r="AC13" s="548">
        <v>233141</v>
      </c>
      <c r="AD13" s="548">
        <v>257550</v>
      </c>
      <c r="AE13" s="548">
        <v>333878</v>
      </c>
      <c r="AF13" s="548">
        <v>513988</v>
      </c>
      <c r="AG13" s="548">
        <v>767932</v>
      </c>
      <c r="AH13" s="548">
        <v>977746</v>
      </c>
      <c r="AI13" s="548">
        <v>1085796</v>
      </c>
      <c r="AJ13" s="548">
        <v>1313719</v>
      </c>
      <c r="AK13" s="548">
        <v>1585997</v>
      </c>
      <c r="AL13" s="548">
        <v>2021592</v>
      </c>
      <c r="AM13" s="548">
        <v>2340480</v>
      </c>
      <c r="AN13" s="548">
        <v>2361525</v>
      </c>
      <c r="AO13" s="548">
        <v>2482563</v>
      </c>
      <c r="AP13" s="548">
        <v>2557314</v>
      </c>
      <c r="AQ13" s="548">
        <v>3083930</v>
      </c>
      <c r="AR13" s="58">
        <v>3629407</v>
      </c>
    </row>
    <row r="14" spans="1:45" ht="13">
      <c r="A14" s="327" t="s">
        <v>655</v>
      </c>
      <c r="B14" s="548">
        <v>1893.8242098710721</v>
      </c>
      <c r="C14" s="548">
        <v>2067.3844178698196</v>
      </c>
      <c r="D14" s="548">
        <v>2207.4024596875083</v>
      </c>
      <c r="E14" s="548">
        <v>2883.8388291014326</v>
      </c>
      <c r="F14" s="548">
        <v>3289.8302737901308</v>
      </c>
      <c r="G14" s="548">
        <v>4203.3845107377783</v>
      </c>
      <c r="H14" s="548">
        <v>3357.9112187596575</v>
      </c>
      <c r="I14" s="548">
        <v>4015.1460054145859</v>
      </c>
      <c r="J14" s="548">
        <v>4283.8110885069354</v>
      </c>
      <c r="K14" s="548">
        <v>5589.6410385292957</v>
      </c>
      <c r="L14" s="548">
        <v>5179.6814634035309</v>
      </c>
      <c r="M14" s="548">
        <v>6300.5462957279742</v>
      </c>
      <c r="N14" s="548">
        <v>7238.5106038999847</v>
      </c>
      <c r="O14" s="548">
        <v>7294.590234152276</v>
      </c>
      <c r="P14" s="548">
        <v>8181.1712596331863</v>
      </c>
      <c r="Q14" s="548">
        <v>8643.4129521674804</v>
      </c>
      <c r="R14" s="548">
        <v>10295.690934001479</v>
      </c>
      <c r="S14" s="548">
        <v>11360.812403655311</v>
      </c>
      <c r="T14" s="548">
        <v>13824.843406835991</v>
      </c>
      <c r="U14" s="548">
        <v>16363.581837125532</v>
      </c>
      <c r="V14" s="548">
        <v>18738.37892354354</v>
      </c>
      <c r="W14" s="548">
        <v>22873.585275789806</v>
      </c>
      <c r="X14" s="548">
        <v>20936.553367590699</v>
      </c>
      <c r="Y14" s="548">
        <v>20027.402015855812</v>
      </c>
      <c r="Z14" s="548">
        <v>26592.058137851127</v>
      </c>
      <c r="AA14" s="548">
        <v>32987.926555244841</v>
      </c>
      <c r="AB14" s="548">
        <v>50821.247615226494</v>
      </c>
      <c r="AC14" s="548">
        <v>75652.557295338425</v>
      </c>
      <c r="AD14" s="548">
        <v>93034.584952925477</v>
      </c>
      <c r="AE14" s="548">
        <v>96755.602917596101</v>
      </c>
      <c r="AF14" s="548">
        <v>133165.53918605583</v>
      </c>
      <c r="AG14" s="548">
        <v>175545.07219950142</v>
      </c>
      <c r="AH14" s="548">
        <v>214005.79935869228</v>
      </c>
      <c r="AI14" s="548">
        <v>253171.07111181878</v>
      </c>
      <c r="AJ14" s="548">
        <v>296803.99189663038</v>
      </c>
      <c r="AK14" s="548">
        <v>333192.29589377611</v>
      </c>
      <c r="AL14" s="548">
        <v>411069.6609583206</v>
      </c>
      <c r="AM14" s="548">
        <v>517384.82459596969</v>
      </c>
      <c r="AN14" s="548">
        <v>542039.87004418951</v>
      </c>
      <c r="AO14" s="548">
        <v>520893.35858862009</v>
      </c>
      <c r="AP14" s="548">
        <v>536974.20222930005</v>
      </c>
      <c r="AQ14" s="548">
        <v>493914.03172701359</v>
      </c>
      <c r="AR14" s="58">
        <v>584900.51950780803</v>
      </c>
      <c r="AS14" s="542"/>
    </row>
    <row r="15" spans="1:45" ht="13">
      <c r="A15" s="327" t="s">
        <v>998</v>
      </c>
      <c r="B15" s="548">
        <v>11531.779943766494</v>
      </c>
      <c r="C15" s="548">
        <v>12418.137149443239</v>
      </c>
      <c r="D15" s="548">
        <v>13899.907610953635</v>
      </c>
      <c r="E15" s="548">
        <v>15079.123391296413</v>
      </c>
      <c r="F15" s="548">
        <v>16907.863029979464</v>
      </c>
      <c r="G15" s="548">
        <v>16626.755399387384</v>
      </c>
      <c r="H15" s="548">
        <v>16383.975341831439</v>
      </c>
      <c r="I15" s="548">
        <v>18961.898467103732</v>
      </c>
      <c r="J15" s="548">
        <v>24808.854385619543</v>
      </c>
      <c r="K15" s="548">
        <v>22307.849850002694</v>
      </c>
      <c r="L15" s="548">
        <v>24465.826256565088</v>
      </c>
      <c r="M15" s="548">
        <v>28983.270182100168</v>
      </c>
      <c r="N15" s="548">
        <v>33933.843784405821</v>
      </c>
      <c r="O15" s="548">
        <v>37212.889568057639</v>
      </c>
      <c r="P15" s="548">
        <v>40382.752657269702</v>
      </c>
      <c r="Q15" s="548">
        <v>45641.847221135686</v>
      </c>
      <c r="R15" s="548">
        <v>47985.967211133757</v>
      </c>
      <c r="S15" s="548">
        <v>57451.910229053683</v>
      </c>
      <c r="T15" s="548">
        <v>66867.917427823078</v>
      </c>
      <c r="U15" s="548">
        <v>75710.158940860245</v>
      </c>
      <c r="V15" s="548">
        <v>94667.136637671516</v>
      </c>
      <c r="W15" s="548">
        <v>142095.96804131634</v>
      </c>
      <c r="X15" s="548">
        <v>122182.93644557105</v>
      </c>
      <c r="Y15" s="548">
        <v>147043.23147750628</v>
      </c>
      <c r="Z15" s="548">
        <v>210887.49866678714</v>
      </c>
      <c r="AA15" s="548">
        <v>255884.18268451997</v>
      </c>
      <c r="AB15" s="548">
        <v>369523.51908936317</v>
      </c>
      <c r="AC15" s="548">
        <v>549959.93843690562</v>
      </c>
      <c r="AD15" s="548">
        <v>715558.5849287312</v>
      </c>
      <c r="AE15" s="548">
        <v>869067.77254317701</v>
      </c>
      <c r="AF15" s="548">
        <v>1028395.1327311487</v>
      </c>
      <c r="AG15" s="548">
        <v>1320221.7544978498</v>
      </c>
      <c r="AH15" s="548">
        <v>1521154.6048635927</v>
      </c>
      <c r="AI15" s="548">
        <v>1643819.7336783984</v>
      </c>
      <c r="AJ15" s="548">
        <v>2218333.6054288493</v>
      </c>
      <c r="AK15" s="548">
        <v>2886967.6217219727</v>
      </c>
      <c r="AL15" s="548">
        <v>3386041.2943443283</v>
      </c>
      <c r="AM15" s="548">
        <v>4028842.4592941757</v>
      </c>
      <c r="AN15" s="548">
        <v>4352754.1272232765</v>
      </c>
      <c r="AO15" s="548">
        <v>4576096.9461223278</v>
      </c>
      <c r="AP15" s="548">
        <v>4522828.9000000004</v>
      </c>
      <c r="AQ15" s="548">
        <v>5150293.8</v>
      </c>
      <c r="AR15" s="58">
        <v>5724651.5</v>
      </c>
    </row>
    <row r="16" spans="1:45" ht="13">
      <c r="A16" s="327" t="s">
        <v>997</v>
      </c>
      <c r="B16" s="548">
        <v>9761</v>
      </c>
      <c r="C16" s="548">
        <v>10335</v>
      </c>
      <c r="D16" s="548">
        <v>11712</v>
      </c>
      <c r="E16" s="548">
        <v>12993</v>
      </c>
      <c r="F16" s="548">
        <v>14694</v>
      </c>
      <c r="G16" s="548">
        <v>14085</v>
      </c>
      <c r="H16" s="548">
        <v>13965</v>
      </c>
      <c r="I16" s="548">
        <v>15969</v>
      </c>
      <c r="J16" s="548">
        <v>19430</v>
      </c>
      <c r="K16" s="548">
        <v>17122</v>
      </c>
      <c r="L16" s="548">
        <v>19143</v>
      </c>
      <c r="M16" s="548">
        <v>22691</v>
      </c>
      <c r="N16" s="548">
        <v>26997</v>
      </c>
      <c r="O16" s="548">
        <v>30220</v>
      </c>
      <c r="P16" s="548">
        <v>32012</v>
      </c>
      <c r="Q16" s="548">
        <v>35862</v>
      </c>
      <c r="R16" s="548">
        <v>38957</v>
      </c>
      <c r="S16" s="548">
        <v>46472</v>
      </c>
      <c r="T16" s="548">
        <v>54439</v>
      </c>
      <c r="U16" s="548">
        <v>62195</v>
      </c>
      <c r="V16" s="548">
        <v>76003</v>
      </c>
      <c r="W16" s="548">
        <v>120379</v>
      </c>
      <c r="X16" s="548">
        <v>102032</v>
      </c>
      <c r="Y16" s="548">
        <v>133779</v>
      </c>
      <c r="Z16" s="548">
        <v>192615</v>
      </c>
      <c r="AA16" s="548">
        <v>232854</v>
      </c>
      <c r="AB16" s="548">
        <v>335995</v>
      </c>
      <c r="AC16" s="548">
        <v>487242</v>
      </c>
      <c r="AD16" s="548">
        <v>630474</v>
      </c>
      <c r="AE16" s="548">
        <v>779668</v>
      </c>
      <c r="AF16" s="548">
        <v>922932</v>
      </c>
      <c r="AG16" s="548">
        <v>1182838</v>
      </c>
      <c r="AH16" s="548">
        <v>1355907</v>
      </c>
      <c r="AI16" s="548">
        <v>1472597</v>
      </c>
      <c r="AJ16" s="548">
        <v>2000392</v>
      </c>
      <c r="AK16" s="548">
        <v>2612766</v>
      </c>
      <c r="AL16" s="548">
        <v>3065169</v>
      </c>
      <c r="AM16" s="548">
        <v>3640008</v>
      </c>
      <c r="AN16" s="548">
        <v>3919553</v>
      </c>
      <c r="AO16" s="548">
        <v>4130244</v>
      </c>
      <c r="AP16" s="548">
        <v>4031566</v>
      </c>
      <c r="AQ16" s="548">
        <v>4685131</v>
      </c>
      <c r="AR16" s="58">
        <v>5215609</v>
      </c>
    </row>
    <row r="17" spans="1:44" ht="13">
      <c r="A17" s="327" t="s">
        <v>655</v>
      </c>
      <c r="B17" s="548">
        <v>1770.7799437664935</v>
      </c>
      <c r="C17" s="548">
        <v>2083.1371494432397</v>
      </c>
      <c r="D17" s="548">
        <v>2187.9076109536345</v>
      </c>
      <c r="E17" s="548">
        <v>2086.123391296413</v>
      </c>
      <c r="F17" s="548">
        <v>2213.863029979465</v>
      </c>
      <c r="G17" s="548">
        <v>2541.7553993873844</v>
      </c>
      <c r="H17" s="548">
        <v>2418.9753418314385</v>
      </c>
      <c r="I17" s="548">
        <v>2992.8984671037342</v>
      </c>
      <c r="J17" s="548">
        <v>5378.854385619542</v>
      </c>
      <c r="K17" s="548">
        <v>5185.8498500026944</v>
      </c>
      <c r="L17" s="548">
        <v>5322.8262565650894</v>
      </c>
      <c r="M17" s="548">
        <v>6292.2701821001701</v>
      </c>
      <c r="N17" s="548">
        <v>6936.843784405819</v>
      </c>
      <c r="O17" s="548">
        <v>6992.8895680576388</v>
      </c>
      <c r="P17" s="548">
        <v>8370.7526572697006</v>
      </c>
      <c r="Q17" s="548">
        <v>9779.847221135682</v>
      </c>
      <c r="R17" s="548">
        <v>9028.9672111337586</v>
      </c>
      <c r="S17" s="548">
        <v>10979.910229053679</v>
      </c>
      <c r="T17" s="548">
        <v>12428.917427823077</v>
      </c>
      <c r="U17" s="548">
        <v>13515.158940860239</v>
      </c>
      <c r="V17" s="548">
        <v>18664.13663767152</v>
      </c>
      <c r="W17" s="548">
        <v>21716.968041316337</v>
      </c>
      <c r="X17" s="548">
        <v>20150.936445571049</v>
      </c>
      <c r="Y17" s="548">
        <v>13264.231477506288</v>
      </c>
      <c r="Z17" s="548">
        <v>18272.498666787145</v>
      </c>
      <c r="AA17" s="548">
        <v>23030.182684519954</v>
      </c>
      <c r="AB17" s="548">
        <v>33528.519089363188</v>
      </c>
      <c r="AC17" s="548">
        <v>62717.938436905613</v>
      </c>
      <c r="AD17" s="548">
        <v>85084.584928731216</v>
      </c>
      <c r="AE17" s="548">
        <v>89399.772543177038</v>
      </c>
      <c r="AF17" s="548">
        <v>105463.13273114868</v>
      </c>
      <c r="AG17" s="548">
        <v>137383.75449784985</v>
      </c>
      <c r="AH17" s="548">
        <v>165247.60486359266</v>
      </c>
      <c r="AI17" s="548">
        <v>171222.73367839842</v>
      </c>
      <c r="AJ17" s="548">
        <v>217941.60542884946</v>
      </c>
      <c r="AK17" s="548">
        <v>274201.62172197248</v>
      </c>
      <c r="AL17" s="548">
        <v>320872.29434432829</v>
      </c>
      <c r="AM17" s="548">
        <v>388834.45929417596</v>
      </c>
      <c r="AN17" s="548">
        <v>433201.12722327659</v>
      </c>
      <c r="AO17" s="548">
        <v>445852.94612232747</v>
      </c>
      <c r="AP17" s="548">
        <v>491262.9</v>
      </c>
      <c r="AQ17" s="548">
        <v>465162.8</v>
      </c>
      <c r="AR17" s="58">
        <v>509042.5</v>
      </c>
    </row>
    <row r="18" spans="1:44" ht="13">
      <c r="A18" s="32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8"/>
      <c r="Q18" s="548"/>
      <c r="R18" s="548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8"/>
      <c r="AH18" s="548"/>
      <c r="AI18" s="548"/>
      <c r="AJ18" s="548"/>
      <c r="AK18" s="548"/>
      <c r="AL18" s="548"/>
      <c r="AM18" s="548"/>
      <c r="AN18" s="548"/>
      <c r="AO18" s="548"/>
      <c r="AP18" s="548"/>
      <c r="AQ18" s="548"/>
      <c r="AR18" s="58"/>
    </row>
    <row r="19" spans="1:44" ht="13.5" thickBot="1">
      <c r="A19" s="334" t="s">
        <v>999</v>
      </c>
      <c r="B19" s="549">
        <v>58993.398626810624</v>
      </c>
      <c r="C19" s="549">
        <v>62563.608579134467</v>
      </c>
      <c r="D19" s="549">
        <v>65446.507467572337</v>
      </c>
      <c r="E19" s="549">
        <v>69942.604601531028</v>
      </c>
      <c r="F19" s="549">
        <v>74250.419358294719</v>
      </c>
      <c r="G19" s="549">
        <v>79190.669359379215</v>
      </c>
      <c r="H19" s="549">
        <v>84042.146338851016</v>
      </c>
      <c r="I19" s="549">
        <v>88993.664303087397</v>
      </c>
      <c r="J19" s="549">
        <v>92647.896983089056</v>
      </c>
      <c r="K19" s="549">
        <v>103986.80660211871</v>
      </c>
      <c r="L19" s="549">
        <v>107437.72132794611</v>
      </c>
      <c r="M19" s="549">
        <v>116626.07921589019</v>
      </c>
      <c r="N19" s="549">
        <v>135681.49112988732</v>
      </c>
      <c r="O19" s="549">
        <v>144812.19527309542</v>
      </c>
      <c r="P19" s="549">
        <v>162217.14928767204</v>
      </c>
      <c r="Q19" s="549">
        <v>175431.70611780885</v>
      </c>
      <c r="R19" s="549">
        <v>188228.51242973277</v>
      </c>
      <c r="S19" s="549">
        <v>212358.23615200794</v>
      </c>
      <c r="T19" s="549">
        <v>245768.14789879351</v>
      </c>
      <c r="U19" s="549">
        <v>289954.50569970679</v>
      </c>
      <c r="V19" s="549">
        <v>342816.70708007074</v>
      </c>
      <c r="W19" s="549">
        <v>405744.44489822793</v>
      </c>
      <c r="X19" s="549">
        <v>469776.41064839205</v>
      </c>
      <c r="Y19" s="549">
        <v>561947.34305760125</v>
      </c>
      <c r="Z19" s="549">
        <v>722256.72069182328</v>
      </c>
      <c r="AA19" s="549">
        <v>893364.46234710026</v>
      </c>
      <c r="AB19" s="549">
        <v>1135904.6452832129</v>
      </c>
      <c r="AC19" s="549">
        <v>1476316.0220610374</v>
      </c>
      <c r="AD19" s="549">
        <v>1773725.5304175268</v>
      </c>
      <c r="AE19" s="549">
        <v>2144820.2210687511</v>
      </c>
      <c r="AF19" s="549">
        <v>2740339.0683234595</v>
      </c>
      <c r="AG19" s="549">
        <v>3365098.8226337382</v>
      </c>
      <c r="AH19" s="549">
        <v>4131014.1005697744</v>
      </c>
      <c r="AI19" s="549">
        <v>5048500.8928262172</v>
      </c>
      <c r="AJ19" s="549">
        <v>5948431.8563985638</v>
      </c>
      <c r="AK19" s="549">
        <v>7100356.7604132472</v>
      </c>
      <c r="AL19" s="549">
        <v>8388429.156285204</v>
      </c>
      <c r="AM19" s="549">
        <v>10072063.078730159</v>
      </c>
      <c r="AN19" s="549">
        <v>11549381.274146419</v>
      </c>
      <c r="AO19" s="549">
        <v>12984390.12513257</v>
      </c>
      <c r="AP19" s="549">
        <v>13579306.089683173</v>
      </c>
      <c r="AQ19" s="549">
        <v>14722963.594259273</v>
      </c>
      <c r="AR19" s="394">
        <v>15912872.866886251</v>
      </c>
    </row>
    <row r="20" spans="1:44">
      <c r="B20" s="542"/>
      <c r="C20" s="542"/>
      <c r="D20" s="542"/>
      <c r="E20" s="542"/>
      <c r="F20" s="542"/>
      <c r="G20" s="542"/>
      <c r="H20" s="542"/>
      <c r="I20" s="542"/>
      <c r="J20" s="542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  <c r="Y20" s="542"/>
      <c r="Z20" s="542"/>
      <c r="AA20" s="542"/>
      <c r="AB20" s="542"/>
      <c r="AC20" s="542"/>
      <c r="AD20" s="542"/>
      <c r="AE20" s="542"/>
      <c r="AF20" s="542"/>
      <c r="AG20" s="542"/>
      <c r="AH20" s="542"/>
      <c r="AI20" s="542"/>
      <c r="AJ20" s="542"/>
      <c r="AK20" s="542"/>
      <c r="AL20" s="542"/>
      <c r="AM20" s="542"/>
      <c r="AN20" s="542"/>
      <c r="AO20" s="542"/>
      <c r="AP20" s="542"/>
      <c r="AQ20" s="542"/>
      <c r="AR20" s="542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2" fitToWidth="3" orientation="landscape" horizontalDpi="4294967292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3DE9-8406-4FC0-B202-9B599AC3E38F}">
  <dimension ref="A1:AR21"/>
  <sheetViews>
    <sheetView showGridLines="0" workbookViewId="0">
      <selection activeCell="F13" sqref="F13"/>
    </sheetView>
  </sheetViews>
  <sheetFormatPr defaultRowHeight="12.5"/>
  <cols>
    <col min="1" max="16384" width="8.7265625" style="485"/>
  </cols>
  <sheetData>
    <row r="1" spans="1:44" ht="13">
      <c r="A1" s="322" t="s">
        <v>990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0"/>
      <c r="T1" s="550"/>
      <c r="U1" s="550"/>
      <c r="V1" s="550"/>
      <c r="W1" s="550"/>
      <c r="X1" s="550"/>
      <c r="Y1" s="550"/>
      <c r="Z1" s="550"/>
      <c r="AA1" s="550"/>
      <c r="AB1" s="550"/>
      <c r="AC1" s="550"/>
      <c r="AD1" s="550"/>
      <c r="AE1" s="550"/>
      <c r="AF1" s="550"/>
      <c r="AG1" s="550"/>
      <c r="AH1" s="550"/>
      <c r="AI1" s="550"/>
      <c r="AJ1" s="550"/>
      <c r="AK1" s="550"/>
      <c r="AL1" s="550"/>
      <c r="AM1" s="550"/>
      <c r="AN1" s="550"/>
      <c r="AO1" s="550"/>
      <c r="AP1" s="550"/>
    </row>
    <row r="2" spans="1:44" ht="13">
      <c r="A2" s="322" t="s">
        <v>1000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50"/>
      <c r="T2" s="550"/>
      <c r="U2" s="550"/>
      <c r="V2" s="550"/>
      <c r="W2" s="550"/>
      <c r="X2" s="550"/>
      <c r="Y2" s="550"/>
      <c r="Z2" s="550"/>
      <c r="AA2" s="550"/>
      <c r="AB2" s="550"/>
      <c r="AC2" s="550"/>
      <c r="AD2" s="550"/>
      <c r="AE2" s="550"/>
      <c r="AF2" s="550"/>
      <c r="AG2" s="550"/>
      <c r="AH2" s="550"/>
      <c r="AI2" s="550"/>
      <c r="AJ2" s="550"/>
      <c r="AK2" s="550"/>
      <c r="AL2" s="550"/>
      <c r="AM2" s="550"/>
      <c r="AN2" s="550"/>
      <c r="AO2" s="550"/>
      <c r="AP2" s="550"/>
    </row>
    <row r="3" spans="1:44" ht="13">
      <c r="A3" s="323" t="s">
        <v>931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</row>
    <row r="4" spans="1:44" ht="13.5" thickBot="1">
      <c r="A4" s="323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</row>
    <row r="5" spans="1:44" ht="13">
      <c r="A5" s="551"/>
      <c r="B5" s="552"/>
      <c r="C5" s="543">
        <v>1954</v>
      </c>
      <c r="D5" s="543">
        <v>1955</v>
      </c>
      <c r="E5" s="543">
        <v>1956</v>
      </c>
      <c r="F5" s="543">
        <v>1957</v>
      </c>
      <c r="G5" s="543">
        <v>1958</v>
      </c>
      <c r="H5" s="543">
        <v>1959</v>
      </c>
      <c r="I5" s="543">
        <v>1960</v>
      </c>
      <c r="J5" s="543">
        <v>1961</v>
      </c>
      <c r="K5" s="543">
        <v>1962</v>
      </c>
      <c r="L5" s="543">
        <v>1963</v>
      </c>
      <c r="M5" s="543">
        <v>1964</v>
      </c>
      <c r="N5" s="543">
        <v>1965</v>
      </c>
      <c r="O5" s="543">
        <v>1966</v>
      </c>
      <c r="P5" s="543">
        <v>1967</v>
      </c>
      <c r="Q5" s="543">
        <v>1968</v>
      </c>
      <c r="R5" s="543">
        <v>1969</v>
      </c>
      <c r="S5" s="543">
        <v>1970</v>
      </c>
      <c r="T5" s="543">
        <v>1971</v>
      </c>
      <c r="U5" s="543">
        <v>1972</v>
      </c>
      <c r="V5" s="543">
        <v>1973</v>
      </c>
      <c r="W5" s="543">
        <v>1974</v>
      </c>
      <c r="X5" s="543">
        <v>1975</v>
      </c>
      <c r="Y5" s="543">
        <v>1976</v>
      </c>
      <c r="Z5" s="543">
        <v>1977</v>
      </c>
      <c r="AA5" s="543">
        <v>1978</v>
      </c>
      <c r="AB5" s="543">
        <v>1979</v>
      </c>
      <c r="AC5" s="543">
        <v>1980</v>
      </c>
      <c r="AD5" s="543">
        <v>1981</v>
      </c>
      <c r="AE5" s="543">
        <v>1982</v>
      </c>
      <c r="AF5" s="543">
        <v>1983</v>
      </c>
      <c r="AG5" s="543">
        <v>1984</v>
      </c>
      <c r="AH5" s="543">
        <v>1985</v>
      </c>
      <c r="AI5" s="543">
        <v>1986</v>
      </c>
      <c r="AJ5" s="543">
        <v>1987</v>
      </c>
      <c r="AK5" s="543">
        <v>1988</v>
      </c>
      <c r="AL5" s="543">
        <v>1989</v>
      </c>
      <c r="AM5" s="543">
        <v>1990</v>
      </c>
      <c r="AN5" s="543">
        <v>1991</v>
      </c>
      <c r="AO5" s="543">
        <v>1992</v>
      </c>
      <c r="AP5" s="543">
        <v>1993</v>
      </c>
      <c r="AQ5" s="543">
        <v>1994</v>
      </c>
      <c r="AR5" s="342">
        <v>1995</v>
      </c>
    </row>
    <row r="6" spans="1:44" ht="13.5" thickBot="1">
      <c r="A6" s="508"/>
      <c r="B6" s="501"/>
      <c r="C6" s="545"/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  <c r="AG6" s="545"/>
      <c r="AH6" s="545"/>
      <c r="AI6" s="545"/>
      <c r="AJ6" s="545"/>
      <c r="AK6" s="545"/>
      <c r="AL6" s="545"/>
      <c r="AM6" s="545"/>
      <c r="AN6" s="545"/>
      <c r="AO6" s="545"/>
      <c r="AP6" s="545"/>
      <c r="AQ6" s="545"/>
      <c r="AR6" s="501"/>
    </row>
    <row r="7" spans="1:44" ht="13">
      <c r="A7" s="507" t="s">
        <v>991</v>
      </c>
      <c r="B7" s="496"/>
      <c r="C7" s="548">
        <v>48521.286130015273</v>
      </c>
      <c r="D7" s="548">
        <v>50578.377533435327</v>
      </c>
      <c r="E7" s="548">
        <v>51642.151774825019</v>
      </c>
      <c r="F7" s="548">
        <v>55832.166887153951</v>
      </c>
      <c r="G7" s="548">
        <v>58726.805089008209</v>
      </c>
      <c r="H7" s="548">
        <v>61236.418531308314</v>
      </c>
      <c r="I7" s="548">
        <v>65556.911733761794</v>
      </c>
      <c r="J7" s="548">
        <v>70346.400261546674</v>
      </c>
      <c r="K7" s="548">
        <v>72628.129976936179</v>
      </c>
      <c r="L7" s="548">
        <v>79205.929530807916</v>
      </c>
      <c r="M7" s="548">
        <v>80626.205909358629</v>
      </c>
      <c r="N7" s="548">
        <v>90889.328917423831</v>
      </c>
      <c r="O7" s="548">
        <v>100641.08942439246</v>
      </c>
      <c r="P7" s="548">
        <v>107495.16599807666</v>
      </c>
      <c r="Q7" s="548">
        <v>122269.94821229859</v>
      </c>
      <c r="R7" s="548">
        <v>121263.17754986607</v>
      </c>
      <c r="S7" s="548">
        <v>138823.89182422147</v>
      </c>
      <c r="T7" s="548">
        <v>158519.43243289951</v>
      </c>
      <c r="U7" s="548">
        <v>169504.87010661227</v>
      </c>
      <c r="V7" s="548">
        <v>195390.72713528876</v>
      </c>
      <c r="W7" s="548">
        <v>242011.30641278825</v>
      </c>
      <c r="X7" s="548">
        <v>268817.93347678107</v>
      </c>
      <c r="Y7" s="548">
        <v>332205.631505945</v>
      </c>
      <c r="Z7" s="548">
        <v>402319.82169115689</v>
      </c>
      <c r="AA7" s="548">
        <v>510086.03459569294</v>
      </c>
      <c r="AB7" s="548">
        <v>634039.30305449129</v>
      </c>
      <c r="AC7" s="548">
        <v>815407.31941346661</v>
      </c>
      <c r="AD7" s="548">
        <v>1011443.8168805657</v>
      </c>
      <c r="AE7" s="548">
        <v>1244795.2407336438</v>
      </c>
      <c r="AF7" s="548">
        <v>1462737.1801238083</v>
      </c>
      <c r="AG7" s="548">
        <v>1846991.2751247445</v>
      </c>
      <c r="AH7" s="548">
        <v>2374142.2608664925</v>
      </c>
      <c r="AI7" s="548">
        <v>2952357.6846792363</v>
      </c>
      <c r="AJ7" s="548">
        <v>3605681.1384000848</v>
      </c>
      <c r="AK7" s="548">
        <v>4258564.4347539824</v>
      </c>
      <c r="AL7" s="548">
        <v>4971299.5027085599</v>
      </c>
      <c r="AM7" s="548">
        <v>5960801.2165006865</v>
      </c>
      <c r="AN7" s="548">
        <v>7139510.6035573166</v>
      </c>
      <c r="AO7" s="548">
        <v>8156193.9090908552</v>
      </c>
      <c r="AP7" s="548">
        <v>8843005.4830557704</v>
      </c>
      <c r="AQ7" s="548">
        <v>9408800.9903112575</v>
      </c>
      <c r="AR7" s="58">
        <v>10211625.352254312</v>
      </c>
    </row>
    <row r="8" spans="1:44" ht="13">
      <c r="A8" s="507" t="s">
        <v>992</v>
      </c>
      <c r="B8" s="496"/>
      <c r="C8" s="548">
        <v>5653.9995933081691</v>
      </c>
      <c r="D8" s="548">
        <v>5644.5458454794125</v>
      </c>
      <c r="E8" s="548">
        <v>5821.9027915473862</v>
      </c>
      <c r="F8" s="548">
        <v>6294.9668309769977</v>
      </c>
      <c r="G8" s="548">
        <v>6525.4689080485896</v>
      </c>
      <c r="H8" s="548">
        <v>6559.7426791934504</v>
      </c>
      <c r="I8" s="548">
        <v>7846.0377340327332</v>
      </c>
      <c r="J8" s="548">
        <v>10024.843274059369</v>
      </c>
      <c r="K8" s="548">
        <v>10906.240291027079</v>
      </c>
      <c r="L8" s="548">
        <v>11339.518485346249</v>
      </c>
      <c r="M8" s="548">
        <v>12191.598017480344</v>
      </c>
      <c r="N8" s="548">
        <v>13221.532630942662</v>
      </c>
      <c r="O8" s="548">
        <v>14144.298947369396</v>
      </c>
      <c r="P8" s="548">
        <v>16587.678952946673</v>
      </c>
      <c r="Q8" s="548">
        <v>19341.157059686429</v>
      </c>
      <c r="R8" s="548">
        <v>20472.201221124764</v>
      </c>
      <c r="S8" s="548">
        <v>23399.269600799478</v>
      </c>
      <c r="T8" s="548">
        <v>27245.199518115569</v>
      </c>
      <c r="U8" s="548">
        <v>31084.715671928261</v>
      </c>
      <c r="V8" s="548">
        <v>34272.697633138916</v>
      </c>
      <c r="W8" s="548">
        <v>42851.291726309086</v>
      </c>
      <c r="X8" s="548">
        <v>51296.241217546289</v>
      </c>
      <c r="Y8" s="548">
        <v>63328.759367931503</v>
      </c>
      <c r="Z8" s="548">
        <v>78527.7242696873</v>
      </c>
      <c r="AA8" s="548">
        <v>98119.828761165438</v>
      </c>
      <c r="AB8" s="548">
        <v>125862.49748182049</v>
      </c>
      <c r="AC8" s="548">
        <v>161907.7339497855</v>
      </c>
      <c r="AD8" s="548">
        <v>210171.02356188383</v>
      </c>
      <c r="AE8" s="548">
        <v>254883.08153242644</v>
      </c>
      <c r="AF8" s="548">
        <v>312642.35417117877</v>
      </c>
      <c r="AG8" s="548">
        <v>381653.32183889166</v>
      </c>
      <c r="AH8" s="548">
        <v>483792.85349437606</v>
      </c>
      <c r="AI8" s="548">
        <v>617027.73738432419</v>
      </c>
      <c r="AJ8" s="548">
        <v>742299.98209812923</v>
      </c>
      <c r="AK8" s="548">
        <v>895345.6552507676</v>
      </c>
      <c r="AL8" s="548">
        <v>1099056.4507244269</v>
      </c>
      <c r="AM8" s="548">
        <v>1326171.4400683453</v>
      </c>
      <c r="AN8" s="548">
        <v>1685727</v>
      </c>
      <c r="AO8" s="548">
        <v>1968164</v>
      </c>
      <c r="AP8" s="548">
        <v>2220187</v>
      </c>
      <c r="AQ8" s="548">
        <v>2459224.8497254802</v>
      </c>
      <c r="AR8" s="58">
        <v>2627866.6626997273</v>
      </c>
    </row>
    <row r="9" spans="1:44" ht="13">
      <c r="A9" s="507" t="s">
        <v>993</v>
      </c>
      <c r="B9" s="496"/>
      <c r="C9" s="548">
        <v>10901.404890324391</v>
      </c>
      <c r="D9" s="548">
        <v>11455.912804469399</v>
      </c>
      <c r="E9" s="548">
        <v>13726.910397801226</v>
      </c>
      <c r="F9" s="548">
        <v>15661.077816742576</v>
      </c>
      <c r="G9" s="548">
        <v>18211.133073120742</v>
      </c>
      <c r="H9" s="548">
        <v>19185.003685777796</v>
      </c>
      <c r="I9" s="548">
        <v>20219.859046055361</v>
      </c>
      <c r="J9" s="548">
        <v>23582.712157670212</v>
      </c>
      <c r="K9" s="548">
        <v>24355.399269445155</v>
      </c>
      <c r="L9" s="548">
        <v>24602.736876424915</v>
      </c>
      <c r="M9" s="548">
        <v>28501.737048397285</v>
      </c>
      <c r="N9" s="548">
        <v>34048.435040647615</v>
      </c>
      <c r="O9" s="548">
        <v>38765.290681600993</v>
      </c>
      <c r="P9" s="548">
        <v>39831.947721795666</v>
      </c>
      <c r="Q9" s="548">
        <v>45989.510594538238</v>
      </c>
      <c r="R9" s="548">
        <v>50958.799160743372</v>
      </c>
      <c r="S9" s="548">
        <v>58271.996288420181</v>
      </c>
      <c r="T9" s="548">
        <v>71488.374281988974</v>
      </c>
      <c r="U9" s="548">
        <v>95914.76807681736</v>
      </c>
      <c r="V9" s="548">
        <v>101690.72018524399</v>
      </c>
      <c r="W9" s="548">
        <v>108421.38222821012</v>
      </c>
      <c r="X9" s="548">
        <v>105938.52774031373</v>
      </c>
      <c r="Y9" s="548">
        <v>145057.45912118308</v>
      </c>
      <c r="Z9" s="548">
        <v>202060.79587866642</v>
      </c>
      <c r="AA9" s="548">
        <v>255715.10972922068</v>
      </c>
      <c r="AB9" s="548">
        <v>295775.38116284722</v>
      </c>
      <c r="AC9" s="548">
        <v>402809.02988649852</v>
      </c>
      <c r="AD9" s="548">
        <v>566018.39158259844</v>
      </c>
      <c r="AE9" s="548">
        <v>702467.25513292779</v>
      </c>
      <c r="AF9" s="548">
        <v>682806.1629417591</v>
      </c>
      <c r="AG9" s="548">
        <v>750268.30580494099</v>
      </c>
      <c r="AH9" s="548">
        <v>921673.7178920923</v>
      </c>
      <c r="AI9" s="548">
        <v>1219793.4323698569</v>
      </c>
      <c r="AJ9" s="548">
        <v>1705422.7127767801</v>
      </c>
      <c r="AK9" s="548">
        <v>2061036.7952078851</v>
      </c>
      <c r="AL9" s="548">
        <v>2356294.7309341249</v>
      </c>
      <c r="AM9" s="548">
        <v>2944309.8143028221</v>
      </c>
      <c r="AN9" s="548">
        <v>3081252.303128513</v>
      </c>
      <c r="AO9" s="548">
        <v>3556123.533289901</v>
      </c>
      <c r="AP9" s="548">
        <v>3295236.466983608</v>
      </c>
      <c r="AQ9" s="548">
        <v>3496049.1820254177</v>
      </c>
      <c r="AR9" s="58">
        <v>3795443.615700759</v>
      </c>
    </row>
    <row r="10" spans="1:44" ht="13">
      <c r="A10" s="507" t="s">
        <v>994</v>
      </c>
      <c r="B10" s="496"/>
      <c r="C10" s="548">
        <v>10385.726049144665</v>
      </c>
      <c r="D10" s="548">
        <v>11841.294044542079</v>
      </c>
      <c r="E10" s="548">
        <v>12820.846510758589</v>
      </c>
      <c r="F10" s="548">
        <v>15069.42738953801</v>
      </c>
      <c r="G10" s="548">
        <v>17008.146334513833</v>
      </c>
      <c r="H10" s="548">
        <v>17620.061270879691</v>
      </c>
      <c r="I10" s="548">
        <v>18601.490825177687</v>
      </c>
      <c r="J10" s="548">
        <v>21942.582364225895</v>
      </c>
      <c r="K10" s="548">
        <v>23035.694835698188</v>
      </c>
      <c r="L10" s="548">
        <v>21557.807310405187</v>
      </c>
      <c r="M10" s="548">
        <v>25558.753153897836</v>
      </c>
      <c r="N10" s="548">
        <v>29891.599442734689</v>
      </c>
      <c r="O10" s="548">
        <v>36029.244546925096</v>
      </c>
      <c r="P10" s="548">
        <v>36675.488186958988</v>
      </c>
      <c r="Q10" s="548">
        <v>42646.234915111192</v>
      </c>
      <c r="R10" s="548">
        <v>47834.143763295346</v>
      </c>
      <c r="S10" s="548">
        <v>50560.21940972664</v>
      </c>
      <c r="T10" s="548">
        <v>64560.658341361901</v>
      </c>
      <c r="U10" s="548">
        <v>83346.508834880093</v>
      </c>
      <c r="V10" s="548">
        <v>94166.543263663334</v>
      </c>
      <c r="W10" s="548">
        <v>112366.93619780586</v>
      </c>
      <c r="X10" s="548">
        <v>109830.5896070536</v>
      </c>
      <c r="Y10" s="548">
        <v>124738.94119150031</v>
      </c>
      <c r="Z10" s="548">
        <v>177997.26680293414</v>
      </c>
      <c r="AA10" s="548">
        <v>219262.49532598894</v>
      </c>
      <c r="AB10" s="548">
        <v>298970.30388836522</v>
      </c>
      <c r="AC10" s="548">
        <v>356238.3371334651</v>
      </c>
      <c r="AD10" s="548">
        <v>506104.26516960206</v>
      </c>
      <c r="AE10" s="548">
        <v>616407.46900166222</v>
      </c>
      <c r="AF10" s="548">
        <v>700880.67731574271</v>
      </c>
      <c r="AG10" s="548">
        <v>767989.9719149397</v>
      </c>
      <c r="AH10" s="548">
        <v>933373.94986808579</v>
      </c>
      <c r="AI10" s="548">
        <v>1149922.8772384871</v>
      </c>
      <c r="AJ10" s="548">
        <v>1563497.8254355362</v>
      </c>
      <c r="AK10" s="548">
        <v>1958852.426753588</v>
      </c>
      <c r="AL10" s="548">
        <v>2242577.690402546</v>
      </c>
      <c r="AM10" s="548">
        <v>2666231.0060611139</v>
      </c>
      <c r="AN10" s="548">
        <v>3008546.6827717577</v>
      </c>
      <c r="AO10" s="548">
        <v>3468144.9177730177</v>
      </c>
      <c r="AP10" s="548">
        <v>3269735.5534554729</v>
      </c>
      <c r="AQ10" s="548">
        <v>3411457.9357218528</v>
      </c>
      <c r="AR10" s="58">
        <v>3681977.621063048</v>
      </c>
    </row>
    <row r="11" spans="1:44" ht="13">
      <c r="A11" s="507" t="s">
        <v>995</v>
      </c>
      <c r="B11" s="496"/>
      <c r="C11" s="548">
        <v>515.67884117972619</v>
      </c>
      <c r="D11" s="548">
        <v>-385.38124007267947</v>
      </c>
      <c r="E11" s="548">
        <v>906.0638870426377</v>
      </c>
      <c r="F11" s="548">
        <v>591.65042720456643</v>
      </c>
      <c r="G11" s="548">
        <v>1202.9867386069081</v>
      </c>
      <c r="H11" s="548">
        <v>1564.9424148981066</v>
      </c>
      <c r="I11" s="548">
        <v>1618.368220877675</v>
      </c>
      <c r="J11" s="548">
        <v>1640.1297934443164</v>
      </c>
      <c r="K11" s="548">
        <v>1319.7044337469656</v>
      </c>
      <c r="L11" s="548">
        <v>3044.9295660197281</v>
      </c>
      <c r="M11" s="548">
        <v>2942.9838944994463</v>
      </c>
      <c r="N11" s="548">
        <v>4156.8355979129283</v>
      </c>
      <c r="O11" s="548">
        <v>2736.0461346758962</v>
      </c>
      <c r="P11" s="548">
        <v>3156.4595348366797</v>
      </c>
      <c r="Q11" s="548">
        <v>3343.275679427044</v>
      </c>
      <c r="R11" s="548">
        <v>3124.6553974480244</v>
      </c>
      <c r="S11" s="548">
        <v>7711.7768786935385</v>
      </c>
      <c r="T11" s="548">
        <v>6927.7159406270803</v>
      </c>
      <c r="U11" s="548">
        <v>12568.25924193726</v>
      </c>
      <c r="V11" s="548">
        <v>7524.1769215806607</v>
      </c>
      <c r="W11" s="548">
        <v>-3945.5539695957377</v>
      </c>
      <c r="X11" s="548">
        <v>-3892.0618667398635</v>
      </c>
      <c r="Y11" s="548">
        <v>20318.517929682766</v>
      </c>
      <c r="Z11" s="548">
        <v>24063.529075732276</v>
      </c>
      <c r="AA11" s="548">
        <v>36452.614403231724</v>
      </c>
      <c r="AB11" s="548">
        <v>-3194.9227255179935</v>
      </c>
      <c r="AC11" s="548">
        <v>46570.692753033407</v>
      </c>
      <c r="AD11" s="548">
        <v>59914.126412996389</v>
      </c>
      <c r="AE11" s="548">
        <v>86059.786131265544</v>
      </c>
      <c r="AF11" s="548">
        <v>-18074.514373983624</v>
      </c>
      <c r="AG11" s="548">
        <v>-17721.666109998747</v>
      </c>
      <c r="AH11" s="548">
        <v>-11700.231975993544</v>
      </c>
      <c r="AI11" s="548">
        <v>69870.555131369678</v>
      </c>
      <c r="AJ11" s="548">
        <v>141924.88734124386</v>
      </c>
      <c r="AK11" s="548">
        <v>102184.3684542971</v>
      </c>
      <c r="AL11" s="548">
        <v>113717.040531579</v>
      </c>
      <c r="AM11" s="548">
        <v>278078.80824170803</v>
      </c>
      <c r="AN11" s="548">
        <v>72705.620356755448</v>
      </c>
      <c r="AO11" s="548">
        <v>87978.61551688351</v>
      </c>
      <c r="AP11" s="548">
        <v>25500.91352813517</v>
      </c>
      <c r="AQ11" s="548">
        <v>84591.246303565058</v>
      </c>
      <c r="AR11" s="58">
        <v>113465.99463771106</v>
      </c>
    </row>
    <row r="12" spans="1:44" ht="13">
      <c r="A12" s="507" t="s">
        <v>996</v>
      </c>
      <c r="B12" s="496"/>
      <c r="C12" s="548">
        <v>9741.7104044429125</v>
      </c>
      <c r="D12" s="548">
        <v>10309.924659141894</v>
      </c>
      <c r="E12" s="548">
        <v>11320.686953712651</v>
      </c>
      <c r="F12" s="548">
        <v>11838.658631893069</v>
      </c>
      <c r="G12" s="548">
        <v>12965.109503358319</v>
      </c>
      <c r="H12" s="548">
        <v>12120.799816055174</v>
      </c>
      <c r="I12" s="548">
        <v>12921.961276465359</v>
      </c>
      <c r="J12" s="548">
        <v>13731.472981798834</v>
      </c>
      <c r="K12" s="548">
        <v>16863.57858671515</v>
      </c>
      <c r="L12" s="548">
        <v>16942.639099824646</v>
      </c>
      <c r="M12" s="548">
        <v>20514.938112599782</v>
      </c>
      <c r="N12" s="548">
        <v>23218.753172676472</v>
      </c>
      <c r="O12" s="548">
        <v>25062.367876530287</v>
      </c>
      <c r="P12" s="548">
        <v>28038.039514437438</v>
      </c>
      <c r="Q12" s="548">
        <v>30784.285479626167</v>
      </c>
      <c r="R12" s="548">
        <v>34599.093466047394</v>
      </c>
      <c r="S12" s="548">
        <v>37649.172322880877</v>
      </c>
      <c r="T12" s="548">
        <v>41769.05154852174</v>
      </c>
      <c r="U12" s="548">
        <v>49007.435528724047</v>
      </c>
      <c r="V12" s="548">
        <v>58111.331292817442</v>
      </c>
      <c r="W12" s="548">
        <v>61000.953810754232</v>
      </c>
      <c r="X12" s="548">
        <v>69294.26559063021</v>
      </c>
      <c r="Y12" s="548">
        <v>70234.345194920563</v>
      </c>
      <c r="Z12" s="548">
        <v>79046.996806781826</v>
      </c>
      <c r="AA12" s="548">
        <v>115123.41154580584</v>
      </c>
      <c r="AB12" s="548">
        <v>178639.39073382784</v>
      </c>
      <c r="AC12" s="548">
        <v>253000.72818151128</v>
      </c>
      <c r="AD12" s="548">
        <v>306965.39368380012</v>
      </c>
      <c r="AE12" s="548">
        <v>367527.93941308575</v>
      </c>
      <c r="AF12" s="548">
        <v>520186.56699936901</v>
      </c>
      <c r="AG12" s="548">
        <v>739953.46612351551</v>
      </c>
      <c r="AH12" s="548">
        <v>1021964.170593133</v>
      </c>
      <c r="AI12" s="548">
        <v>1286837.4854381548</v>
      </c>
      <c r="AJ12" s="548">
        <v>1474671.7102847325</v>
      </c>
      <c r="AK12" s="548">
        <v>1749549.5914391722</v>
      </c>
      <c r="AL12" s="548">
        <v>2278022.0998883876</v>
      </c>
      <c r="AM12" s="548">
        <v>2748333.214826846</v>
      </c>
      <c r="AN12" s="548">
        <v>2870755.8711619382</v>
      </c>
      <c r="AO12" s="548">
        <v>3061671.1473190677</v>
      </c>
      <c r="AP12" s="548">
        <v>3042610.2508706874</v>
      </c>
      <c r="AQ12" s="548">
        <v>3418094.6859436417</v>
      </c>
      <c r="AR12" s="58">
        <v>4064015.9178227098</v>
      </c>
    </row>
    <row r="13" spans="1:44" ht="13">
      <c r="A13" s="507" t="s">
        <v>997</v>
      </c>
      <c r="B13" s="496"/>
      <c r="C13" s="548">
        <v>7712.5126424757873</v>
      </c>
      <c r="D13" s="548">
        <v>8141.801937737976</v>
      </c>
      <c r="E13" s="548">
        <v>8557.8060028332293</v>
      </c>
      <c r="F13" s="548">
        <v>8645.2856214010153</v>
      </c>
      <c r="G13" s="548">
        <v>8794.4913859039643</v>
      </c>
      <c r="H13" s="548">
        <v>8749.8745375215531</v>
      </c>
      <c r="I13" s="548">
        <v>9092.2606918873571</v>
      </c>
      <c r="J13" s="548">
        <v>9594.3799963421552</v>
      </c>
      <c r="K13" s="548">
        <v>11241.634060639135</v>
      </c>
      <c r="L13" s="548">
        <v>11959.286772667809</v>
      </c>
      <c r="M13" s="548">
        <v>14581.748506318914</v>
      </c>
      <c r="N13" s="548">
        <v>16312.367318997272</v>
      </c>
      <c r="O13" s="548">
        <v>18059.407564489822</v>
      </c>
      <c r="P13" s="548">
        <v>20189.797984367611</v>
      </c>
      <c r="Q13" s="548">
        <v>22428.255100469931</v>
      </c>
      <c r="R13" s="548">
        <v>24887.958404293233</v>
      </c>
      <c r="S13" s="548">
        <v>26810.789638619786</v>
      </c>
      <c r="T13" s="548">
        <v>28788.727687621031</v>
      </c>
      <c r="U13" s="548">
        <v>33592.970370114737</v>
      </c>
      <c r="V13" s="548">
        <v>40830.826211095831</v>
      </c>
      <c r="W13" s="548">
        <v>43016.984104837524</v>
      </c>
      <c r="X13" s="548">
        <v>48858.122364972216</v>
      </c>
      <c r="Y13" s="548">
        <v>51781.87792380419</v>
      </c>
      <c r="Z13" s="548">
        <v>57766.499966573007</v>
      </c>
      <c r="AA13" s="548">
        <v>87467.112311969831</v>
      </c>
      <c r="AB13" s="548">
        <v>138193.97855954539</v>
      </c>
      <c r="AC13" s="548">
        <v>190726.02620477532</v>
      </c>
      <c r="AD13" s="548">
        <v>225687.80606107315</v>
      </c>
      <c r="AE13" s="548">
        <v>286992.84903325321</v>
      </c>
      <c r="AF13" s="548">
        <v>414424.18959570827</v>
      </c>
      <c r="AG13" s="548">
        <v>594795.28941842238</v>
      </c>
      <c r="AH13" s="548">
        <v>842262.27679700695</v>
      </c>
      <c r="AI13" s="548">
        <v>1047477.2750323714</v>
      </c>
      <c r="AJ13" s="548">
        <v>1201481.7050679962</v>
      </c>
      <c r="AK13" s="548">
        <v>1446992.1696437569</v>
      </c>
      <c r="AL13" s="548">
        <v>1900638.8522899121</v>
      </c>
      <c r="AM13" s="548">
        <v>2269640.2387908292</v>
      </c>
      <c r="AN13" s="548">
        <v>2371442.3022886598</v>
      </c>
      <c r="AO13" s="548">
        <v>2535832.1069973665</v>
      </c>
      <c r="AP13" s="548">
        <v>2518487.0683031497</v>
      </c>
      <c r="AQ13" s="548">
        <v>2944292.2816872685</v>
      </c>
      <c r="AR13" s="58">
        <v>3479591.6832186533</v>
      </c>
    </row>
    <row r="14" spans="1:44" ht="13">
      <c r="A14" s="507" t="s">
        <v>655</v>
      </c>
      <c r="B14" s="496"/>
      <c r="C14" s="548">
        <v>2029.1977619671259</v>
      </c>
      <c r="D14" s="548">
        <v>2168.1227214039177</v>
      </c>
      <c r="E14" s="548">
        <v>2762.8809508794211</v>
      </c>
      <c r="F14" s="548">
        <v>3193.3730104920537</v>
      </c>
      <c r="G14" s="548">
        <v>4170.6181174543553</v>
      </c>
      <c r="H14" s="548">
        <v>3370.9252785336212</v>
      </c>
      <c r="I14" s="548">
        <v>3829.7005845780022</v>
      </c>
      <c r="J14" s="548">
        <v>4137.0929854566793</v>
      </c>
      <c r="K14" s="548">
        <v>5621.9445260760131</v>
      </c>
      <c r="L14" s="548">
        <v>4983.3523271568383</v>
      </c>
      <c r="M14" s="548">
        <v>5933.1896062808692</v>
      </c>
      <c r="N14" s="548">
        <v>6906.3858536791977</v>
      </c>
      <c r="O14" s="548">
        <v>7002.9603120404636</v>
      </c>
      <c r="P14" s="548">
        <v>7848.2415300698258</v>
      </c>
      <c r="Q14" s="548">
        <v>8356.0303791562364</v>
      </c>
      <c r="R14" s="548">
        <v>9711.1350617541593</v>
      </c>
      <c r="S14" s="548">
        <v>10838.382684261089</v>
      </c>
      <c r="T14" s="548">
        <v>12980.323860900711</v>
      </c>
      <c r="U14" s="548">
        <v>15414.465158609311</v>
      </c>
      <c r="V14" s="548">
        <v>17280.505081721607</v>
      </c>
      <c r="W14" s="548">
        <v>17983.969705916705</v>
      </c>
      <c r="X14" s="548">
        <v>20436.143225657994</v>
      </c>
      <c r="Y14" s="548">
        <v>18452.467271116377</v>
      </c>
      <c r="Z14" s="548">
        <v>21280.49684020882</v>
      </c>
      <c r="AA14" s="548">
        <v>27656.299233836005</v>
      </c>
      <c r="AB14" s="548">
        <v>40445.412174282457</v>
      </c>
      <c r="AC14" s="548">
        <v>62274.70197673596</v>
      </c>
      <c r="AD14" s="548">
        <v>81277.587622726976</v>
      </c>
      <c r="AE14" s="548">
        <v>80535.09037983256</v>
      </c>
      <c r="AF14" s="548">
        <v>105762.37740366075</v>
      </c>
      <c r="AG14" s="548">
        <v>145158.17670509312</v>
      </c>
      <c r="AH14" s="548">
        <v>179701.89379612607</v>
      </c>
      <c r="AI14" s="548">
        <v>239360.21040578341</v>
      </c>
      <c r="AJ14" s="548">
        <v>273190.00521673635</v>
      </c>
      <c r="AK14" s="548">
        <v>302557.42179541534</v>
      </c>
      <c r="AL14" s="548">
        <v>377383.24759847549</v>
      </c>
      <c r="AM14" s="548">
        <v>478692.97603601683</v>
      </c>
      <c r="AN14" s="548">
        <v>499313.56887327833</v>
      </c>
      <c r="AO14" s="548">
        <v>525839.04032170109</v>
      </c>
      <c r="AP14" s="548">
        <v>524123.18256753776</v>
      </c>
      <c r="AQ14" s="548">
        <v>473802.40425637324</v>
      </c>
      <c r="AR14" s="58">
        <v>584424.23460405646</v>
      </c>
    </row>
    <row r="15" spans="1:44" ht="13">
      <c r="A15" s="507" t="s">
        <v>998</v>
      </c>
      <c r="B15" s="496"/>
      <c r="C15" s="548">
        <v>12770.745920671334</v>
      </c>
      <c r="D15" s="548">
        <v>13491.010964929379</v>
      </c>
      <c r="E15" s="548">
        <v>14705.874140442163</v>
      </c>
      <c r="F15" s="548">
        <v>16454.627335584493</v>
      </c>
      <c r="G15" s="548">
        <v>17678.921333463892</v>
      </c>
      <c r="H15" s="548">
        <v>16750.337716497786</v>
      </c>
      <c r="I15" s="548">
        <v>18475.661872985769</v>
      </c>
      <c r="J15" s="548">
        <v>25505.630564786818</v>
      </c>
      <c r="K15" s="548">
        <v>22351.255871926238</v>
      </c>
      <c r="L15" s="548">
        <v>24111.221466642986</v>
      </c>
      <c r="M15" s="548">
        <v>27893.201780934305</v>
      </c>
      <c r="N15" s="548">
        <v>33776.327843864681</v>
      </c>
      <c r="O15" s="548">
        <v>36752.982469381095</v>
      </c>
      <c r="P15" s="548">
        <v>41126.102584860455</v>
      </c>
      <c r="Q15" s="548">
        <v>47938.64217575972</v>
      </c>
      <c r="R15" s="548">
        <v>47590.083060570294</v>
      </c>
      <c r="S15" s="548">
        <v>53963.600223436813</v>
      </c>
      <c r="T15" s="548">
        <v>64390.066202567148</v>
      </c>
      <c r="U15" s="548">
        <v>74236.954119349059</v>
      </c>
      <c r="V15" s="548">
        <v>85242.632417755172</v>
      </c>
      <c r="W15" s="548">
        <v>101476.35650517941</v>
      </c>
      <c r="X15" s="548">
        <v>110275.53074132382</v>
      </c>
      <c r="Y15" s="548">
        <v>130291.63870476693</v>
      </c>
      <c r="Z15" s="548">
        <v>166197.88381372741</v>
      </c>
      <c r="AA15" s="548">
        <v>212258.03436576249</v>
      </c>
      <c r="AB15" s="548">
        <v>277514.0905949297</v>
      </c>
      <c r="AC15" s="548">
        <v>443103.18720900896</v>
      </c>
      <c r="AD15" s="548">
        <v>586175.40216621174</v>
      </c>
      <c r="AE15" s="548">
        <v>757577.48583952361</v>
      </c>
      <c r="AF15" s="548">
        <v>812710.40999236412</v>
      </c>
      <c r="AG15" s="548">
        <v>1007078.3615945322</v>
      </c>
      <c r="AH15" s="548">
        <v>1381407.3227301778</v>
      </c>
      <c r="AI15" s="548">
        <v>1807857.4617092554</v>
      </c>
      <c r="AJ15" s="548">
        <v>2094262.1084501767</v>
      </c>
      <c r="AK15" s="548">
        <v>2698418.7836204343</v>
      </c>
      <c r="AL15" s="548">
        <v>3132239.6139111463</v>
      </c>
      <c r="AM15" s="548">
        <v>3931902.7486261865</v>
      </c>
      <c r="AN15" s="548">
        <v>4365768.0414792411</v>
      </c>
      <c r="AO15" s="548">
        <v>4831264.1952378089</v>
      </c>
      <c r="AP15" s="548">
        <v>4505893.938898854</v>
      </c>
      <c r="AQ15" s="548">
        <v>5000647.676100174</v>
      </c>
      <c r="AR15" s="58">
        <v>5636284.0560777364</v>
      </c>
    </row>
    <row r="16" spans="1:44" ht="13">
      <c r="A16" s="507" t="s">
        <v>997</v>
      </c>
      <c r="B16" s="496"/>
      <c r="C16" s="548">
        <v>10680.375614806942</v>
      </c>
      <c r="D16" s="548">
        <v>11368.458053377086</v>
      </c>
      <c r="E16" s="548">
        <v>12650.837891613028</v>
      </c>
      <c r="F16" s="548">
        <v>14301.446704814789</v>
      </c>
      <c r="G16" s="548">
        <v>15197.658211871614</v>
      </c>
      <c r="H16" s="548">
        <v>14376.586922302778</v>
      </c>
      <c r="I16" s="548">
        <v>15553.643606495843</v>
      </c>
      <c r="J16" s="548">
        <v>19990.630759704818</v>
      </c>
      <c r="K16" s="548">
        <v>17284.737483988469</v>
      </c>
      <c r="L16" s="548">
        <v>18934.037348830927</v>
      </c>
      <c r="M16" s="548">
        <v>22060.951224695789</v>
      </c>
      <c r="N16" s="548">
        <v>26948.445073790885</v>
      </c>
      <c r="O16" s="548">
        <v>29998.135527769795</v>
      </c>
      <c r="P16" s="548">
        <v>32544.443694218069</v>
      </c>
      <c r="Q16" s="548">
        <v>37871.908765567045</v>
      </c>
      <c r="R16" s="548">
        <v>39029.649914394395</v>
      </c>
      <c r="S16" s="548">
        <v>43693.073050383638</v>
      </c>
      <c r="T16" s="548">
        <v>52670.253654770619</v>
      </c>
      <c r="U16" s="548">
        <v>61580.232582176068</v>
      </c>
      <c r="V16" s="548">
        <v>67920.843189405772</v>
      </c>
      <c r="W16" s="548">
        <v>84102.909780764036</v>
      </c>
      <c r="X16" s="548">
        <v>91706.088473316297</v>
      </c>
      <c r="Y16" s="548">
        <v>118455.12080725298</v>
      </c>
      <c r="Z16" s="548">
        <v>151493.53849565375</v>
      </c>
      <c r="AA16" s="548">
        <v>194043.46535196333</v>
      </c>
      <c r="AB16" s="548">
        <v>251271.23466633973</v>
      </c>
      <c r="AC16" s="548">
        <v>391664.80119129107</v>
      </c>
      <c r="AD16" s="548">
        <v>516886.64941424038</v>
      </c>
      <c r="AE16" s="548">
        <v>682283.2080013433</v>
      </c>
      <c r="AF16" s="548">
        <v>731393.95627720992</v>
      </c>
      <c r="AG16" s="548">
        <v>895361.24055374006</v>
      </c>
      <c r="AH16" s="548">
        <v>1242076.543217543</v>
      </c>
      <c r="AI16" s="548">
        <v>1654703.3775022216</v>
      </c>
      <c r="AJ16" s="548">
        <v>1893382.5188789691</v>
      </c>
      <c r="AK16" s="548">
        <v>2442567.5929728434</v>
      </c>
      <c r="AL16" s="548">
        <v>2838730.8628953411</v>
      </c>
      <c r="AM16" s="548">
        <v>3570677.4537043059</v>
      </c>
      <c r="AN16" s="548">
        <v>3959234.9975308958</v>
      </c>
      <c r="AO16" s="548">
        <v>4376074.4700828362</v>
      </c>
      <c r="AP16" s="548">
        <v>4018421.5753603228</v>
      </c>
      <c r="AQ16" s="548">
        <v>4546559.2127353111</v>
      </c>
      <c r="AR16" s="58">
        <v>5122690.3134273943</v>
      </c>
    </row>
    <row r="17" spans="1:44" ht="13">
      <c r="A17" s="507" t="s">
        <v>655</v>
      </c>
      <c r="B17" s="496"/>
      <c r="C17" s="548">
        <v>2090.3703058643919</v>
      </c>
      <c r="D17" s="548">
        <v>2122.5529115522927</v>
      </c>
      <c r="E17" s="548">
        <v>2055.0362488291362</v>
      </c>
      <c r="F17" s="548">
        <v>2153.1806307697038</v>
      </c>
      <c r="G17" s="548">
        <v>2481.2631215922765</v>
      </c>
      <c r="H17" s="548">
        <v>2373.7507941950062</v>
      </c>
      <c r="I17" s="548">
        <v>2922.0182664899266</v>
      </c>
      <c r="J17" s="548">
        <v>5514.9998050819995</v>
      </c>
      <c r="K17" s="548">
        <v>5066.5183879377701</v>
      </c>
      <c r="L17" s="548">
        <v>5177.1841178120585</v>
      </c>
      <c r="M17" s="548">
        <v>5832.2505562385149</v>
      </c>
      <c r="N17" s="548">
        <v>6827.8827700737957</v>
      </c>
      <c r="O17" s="548">
        <v>6754.8469416113039</v>
      </c>
      <c r="P17" s="548">
        <v>8581.6588906423858</v>
      </c>
      <c r="Q17" s="548">
        <v>10066.733410192675</v>
      </c>
      <c r="R17" s="548">
        <v>8560.4331461759011</v>
      </c>
      <c r="S17" s="548">
        <v>10270.527173053173</v>
      </c>
      <c r="T17" s="548">
        <v>11719.81254779653</v>
      </c>
      <c r="U17" s="548">
        <v>12656.721537172994</v>
      </c>
      <c r="V17" s="548">
        <v>17321.7892283494</v>
      </c>
      <c r="W17" s="548">
        <v>17373.446724415378</v>
      </c>
      <c r="X17" s="548">
        <v>18569.442268007522</v>
      </c>
      <c r="Y17" s="548">
        <v>11836.517897513946</v>
      </c>
      <c r="Z17" s="548">
        <v>14704.345318073676</v>
      </c>
      <c r="AA17" s="548">
        <v>18214.569013799151</v>
      </c>
      <c r="AB17" s="548">
        <v>26242.855928589976</v>
      </c>
      <c r="AC17" s="548">
        <v>51438.386017717858</v>
      </c>
      <c r="AD17" s="548">
        <v>69288.752751971362</v>
      </c>
      <c r="AE17" s="548">
        <v>75294.277838180307</v>
      </c>
      <c r="AF17" s="548">
        <v>81316.453715154188</v>
      </c>
      <c r="AG17" s="548">
        <v>111717.12104079206</v>
      </c>
      <c r="AH17" s="548">
        <v>139330.77951263473</v>
      </c>
      <c r="AI17" s="548">
        <v>153154.08420703374</v>
      </c>
      <c r="AJ17" s="548">
        <v>200879.5895712075</v>
      </c>
      <c r="AK17" s="548">
        <v>255851.19064759073</v>
      </c>
      <c r="AL17" s="548">
        <v>293508.75101580517</v>
      </c>
      <c r="AM17" s="548">
        <v>361225.29492188065</v>
      </c>
      <c r="AN17" s="548">
        <v>406533.043948345</v>
      </c>
      <c r="AO17" s="548">
        <v>455189.72515497234</v>
      </c>
      <c r="AP17" s="548">
        <v>487472.363538531</v>
      </c>
      <c r="AQ17" s="548">
        <v>454088.46336486284</v>
      </c>
      <c r="AR17" s="58">
        <v>513593.74265034206</v>
      </c>
    </row>
    <row r="18" spans="1:44" ht="13">
      <c r="A18" s="507"/>
      <c r="B18" s="496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  <c r="O18" s="548"/>
      <c r="P18" s="548"/>
      <c r="Q18" s="548"/>
      <c r="R18" s="548"/>
      <c r="S18" s="548"/>
      <c r="T18" s="548"/>
      <c r="U18" s="548"/>
      <c r="V18" s="548"/>
      <c r="W18" s="548"/>
      <c r="X18" s="548"/>
      <c r="Y18" s="548"/>
      <c r="Z18" s="548"/>
      <c r="AA18" s="548"/>
      <c r="AB18" s="548"/>
      <c r="AC18" s="548"/>
      <c r="AD18" s="548"/>
      <c r="AE18" s="548"/>
      <c r="AF18" s="548"/>
      <c r="AG18" s="548"/>
      <c r="AH18" s="548"/>
      <c r="AI18" s="548"/>
      <c r="AJ18" s="548"/>
      <c r="AK18" s="548"/>
      <c r="AL18" s="548"/>
      <c r="AM18" s="548"/>
      <c r="AN18" s="548"/>
      <c r="AO18" s="548"/>
      <c r="AP18" s="548"/>
      <c r="AQ18" s="548"/>
      <c r="AR18" s="58"/>
    </row>
    <row r="19" spans="1:44" ht="13.5" thickBot="1">
      <c r="A19" s="508" t="s">
        <v>999</v>
      </c>
      <c r="B19" s="501"/>
      <c r="C19" s="549">
        <v>62047.655097419403</v>
      </c>
      <c r="D19" s="549">
        <v>64497.749877596645</v>
      </c>
      <c r="E19" s="549">
        <v>67805.77777744412</v>
      </c>
      <c r="F19" s="549">
        <v>73172.242831182099</v>
      </c>
      <c r="G19" s="549">
        <v>78749.595240071969</v>
      </c>
      <c r="H19" s="549">
        <v>82351.626995836967</v>
      </c>
      <c r="I19" s="549">
        <v>88069.107917329471</v>
      </c>
      <c r="J19" s="549">
        <v>92179.798110288277</v>
      </c>
      <c r="K19" s="549">
        <v>102402.09225219733</v>
      </c>
      <c r="L19" s="549">
        <v>107979.60252576074</v>
      </c>
      <c r="M19" s="549">
        <v>113941.27730690171</v>
      </c>
      <c r="N19" s="549">
        <v>127601.72191782593</v>
      </c>
      <c r="O19" s="549">
        <v>141860.06446051205</v>
      </c>
      <c r="P19" s="549">
        <v>150826.72960239596</v>
      </c>
      <c r="Q19" s="549">
        <v>170446.25917038973</v>
      </c>
      <c r="R19" s="549">
        <v>179703.18833721129</v>
      </c>
      <c r="S19" s="549">
        <v>204180.7298128852</v>
      </c>
      <c r="T19" s="549">
        <v>234631.9915789587</v>
      </c>
      <c r="U19" s="549">
        <v>271274.83526473283</v>
      </c>
      <c r="V19" s="549">
        <v>304222.84382873389</v>
      </c>
      <c r="W19" s="549">
        <v>352808.57767288224</v>
      </c>
      <c r="X19" s="549">
        <v>385071.43728394748</v>
      </c>
      <c r="Y19" s="549">
        <v>480534.55648521328</v>
      </c>
      <c r="Z19" s="549">
        <v>595757.45483256504</v>
      </c>
      <c r="AA19" s="549">
        <v>766786.35026612249</v>
      </c>
      <c r="AB19" s="549">
        <v>956802.48183805728</v>
      </c>
      <c r="AC19" s="549">
        <v>1190021.6242222528</v>
      </c>
      <c r="AD19" s="549">
        <v>1508423.2235426365</v>
      </c>
      <c r="AE19" s="549">
        <v>1812096.0309725597</v>
      </c>
      <c r="AF19" s="549">
        <v>2165661.8542437507</v>
      </c>
      <c r="AG19" s="549">
        <v>2711788.0072975601</v>
      </c>
      <c r="AH19" s="549">
        <v>3420165.6801159158</v>
      </c>
      <c r="AI19" s="549">
        <v>4268158.878162317</v>
      </c>
      <c r="AJ19" s="549">
        <v>5433813.4351095501</v>
      </c>
      <c r="AK19" s="549">
        <v>6266077.6930313725</v>
      </c>
      <c r="AL19" s="549">
        <v>7572433.1703443527</v>
      </c>
      <c r="AM19" s="549">
        <v>9047712.9370725155</v>
      </c>
      <c r="AN19" s="549">
        <v>10411477.736368526</v>
      </c>
      <c r="AO19" s="549">
        <v>11910888.394462015</v>
      </c>
      <c r="AP19" s="549">
        <v>12895145.262011211</v>
      </c>
      <c r="AQ19" s="549">
        <v>13781522.031905623</v>
      </c>
      <c r="AR19" s="394">
        <v>15062667.492399771</v>
      </c>
    </row>
    <row r="20" spans="1:44">
      <c r="B20" s="542"/>
      <c r="C20" s="542"/>
      <c r="D20" s="542"/>
      <c r="E20" s="542"/>
      <c r="F20" s="542"/>
      <c r="G20" s="542"/>
      <c r="H20" s="542"/>
      <c r="I20" s="542"/>
      <c r="J20" s="542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  <c r="Y20" s="542"/>
      <c r="Z20" s="542"/>
      <c r="AA20" s="542"/>
      <c r="AB20" s="542"/>
      <c r="AC20" s="542"/>
      <c r="AD20" s="542"/>
      <c r="AE20" s="542"/>
      <c r="AF20" s="542"/>
      <c r="AG20" s="542"/>
      <c r="AH20" s="542"/>
      <c r="AI20" s="542"/>
      <c r="AJ20" s="542"/>
      <c r="AK20" s="542"/>
      <c r="AL20" s="542"/>
      <c r="AM20" s="542"/>
      <c r="AN20" s="542"/>
      <c r="AO20" s="542"/>
      <c r="AP20" s="542"/>
      <c r="AQ20" s="542"/>
      <c r="AR20" s="542"/>
    </row>
    <row r="21" spans="1:44">
      <c r="AQ21" s="542"/>
      <c r="AR21" s="542"/>
    </row>
  </sheetData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7F8-8367-4DDA-B1EB-6B53714410DF}">
  <sheetPr>
    <pageSetUpPr fitToPage="1"/>
  </sheetPr>
  <dimension ref="A1:AR38"/>
  <sheetViews>
    <sheetView showGridLines="0" workbookViewId="0">
      <pane xSplit="1" ySplit="6" topLeftCell="AI7" activePane="bottomRight" state="frozen"/>
      <selection pane="topRight" activeCell="B1" sqref="B1"/>
      <selection pane="bottomLeft" activeCell="A7" sqref="A7"/>
      <selection pane="bottomRight" activeCell="AJ13" sqref="AJ13"/>
    </sheetView>
  </sheetViews>
  <sheetFormatPr defaultRowHeight="12.5"/>
  <cols>
    <col min="1" max="1" width="31.7265625" style="485" customWidth="1"/>
    <col min="2" max="256" width="8.7265625" style="485"/>
    <col min="257" max="257" width="31.7265625" style="485" customWidth="1"/>
    <col min="258" max="512" width="8.7265625" style="485"/>
    <col min="513" max="513" width="31.7265625" style="485" customWidth="1"/>
    <col min="514" max="768" width="8.7265625" style="485"/>
    <col min="769" max="769" width="31.7265625" style="485" customWidth="1"/>
    <col min="770" max="1024" width="8.7265625" style="485"/>
    <col min="1025" max="1025" width="31.7265625" style="485" customWidth="1"/>
    <col min="1026" max="1280" width="8.7265625" style="485"/>
    <col min="1281" max="1281" width="31.7265625" style="485" customWidth="1"/>
    <col min="1282" max="1536" width="8.7265625" style="485"/>
    <col min="1537" max="1537" width="31.7265625" style="485" customWidth="1"/>
    <col min="1538" max="1792" width="8.7265625" style="485"/>
    <col min="1793" max="1793" width="31.7265625" style="485" customWidth="1"/>
    <col min="1794" max="2048" width="8.7265625" style="485"/>
    <col min="2049" max="2049" width="31.7265625" style="485" customWidth="1"/>
    <col min="2050" max="2304" width="8.7265625" style="485"/>
    <col min="2305" max="2305" width="31.7265625" style="485" customWidth="1"/>
    <col min="2306" max="2560" width="8.7265625" style="485"/>
    <col min="2561" max="2561" width="31.7265625" style="485" customWidth="1"/>
    <col min="2562" max="2816" width="8.7265625" style="485"/>
    <col min="2817" max="2817" width="31.7265625" style="485" customWidth="1"/>
    <col min="2818" max="3072" width="8.7265625" style="485"/>
    <col min="3073" max="3073" width="31.7265625" style="485" customWidth="1"/>
    <col min="3074" max="3328" width="8.7265625" style="485"/>
    <col min="3329" max="3329" width="31.7265625" style="485" customWidth="1"/>
    <col min="3330" max="3584" width="8.7265625" style="485"/>
    <col min="3585" max="3585" width="31.7265625" style="485" customWidth="1"/>
    <col min="3586" max="3840" width="8.7265625" style="485"/>
    <col min="3841" max="3841" width="31.7265625" style="485" customWidth="1"/>
    <col min="3842" max="4096" width="8.7265625" style="485"/>
    <col min="4097" max="4097" width="31.7265625" style="485" customWidth="1"/>
    <col min="4098" max="4352" width="8.7265625" style="485"/>
    <col min="4353" max="4353" width="31.7265625" style="485" customWidth="1"/>
    <col min="4354" max="4608" width="8.7265625" style="485"/>
    <col min="4609" max="4609" width="31.7265625" style="485" customWidth="1"/>
    <col min="4610" max="4864" width="8.7265625" style="485"/>
    <col min="4865" max="4865" width="31.7265625" style="485" customWidth="1"/>
    <col min="4866" max="5120" width="8.7265625" style="485"/>
    <col min="5121" max="5121" width="31.7265625" style="485" customWidth="1"/>
    <col min="5122" max="5376" width="8.7265625" style="485"/>
    <col min="5377" max="5377" width="31.7265625" style="485" customWidth="1"/>
    <col min="5378" max="5632" width="8.7265625" style="485"/>
    <col min="5633" max="5633" width="31.7265625" style="485" customWidth="1"/>
    <col min="5634" max="5888" width="8.7265625" style="485"/>
    <col min="5889" max="5889" width="31.7265625" style="485" customWidth="1"/>
    <col min="5890" max="6144" width="8.7265625" style="485"/>
    <col min="6145" max="6145" width="31.7265625" style="485" customWidth="1"/>
    <col min="6146" max="6400" width="8.7265625" style="485"/>
    <col min="6401" max="6401" width="31.7265625" style="485" customWidth="1"/>
    <col min="6402" max="6656" width="8.7265625" style="485"/>
    <col min="6657" max="6657" width="31.7265625" style="485" customWidth="1"/>
    <col min="6658" max="6912" width="8.7265625" style="485"/>
    <col min="6913" max="6913" width="31.7265625" style="485" customWidth="1"/>
    <col min="6914" max="7168" width="8.7265625" style="485"/>
    <col min="7169" max="7169" width="31.7265625" style="485" customWidth="1"/>
    <col min="7170" max="7424" width="8.7265625" style="485"/>
    <col min="7425" max="7425" width="31.7265625" style="485" customWidth="1"/>
    <col min="7426" max="7680" width="8.7265625" style="485"/>
    <col min="7681" max="7681" width="31.7265625" style="485" customWidth="1"/>
    <col min="7682" max="7936" width="8.7265625" style="485"/>
    <col min="7937" max="7937" width="31.7265625" style="485" customWidth="1"/>
    <col min="7938" max="8192" width="8.7265625" style="485"/>
    <col min="8193" max="8193" width="31.7265625" style="485" customWidth="1"/>
    <col min="8194" max="8448" width="8.7265625" style="485"/>
    <col min="8449" max="8449" width="31.7265625" style="485" customWidth="1"/>
    <col min="8450" max="8704" width="8.7265625" style="485"/>
    <col min="8705" max="8705" width="31.7265625" style="485" customWidth="1"/>
    <col min="8706" max="8960" width="8.7265625" style="485"/>
    <col min="8961" max="8961" width="31.7265625" style="485" customWidth="1"/>
    <col min="8962" max="9216" width="8.7265625" style="485"/>
    <col min="9217" max="9217" width="31.7265625" style="485" customWidth="1"/>
    <col min="9218" max="9472" width="8.7265625" style="485"/>
    <col min="9473" max="9473" width="31.7265625" style="485" customWidth="1"/>
    <col min="9474" max="9728" width="8.7265625" style="485"/>
    <col min="9729" max="9729" width="31.7265625" style="485" customWidth="1"/>
    <col min="9730" max="9984" width="8.7265625" style="485"/>
    <col min="9985" max="9985" width="31.7265625" style="485" customWidth="1"/>
    <col min="9986" max="10240" width="8.7265625" style="485"/>
    <col min="10241" max="10241" width="31.7265625" style="485" customWidth="1"/>
    <col min="10242" max="10496" width="8.7265625" style="485"/>
    <col min="10497" max="10497" width="31.7265625" style="485" customWidth="1"/>
    <col min="10498" max="10752" width="8.7265625" style="485"/>
    <col min="10753" max="10753" width="31.7265625" style="485" customWidth="1"/>
    <col min="10754" max="11008" width="8.7265625" style="485"/>
    <col min="11009" max="11009" width="31.7265625" style="485" customWidth="1"/>
    <col min="11010" max="11264" width="8.7265625" style="485"/>
    <col min="11265" max="11265" width="31.7265625" style="485" customWidth="1"/>
    <col min="11266" max="11520" width="8.7265625" style="485"/>
    <col min="11521" max="11521" width="31.7265625" style="485" customWidth="1"/>
    <col min="11522" max="11776" width="8.7265625" style="485"/>
    <col min="11777" max="11777" width="31.7265625" style="485" customWidth="1"/>
    <col min="11778" max="12032" width="8.7265625" style="485"/>
    <col min="12033" max="12033" width="31.7265625" style="485" customWidth="1"/>
    <col min="12034" max="12288" width="8.7265625" style="485"/>
    <col min="12289" max="12289" width="31.7265625" style="485" customWidth="1"/>
    <col min="12290" max="12544" width="8.7265625" style="485"/>
    <col min="12545" max="12545" width="31.7265625" style="485" customWidth="1"/>
    <col min="12546" max="12800" width="8.7265625" style="485"/>
    <col min="12801" max="12801" width="31.7265625" style="485" customWidth="1"/>
    <col min="12802" max="13056" width="8.7265625" style="485"/>
    <col min="13057" max="13057" width="31.7265625" style="485" customWidth="1"/>
    <col min="13058" max="13312" width="8.7265625" style="485"/>
    <col min="13313" max="13313" width="31.7265625" style="485" customWidth="1"/>
    <col min="13314" max="13568" width="8.7265625" style="485"/>
    <col min="13569" max="13569" width="31.7265625" style="485" customWidth="1"/>
    <col min="13570" max="13824" width="8.7265625" style="485"/>
    <col min="13825" max="13825" width="31.7265625" style="485" customWidth="1"/>
    <col min="13826" max="14080" width="8.7265625" style="485"/>
    <col min="14081" max="14081" width="31.7265625" style="485" customWidth="1"/>
    <col min="14082" max="14336" width="8.7265625" style="485"/>
    <col min="14337" max="14337" width="31.7265625" style="485" customWidth="1"/>
    <col min="14338" max="14592" width="8.7265625" style="485"/>
    <col min="14593" max="14593" width="31.7265625" style="485" customWidth="1"/>
    <col min="14594" max="14848" width="8.7265625" style="485"/>
    <col min="14849" max="14849" width="31.7265625" style="485" customWidth="1"/>
    <col min="14850" max="15104" width="8.7265625" style="485"/>
    <col min="15105" max="15105" width="31.7265625" style="485" customWidth="1"/>
    <col min="15106" max="15360" width="8.7265625" style="485"/>
    <col min="15361" max="15361" width="31.7265625" style="485" customWidth="1"/>
    <col min="15362" max="15616" width="8.7265625" style="485"/>
    <col min="15617" max="15617" width="31.7265625" style="485" customWidth="1"/>
    <col min="15618" max="15872" width="8.7265625" style="485"/>
    <col min="15873" max="15873" width="31.7265625" style="485" customWidth="1"/>
    <col min="15874" max="16128" width="8.7265625" style="485"/>
    <col min="16129" max="16129" width="31.7265625" style="485" customWidth="1"/>
    <col min="16130" max="16384" width="8.7265625" style="485"/>
  </cols>
  <sheetData>
    <row r="1" spans="1:44" ht="13">
      <c r="A1" s="553" t="s">
        <v>1001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  <c r="AB1" s="510"/>
      <c r="AC1" s="510"/>
      <c r="AD1" s="510"/>
      <c r="AE1" s="510"/>
      <c r="AF1" s="510"/>
      <c r="AG1" s="510"/>
      <c r="AH1" s="510"/>
      <c r="AI1" s="510"/>
      <c r="AJ1" s="510"/>
      <c r="AK1" s="510"/>
      <c r="AL1" s="510"/>
      <c r="AM1" s="510"/>
      <c r="AN1" s="510"/>
      <c r="AO1" s="510"/>
      <c r="AP1" s="510"/>
    </row>
    <row r="2" spans="1:44" ht="13">
      <c r="A2" s="322" t="s">
        <v>1002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510"/>
      <c r="AC2" s="510"/>
      <c r="AD2" s="510"/>
      <c r="AE2" s="510"/>
      <c r="AF2" s="510"/>
      <c r="AG2" s="510"/>
      <c r="AH2" s="510"/>
      <c r="AI2" s="510"/>
      <c r="AJ2" s="510"/>
      <c r="AK2" s="510"/>
      <c r="AL2" s="510"/>
      <c r="AM2" s="510"/>
      <c r="AN2" s="510"/>
      <c r="AO2" s="510"/>
      <c r="AP2" s="510"/>
    </row>
    <row r="3" spans="1:44" ht="13">
      <c r="A3" s="323" t="s">
        <v>931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  <c r="AO3" s="510"/>
      <c r="AP3" s="510"/>
    </row>
    <row r="4" spans="1:44" ht="13.5" thickBot="1">
      <c r="A4" s="323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0"/>
      <c r="S4" s="510"/>
      <c r="T4" s="510"/>
      <c r="U4" s="510"/>
      <c r="V4" s="510"/>
      <c r="W4" s="510"/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0"/>
      <c r="AI4" s="510"/>
      <c r="AJ4" s="510"/>
      <c r="AK4" s="510"/>
      <c r="AL4" s="510"/>
      <c r="AM4" s="510"/>
      <c r="AN4" s="510"/>
      <c r="AO4" s="510"/>
      <c r="AP4" s="510"/>
    </row>
    <row r="5" spans="1:44" ht="13">
      <c r="A5" s="336"/>
      <c r="B5" s="543">
        <v>1953</v>
      </c>
      <c r="C5" s="543">
        <v>1954</v>
      </c>
      <c r="D5" s="543">
        <v>1955</v>
      </c>
      <c r="E5" s="543">
        <v>1956</v>
      </c>
      <c r="F5" s="543">
        <v>1957</v>
      </c>
      <c r="G5" s="543">
        <v>1958</v>
      </c>
      <c r="H5" s="543">
        <v>1959</v>
      </c>
      <c r="I5" s="543">
        <v>1960</v>
      </c>
      <c r="J5" s="543">
        <v>1961</v>
      </c>
      <c r="K5" s="543">
        <v>1962</v>
      </c>
      <c r="L5" s="543">
        <v>1963</v>
      </c>
      <c r="M5" s="543">
        <v>1964</v>
      </c>
      <c r="N5" s="543">
        <v>1965</v>
      </c>
      <c r="O5" s="543">
        <v>1966</v>
      </c>
      <c r="P5" s="543">
        <v>1967</v>
      </c>
      <c r="Q5" s="543">
        <v>1968</v>
      </c>
      <c r="R5" s="543">
        <v>1969</v>
      </c>
      <c r="S5" s="543">
        <v>1970</v>
      </c>
      <c r="T5" s="543">
        <v>1971</v>
      </c>
      <c r="U5" s="543">
        <v>1972</v>
      </c>
      <c r="V5" s="543">
        <v>1973</v>
      </c>
      <c r="W5" s="543">
        <v>1974</v>
      </c>
      <c r="X5" s="543">
        <v>1975</v>
      </c>
      <c r="Y5" s="543">
        <v>1976</v>
      </c>
      <c r="Z5" s="543">
        <v>1977</v>
      </c>
      <c r="AA5" s="543">
        <v>1978</v>
      </c>
      <c r="AB5" s="543">
        <v>1979</v>
      </c>
      <c r="AC5" s="543">
        <v>1980</v>
      </c>
      <c r="AD5" s="543">
        <v>1981</v>
      </c>
      <c r="AE5" s="543">
        <v>1982</v>
      </c>
      <c r="AF5" s="543">
        <v>1983</v>
      </c>
      <c r="AG5" s="543">
        <v>1984</v>
      </c>
      <c r="AH5" s="543">
        <v>1985</v>
      </c>
      <c r="AI5" s="543">
        <v>1986</v>
      </c>
      <c r="AJ5" s="543">
        <v>1987</v>
      </c>
      <c r="AK5" s="543">
        <v>1988</v>
      </c>
      <c r="AL5" s="543">
        <v>1989</v>
      </c>
      <c r="AM5" s="543">
        <v>1990</v>
      </c>
      <c r="AN5" s="543">
        <v>1991</v>
      </c>
      <c r="AO5" s="543">
        <v>1992</v>
      </c>
      <c r="AP5" s="543">
        <v>1993</v>
      </c>
      <c r="AQ5" s="543">
        <v>1994</v>
      </c>
      <c r="AR5" s="342">
        <v>1995</v>
      </c>
    </row>
    <row r="6" spans="1:44" ht="13.5" thickBot="1">
      <c r="A6" s="554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  <c r="Y6" s="555"/>
      <c r="Z6" s="555"/>
      <c r="AA6" s="555"/>
      <c r="AB6" s="555"/>
      <c r="AC6" s="555"/>
      <c r="AD6" s="555"/>
      <c r="AE6" s="555"/>
      <c r="AF6" s="555"/>
      <c r="AG6" s="555"/>
      <c r="AH6" s="555"/>
      <c r="AI6" s="555"/>
      <c r="AJ6" s="555"/>
      <c r="AK6" s="555"/>
      <c r="AL6" s="555"/>
      <c r="AM6" s="555"/>
      <c r="AN6" s="555"/>
      <c r="AO6" s="555"/>
      <c r="AP6" s="555"/>
      <c r="AQ6" s="555"/>
      <c r="AR6" s="556"/>
    </row>
    <row r="7" spans="1:44" ht="13">
      <c r="A7" s="557" t="s">
        <v>1003</v>
      </c>
      <c r="B7" s="558">
        <v>46443.158318016925</v>
      </c>
      <c r="C7" s="558">
        <v>48612.889906111675</v>
      </c>
      <c r="D7" s="558">
        <v>51294.453445818515</v>
      </c>
      <c r="E7" s="558">
        <v>52882.645751435084</v>
      </c>
      <c r="F7" s="558">
        <v>57029.381893707308</v>
      </c>
      <c r="G7" s="558">
        <v>58278.68202788147</v>
      </c>
      <c r="H7" s="558">
        <v>62132.193258606494</v>
      </c>
      <c r="I7" s="558">
        <v>66738.035628956364</v>
      </c>
      <c r="J7" s="558">
        <v>69047.101128946349</v>
      </c>
      <c r="K7" s="558">
        <v>74217.162934168067</v>
      </c>
      <c r="L7" s="558">
        <v>77444.0119597702</v>
      </c>
      <c r="M7" s="558">
        <v>83167.432311517041</v>
      </c>
      <c r="N7" s="558">
        <v>96976.907237246516</v>
      </c>
      <c r="O7" s="558">
        <v>102432.95773247271</v>
      </c>
      <c r="P7" s="558">
        <v>114477.53119870936</v>
      </c>
      <c r="Q7" s="558">
        <v>124436.74676699509</v>
      </c>
      <c r="R7" s="558">
        <v>126959.6331987218</v>
      </c>
      <c r="S7" s="558">
        <v>144049.21452903273</v>
      </c>
      <c r="T7" s="558">
        <v>162428.00818730716</v>
      </c>
      <c r="U7" s="558">
        <v>183059.44497376555</v>
      </c>
      <c r="V7" s="558">
        <v>222688.64265819232</v>
      </c>
      <c r="W7" s="558">
        <v>284045.09041407995</v>
      </c>
      <c r="X7" s="558">
        <v>328414.07822574658</v>
      </c>
      <c r="Y7" s="558">
        <v>392113.32766871509</v>
      </c>
      <c r="Z7" s="558">
        <v>479621.64703150338</v>
      </c>
      <c r="AA7" s="558">
        <v>591910.34167971171</v>
      </c>
      <c r="AB7" s="558">
        <v>751661.18659449369</v>
      </c>
      <c r="AC7" s="558">
        <v>986849.1588381792</v>
      </c>
      <c r="AD7" s="558">
        <v>1220415.0963537907</v>
      </c>
      <c r="AE7" s="558">
        <v>1467838.3420685688</v>
      </c>
      <c r="AF7" s="558">
        <v>1847081.9203027899</v>
      </c>
      <c r="AG7" s="558">
        <v>2343762.6802822221</v>
      </c>
      <c r="AH7" s="558">
        <v>2776209.0106878998</v>
      </c>
      <c r="AI7" s="558">
        <v>3331322.2714645518</v>
      </c>
      <c r="AJ7" s="558">
        <v>3917452.9052645685</v>
      </c>
      <c r="AK7" s="558">
        <v>4764366.7577046417</v>
      </c>
      <c r="AL7" s="558">
        <v>5527752.5265986696</v>
      </c>
      <c r="AM7" s="558">
        <v>6590213.6553653553</v>
      </c>
      <c r="AN7" s="558">
        <v>7869454.2503317501</v>
      </c>
      <c r="AO7" s="558">
        <v>8788578.5041448511</v>
      </c>
      <c r="AP7" s="558">
        <v>9330587.8305399939</v>
      </c>
      <c r="AQ7" s="558">
        <v>10045188.547258144</v>
      </c>
      <c r="AR7" s="559">
        <v>10728194.553722728</v>
      </c>
    </row>
    <row r="8" spans="1:44" ht="13">
      <c r="A8" s="560" t="s">
        <v>1004</v>
      </c>
      <c r="B8" s="558">
        <v>29065.220078335758</v>
      </c>
      <c r="C8" s="558">
        <v>29834.711394530892</v>
      </c>
      <c r="D8" s="558">
        <v>30813.27141176632</v>
      </c>
      <c r="E8" s="558">
        <v>31222.517125399558</v>
      </c>
      <c r="F8" s="558">
        <v>32694.42696744802</v>
      </c>
      <c r="G8" s="558">
        <v>32435.399283572253</v>
      </c>
      <c r="H8" s="558">
        <v>33360.17292429079</v>
      </c>
      <c r="I8" s="558">
        <v>36797.160544903905</v>
      </c>
      <c r="J8" s="558">
        <v>36968.461031977167</v>
      </c>
      <c r="K8" s="558">
        <v>41272.220635677804</v>
      </c>
      <c r="L8" s="558">
        <v>42601.445695936622</v>
      </c>
      <c r="M8" s="558">
        <v>44436.849942219502</v>
      </c>
      <c r="N8" s="558">
        <v>51293.664032260065</v>
      </c>
      <c r="O8" s="558">
        <v>53367.432321449422</v>
      </c>
      <c r="P8" s="558">
        <v>61932.861913298315</v>
      </c>
      <c r="Q8" s="558">
        <v>68107.523488265593</v>
      </c>
      <c r="R8" s="558">
        <v>68215.822328382492</v>
      </c>
      <c r="S8" s="558">
        <v>77364.314691238862</v>
      </c>
      <c r="T8" s="558">
        <v>86402.44655290166</v>
      </c>
      <c r="U8" s="558">
        <v>97347.633393333759</v>
      </c>
      <c r="V8" s="558">
        <v>115936.52707564362</v>
      </c>
      <c r="W8" s="558">
        <v>149739.2791467075</v>
      </c>
      <c r="X8" s="558">
        <v>173246.28003458958</v>
      </c>
      <c r="Y8" s="558">
        <v>207021.25719196905</v>
      </c>
      <c r="Z8" s="558">
        <v>251955.01291491956</v>
      </c>
      <c r="AA8" s="558">
        <v>321924.08680170588</v>
      </c>
      <c r="AB8" s="558">
        <v>421436.82734882116</v>
      </c>
      <c r="AC8" s="558">
        <v>544875.78593494697</v>
      </c>
      <c r="AD8" s="558">
        <v>673151.65908685513</v>
      </c>
      <c r="AE8" s="558">
        <v>800838.09669185011</v>
      </c>
      <c r="AF8" s="558">
        <v>1005773.5051033924</v>
      </c>
      <c r="AG8" s="558">
        <v>1286093.9180416537</v>
      </c>
      <c r="AH8" s="558">
        <v>1504216.0636613253</v>
      </c>
      <c r="AI8" s="558">
        <v>1795307.0137521497</v>
      </c>
      <c r="AJ8" s="558">
        <v>2093396.605572768</v>
      </c>
      <c r="AK8" s="558">
        <v>2465579.891841392</v>
      </c>
      <c r="AL8" s="558">
        <v>2815971.6791910673</v>
      </c>
      <c r="AM8" s="558">
        <v>3394143.6673929584</v>
      </c>
      <c r="AN8" s="558">
        <v>3943324.0061104796</v>
      </c>
      <c r="AO8" s="558">
        <v>4279801.6282643657</v>
      </c>
      <c r="AP8" s="558">
        <v>4487088.9016935667</v>
      </c>
      <c r="AQ8" s="558">
        <v>4711539.5148939695</v>
      </c>
      <c r="AR8" s="559">
        <v>5085750.9841617253</v>
      </c>
    </row>
    <row r="9" spans="1:44" ht="13">
      <c r="A9" s="560" t="s">
        <v>1005</v>
      </c>
      <c r="B9" s="558">
        <v>17866.075123412586</v>
      </c>
      <c r="C9" s="558">
        <v>18008.366066374965</v>
      </c>
      <c r="D9" s="558">
        <v>18655.867926001109</v>
      </c>
      <c r="E9" s="558">
        <v>18436.914088100202</v>
      </c>
      <c r="F9" s="558">
        <v>19317.645730349286</v>
      </c>
      <c r="G9" s="558">
        <v>18624.358390903522</v>
      </c>
      <c r="H9" s="558">
        <v>19505.692870624724</v>
      </c>
      <c r="I9" s="558">
        <v>21015.410120969158</v>
      </c>
      <c r="J9" s="558">
        <v>21397.412440431708</v>
      </c>
      <c r="K9" s="558">
        <v>24581.084697800234</v>
      </c>
      <c r="L9" s="558">
        <v>25158.938068605759</v>
      </c>
      <c r="M9" s="558">
        <v>25526.713216471402</v>
      </c>
      <c r="N9" s="558">
        <v>27966.374994732727</v>
      </c>
      <c r="O9" s="558">
        <v>29067.939029615845</v>
      </c>
      <c r="P9" s="558">
        <v>34607.60772121085</v>
      </c>
      <c r="Q9" s="558">
        <v>37926.115133822255</v>
      </c>
      <c r="R9" s="558">
        <v>37724.914651888197</v>
      </c>
      <c r="S9" s="558">
        <v>42950.751465325098</v>
      </c>
      <c r="T9" s="558">
        <v>46217.63033014087</v>
      </c>
      <c r="U9" s="558">
        <v>54996.239485502192</v>
      </c>
      <c r="V9" s="558">
        <v>61975.943742531868</v>
      </c>
      <c r="W9" s="558">
        <v>79366.426326997884</v>
      </c>
      <c r="X9" s="558">
        <v>95737.216879237385</v>
      </c>
      <c r="Y9" s="558">
        <v>116972.82831803116</v>
      </c>
      <c r="Z9" s="558">
        <v>141158.40168944295</v>
      </c>
      <c r="AA9" s="558">
        <v>195601.00410915038</v>
      </c>
      <c r="AB9" s="558">
        <v>258310.40856614499</v>
      </c>
      <c r="AC9" s="558">
        <v>321285.73477543483</v>
      </c>
      <c r="AD9" s="558">
        <v>401904.25731417286</v>
      </c>
      <c r="AE9" s="558">
        <v>481613.49858679401</v>
      </c>
      <c r="AF9" s="558">
        <v>604640.88247226819</v>
      </c>
      <c r="AG9" s="558">
        <v>783713.70101404726</v>
      </c>
      <c r="AH9" s="558">
        <v>928211.30285882764</v>
      </c>
      <c r="AI9" s="558">
        <v>1062614.0918800319</v>
      </c>
      <c r="AJ9" s="558">
        <v>1230240.7041433228</v>
      </c>
      <c r="AK9" s="558">
        <v>1414513.0595243978</v>
      </c>
      <c r="AL9" s="558">
        <v>1601303.5762054522</v>
      </c>
      <c r="AM9" s="558">
        <v>1868298.6532468956</v>
      </c>
      <c r="AN9" s="558">
        <v>2211722.8494423702</v>
      </c>
      <c r="AO9" s="558">
        <v>2369284.7504266668</v>
      </c>
      <c r="AP9" s="558">
        <v>2499526.8124319026</v>
      </c>
      <c r="AQ9" s="558">
        <v>2714287.5923623559</v>
      </c>
      <c r="AR9" s="559">
        <v>2950875.3133944487</v>
      </c>
    </row>
    <row r="10" spans="1:44" ht="13">
      <c r="A10" s="560" t="s">
        <v>1006</v>
      </c>
      <c r="B10" s="558">
        <v>7197.2387141037825</v>
      </c>
      <c r="C10" s="558">
        <v>7444.9620152889829</v>
      </c>
      <c r="D10" s="558">
        <v>7392.1460339078394</v>
      </c>
      <c r="E10" s="558">
        <v>7470.7494820260708</v>
      </c>
      <c r="F10" s="558">
        <v>7648.8110396379725</v>
      </c>
      <c r="G10" s="558">
        <v>7616.1178516434948</v>
      </c>
      <c r="H10" s="558">
        <v>7453.326004187461</v>
      </c>
      <c r="I10" s="558">
        <v>8140.2718066906382</v>
      </c>
      <c r="J10" s="558">
        <v>8148.6382556530361</v>
      </c>
      <c r="K10" s="558">
        <v>8198.1540021929486</v>
      </c>
      <c r="L10" s="558">
        <v>8850.840541347101</v>
      </c>
      <c r="M10" s="558">
        <v>9211.6345371361494</v>
      </c>
      <c r="N10" s="558">
        <v>11870.762662169967</v>
      </c>
      <c r="O10" s="558">
        <v>12280.760987928034</v>
      </c>
      <c r="P10" s="558">
        <v>14234.475956771725</v>
      </c>
      <c r="Q10" s="558">
        <v>15874.173936897003</v>
      </c>
      <c r="R10" s="558">
        <v>15656.944780401805</v>
      </c>
      <c r="S10" s="558">
        <v>17538.472953259705</v>
      </c>
      <c r="T10" s="558">
        <v>19751.291722297683</v>
      </c>
      <c r="U10" s="558">
        <v>21079.712902997766</v>
      </c>
      <c r="V10" s="558">
        <v>25687.718047726419</v>
      </c>
      <c r="W10" s="558">
        <v>32939.105330742925</v>
      </c>
      <c r="X10" s="558">
        <v>36145.97351979425</v>
      </c>
      <c r="Y10" s="558">
        <v>42108.394425958912</v>
      </c>
      <c r="Z10" s="558">
        <v>48819.86353750086</v>
      </c>
      <c r="AA10" s="558">
        <v>54147.577258559657</v>
      </c>
      <c r="AB10" s="558">
        <v>71145.28590370866</v>
      </c>
      <c r="AC10" s="558">
        <v>93175.340716097344</v>
      </c>
      <c r="AD10" s="558">
        <v>111710.834723023</v>
      </c>
      <c r="AE10" s="558">
        <v>126149.46217881594</v>
      </c>
      <c r="AF10" s="558">
        <v>154903.61558114993</v>
      </c>
      <c r="AG10" s="558">
        <v>190444.81846591635</v>
      </c>
      <c r="AH10" s="558">
        <v>220902.35086343173</v>
      </c>
      <c r="AI10" s="558">
        <v>304348.60388019006</v>
      </c>
      <c r="AJ10" s="558">
        <v>364999.03466082091</v>
      </c>
      <c r="AK10" s="558">
        <v>455269.28350192681</v>
      </c>
      <c r="AL10" s="558">
        <v>502067.62735012372</v>
      </c>
      <c r="AM10" s="558">
        <v>681065.72553093464</v>
      </c>
      <c r="AN10" s="558">
        <v>760943.52300647669</v>
      </c>
      <c r="AO10" s="558">
        <v>834713.25197742169</v>
      </c>
      <c r="AP10" s="558">
        <v>890570.91278020141</v>
      </c>
      <c r="AQ10" s="558">
        <v>881602.31184236682</v>
      </c>
      <c r="AR10" s="559">
        <v>932792.34692932665</v>
      </c>
    </row>
    <row r="11" spans="1:44" ht="13">
      <c r="A11" s="560" t="s">
        <v>1007</v>
      </c>
      <c r="B11" s="558">
        <v>474.18395014296135</v>
      </c>
      <c r="C11" s="558">
        <v>554.17656087938428</v>
      </c>
      <c r="D11" s="558">
        <v>592.42741654776944</v>
      </c>
      <c r="E11" s="558">
        <v>655.36820447701882</v>
      </c>
      <c r="F11" s="558">
        <v>684.6097584457541</v>
      </c>
      <c r="G11" s="558">
        <v>765.10450752475811</v>
      </c>
      <c r="H11" s="558">
        <v>750.56437686694312</v>
      </c>
      <c r="I11" s="558">
        <v>904.56148594553042</v>
      </c>
      <c r="J11" s="558">
        <v>827.89610908569705</v>
      </c>
      <c r="K11" s="558">
        <v>1100.8096488632402</v>
      </c>
      <c r="L11" s="558">
        <v>1117.4974621643096</v>
      </c>
      <c r="M11" s="558">
        <v>1242.0412513949605</v>
      </c>
      <c r="N11" s="558">
        <v>1339.0587503362315</v>
      </c>
      <c r="O11" s="558">
        <v>1387.9622404191543</v>
      </c>
      <c r="P11" s="558">
        <v>1628.9219990190479</v>
      </c>
      <c r="Q11" s="558">
        <v>1842.9745996571548</v>
      </c>
      <c r="R11" s="558">
        <v>1850.7051922874955</v>
      </c>
      <c r="S11" s="558">
        <v>2135.6305008717386</v>
      </c>
      <c r="T11" s="558">
        <v>2510.7639787439675</v>
      </c>
      <c r="U11" s="558">
        <v>2400.7962049997859</v>
      </c>
      <c r="V11" s="558">
        <v>3106.469533158493</v>
      </c>
      <c r="W11" s="558">
        <v>4555.854812874205</v>
      </c>
      <c r="X11" s="558">
        <v>5785.7275072592129</v>
      </c>
      <c r="Y11" s="558">
        <v>6637.1137536361184</v>
      </c>
      <c r="Z11" s="558">
        <v>8595.7912355417084</v>
      </c>
      <c r="AA11" s="558">
        <v>9828.7957031455189</v>
      </c>
      <c r="AB11" s="558">
        <v>14010.986796616278</v>
      </c>
      <c r="AC11" s="558">
        <v>22437.409739267267</v>
      </c>
      <c r="AD11" s="558">
        <v>31164.419328789598</v>
      </c>
      <c r="AE11" s="558">
        <v>37275.417346132941</v>
      </c>
      <c r="AF11" s="558">
        <v>48920.104643442028</v>
      </c>
      <c r="AG11" s="558">
        <v>57598.024418976682</v>
      </c>
      <c r="AH11" s="558">
        <v>64768.767298512772</v>
      </c>
      <c r="AI11" s="558">
        <v>71274.489853530438</v>
      </c>
      <c r="AJ11" s="558">
        <v>73063.784871750991</v>
      </c>
      <c r="AK11" s="558">
        <v>85160.303227396464</v>
      </c>
      <c r="AL11" s="558">
        <v>100717.2100715711</v>
      </c>
      <c r="AM11" s="558">
        <v>104792.51959135983</v>
      </c>
      <c r="AN11" s="558">
        <v>123813.27992495269</v>
      </c>
      <c r="AO11" s="558">
        <v>136595.58325561695</v>
      </c>
      <c r="AP11" s="558">
        <v>142577.984830161</v>
      </c>
      <c r="AQ11" s="558">
        <v>150245.71283003216</v>
      </c>
      <c r="AR11" s="559">
        <v>156017.89155943118</v>
      </c>
    </row>
    <row r="12" spans="1:44" ht="13">
      <c r="A12" s="560" t="s">
        <v>658</v>
      </c>
      <c r="B12" s="558">
        <v>3527.7222906764305</v>
      </c>
      <c r="C12" s="558">
        <v>3827.2067519875595</v>
      </c>
      <c r="D12" s="558">
        <v>4172.830035309602</v>
      </c>
      <c r="E12" s="558">
        <v>4659.4853507962671</v>
      </c>
      <c r="F12" s="558">
        <v>5043.3604390150103</v>
      </c>
      <c r="G12" s="558">
        <v>5429.81853350048</v>
      </c>
      <c r="H12" s="558">
        <v>5650.5896726116634</v>
      </c>
      <c r="I12" s="558">
        <v>6736.9171312985754</v>
      </c>
      <c r="J12" s="558">
        <v>6594.5142268067239</v>
      </c>
      <c r="K12" s="558">
        <v>7392.1722868213756</v>
      </c>
      <c r="L12" s="558">
        <v>7474.1696238194518</v>
      </c>
      <c r="M12" s="558">
        <v>8456.4609372169889</v>
      </c>
      <c r="N12" s="558">
        <v>10117.467625021143</v>
      </c>
      <c r="O12" s="558">
        <v>10630.770063486387</v>
      </c>
      <c r="P12" s="558">
        <v>11461.856236296688</v>
      </c>
      <c r="Q12" s="558">
        <v>12464.259817889177</v>
      </c>
      <c r="R12" s="558">
        <v>12983.257703804988</v>
      </c>
      <c r="S12" s="558">
        <v>14739.459771782313</v>
      </c>
      <c r="T12" s="558">
        <v>17922.760521719149</v>
      </c>
      <c r="U12" s="558">
        <v>18870.884799834028</v>
      </c>
      <c r="V12" s="558">
        <v>25166.395752226839</v>
      </c>
      <c r="W12" s="558">
        <v>32877.892676092488</v>
      </c>
      <c r="X12" s="558">
        <v>35577.362128298766</v>
      </c>
      <c r="Y12" s="558">
        <v>41302.920694342873</v>
      </c>
      <c r="Z12" s="558">
        <v>53380.956452434009</v>
      </c>
      <c r="AA12" s="558">
        <v>62346.709730850336</v>
      </c>
      <c r="AB12" s="558">
        <v>77970.146082351232</v>
      </c>
      <c r="AC12" s="558">
        <v>107977.30070414755</v>
      </c>
      <c r="AD12" s="558">
        <v>128372.14772086966</v>
      </c>
      <c r="AE12" s="558">
        <v>155799.71858010718</v>
      </c>
      <c r="AF12" s="558">
        <v>197308.90240653217</v>
      </c>
      <c r="AG12" s="558">
        <v>254337.37414271347</v>
      </c>
      <c r="AH12" s="558">
        <v>290333.64264055307</v>
      </c>
      <c r="AI12" s="558">
        <v>357069.82813839737</v>
      </c>
      <c r="AJ12" s="558">
        <v>425093.08189687337</v>
      </c>
      <c r="AK12" s="558">
        <v>510637.24558767094</v>
      </c>
      <c r="AL12" s="558">
        <v>611883.26556392026</v>
      </c>
      <c r="AM12" s="558">
        <v>739986.76902376802</v>
      </c>
      <c r="AN12" s="558">
        <v>846844.35373668</v>
      </c>
      <c r="AO12" s="558">
        <v>939208.0426046598</v>
      </c>
      <c r="AP12" s="558">
        <v>954413.19165130181</v>
      </c>
      <c r="AQ12" s="558">
        <v>965403.89785921492</v>
      </c>
      <c r="AR12" s="559">
        <v>1046065.4322785186</v>
      </c>
    </row>
    <row r="13" spans="1:44" ht="13">
      <c r="A13" s="560" t="s">
        <v>1008</v>
      </c>
      <c r="B13" s="558">
        <v>2087.2492776768095</v>
      </c>
      <c r="C13" s="558">
        <v>2298.7182457690615</v>
      </c>
      <c r="D13" s="558">
        <v>2482.0907970962112</v>
      </c>
      <c r="E13" s="558">
        <v>2843.1607634157485</v>
      </c>
      <c r="F13" s="558">
        <v>3427.5674082292144</v>
      </c>
      <c r="G13" s="558">
        <v>3693.0298403762013</v>
      </c>
      <c r="H13" s="558">
        <v>4017.1878337387234</v>
      </c>
      <c r="I13" s="558">
        <v>4171.9130424647046</v>
      </c>
      <c r="J13" s="558">
        <v>4371.0738334949629</v>
      </c>
      <c r="K13" s="558">
        <v>5311.6525303841345</v>
      </c>
      <c r="L13" s="558">
        <v>5894.5269991795176</v>
      </c>
      <c r="M13" s="558">
        <v>6632.875278454484</v>
      </c>
      <c r="N13" s="558">
        <v>8299.708752745104</v>
      </c>
      <c r="O13" s="558">
        <v>9176.3691255448593</v>
      </c>
      <c r="P13" s="558">
        <v>10087.382376539781</v>
      </c>
      <c r="Q13" s="558">
        <v>10539.853641841295</v>
      </c>
      <c r="R13" s="558">
        <v>11549.951956369305</v>
      </c>
      <c r="S13" s="558">
        <v>13306.479087845564</v>
      </c>
      <c r="T13" s="558">
        <v>16002.857990888177</v>
      </c>
      <c r="U13" s="558">
        <v>17814.993753540806</v>
      </c>
      <c r="V13" s="558">
        <v>21710.604977506853</v>
      </c>
      <c r="W13" s="558">
        <v>28677.010100406114</v>
      </c>
      <c r="X13" s="558">
        <v>31796.238493554963</v>
      </c>
      <c r="Y13" s="558">
        <v>36159.554438840794</v>
      </c>
      <c r="Z13" s="558">
        <v>42980.270816096279</v>
      </c>
      <c r="AA13" s="558">
        <v>50438.183569607019</v>
      </c>
      <c r="AB13" s="558">
        <v>65603.777799912961</v>
      </c>
      <c r="AC13" s="558">
        <v>99653.106759288712</v>
      </c>
      <c r="AD13" s="558">
        <v>121503.07903163508</v>
      </c>
      <c r="AE13" s="558">
        <v>135235.34709669158</v>
      </c>
      <c r="AF13" s="558">
        <v>168927.80599118711</v>
      </c>
      <c r="AG13" s="558">
        <v>192921.46822318214</v>
      </c>
      <c r="AH13" s="558">
        <v>230350.85497548385</v>
      </c>
      <c r="AI13" s="558">
        <v>268783.73889530951</v>
      </c>
      <c r="AJ13" s="558">
        <v>365258.63608296379</v>
      </c>
      <c r="AK13" s="558">
        <v>540971.4562725646</v>
      </c>
      <c r="AL13" s="558">
        <v>584065.96538750955</v>
      </c>
      <c r="AM13" s="558">
        <v>682353.37540612789</v>
      </c>
      <c r="AN13" s="558">
        <v>826330.26586272509</v>
      </c>
      <c r="AO13" s="558">
        <v>973597.07760151359</v>
      </c>
      <c r="AP13" s="558">
        <v>954817.71386449155</v>
      </c>
      <c r="AQ13" s="558">
        <v>1011584.7725424429</v>
      </c>
      <c r="AR13" s="559">
        <v>1049185.6411289945</v>
      </c>
    </row>
    <row r="14" spans="1:44" ht="13">
      <c r="A14" s="560" t="s">
        <v>1009</v>
      </c>
      <c r="B14" s="558">
        <v>512.79131278908096</v>
      </c>
      <c r="C14" s="558">
        <v>652.61131896345796</v>
      </c>
      <c r="D14" s="558">
        <v>718.11668177845866</v>
      </c>
      <c r="E14" s="558">
        <v>784.32114175578442</v>
      </c>
      <c r="F14" s="558">
        <v>845.48638921337749</v>
      </c>
      <c r="G14" s="558">
        <v>990.19667061651808</v>
      </c>
      <c r="H14" s="558">
        <v>1165.6313822999552</v>
      </c>
      <c r="I14" s="558">
        <v>1083.2916972372104</v>
      </c>
      <c r="J14" s="558">
        <v>1096.0056836980259</v>
      </c>
      <c r="K14" s="558">
        <v>1353.1834480306777</v>
      </c>
      <c r="L14" s="558">
        <v>1641.98792703141</v>
      </c>
      <c r="M14" s="558">
        <v>1631.9165060075838</v>
      </c>
      <c r="N14" s="558">
        <v>2365.3372505850343</v>
      </c>
      <c r="O14" s="558">
        <v>2603.5030037358174</v>
      </c>
      <c r="P14" s="558">
        <v>2596.1288581879548</v>
      </c>
      <c r="Q14" s="558">
        <v>2820.601499568626</v>
      </c>
      <c r="R14" s="558">
        <v>3634.4697005925004</v>
      </c>
      <c r="S14" s="558">
        <v>4229.1799051222179</v>
      </c>
      <c r="T14" s="558">
        <v>5548.8765235711462</v>
      </c>
      <c r="U14" s="558">
        <v>5999.4150505078842</v>
      </c>
      <c r="V14" s="558">
        <v>6880.3488703321973</v>
      </c>
      <c r="W14" s="558">
        <v>8631.831157584953</v>
      </c>
      <c r="X14" s="558">
        <v>8238.3197816376887</v>
      </c>
      <c r="Y14" s="558">
        <v>8630.1922462950151</v>
      </c>
      <c r="Z14" s="558">
        <v>10400.559417268909</v>
      </c>
      <c r="AA14" s="558">
        <v>13818.03184740743</v>
      </c>
      <c r="AB14" s="558">
        <v>22704.400227445065</v>
      </c>
      <c r="AC14" s="558">
        <v>32042.951072514305</v>
      </c>
      <c r="AD14" s="558">
        <v>47817.625242963724</v>
      </c>
      <c r="AE14" s="558">
        <v>55282.401168758493</v>
      </c>
      <c r="AF14" s="558">
        <v>77368.665529898106</v>
      </c>
      <c r="AG14" s="558">
        <v>86882.27626526673</v>
      </c>
      <c r="AH14" s="558">
        <v>110392.63408471677</v>
      </c>
      <c r="AI14" s="558">
        <v>110830.08863379913</v>
      </c>
      <c r="AJ14" s="558">
        <v>149187.7847311479</v>
      </c>
      <c r="AK14" s="558">
        <v>272697.88388866704</v>
      </c>
      <c r="AL14" s="558">
        <v>269641.95587334939</v>
      </c>
      <c r="AM14" s="558">
        <v>311366.39776918449</v>
      </c>
      <c r="AN14" s="558">
        <v>394769.22586603201</v>
      </c>
      <c r="AO14" s="558">
        <v>488166.00152272027</v>
      </c>
      <c r="AP14" s="558">
        <v>477104.93235496461</v>
      </c>
      <c r="AQ14" s="558">
        <v>543188.47922801017</v>
      </c>
      <c r="AR14" s="559">
        <v>566895.18084768287</v>
      </c>
    </row>
    <row r="15" spans="1:44" ht="13">
      <c r="A15" s="560" t="s">
        <v>658</v>
      </c>
      <c r="B15" s="558">
        <v>1574.4579648877286</v>
      </c>
      <c r="C15" s="558">
        <v>1646.1069268056035</v>
      </c>
      <c r="D15" s="558">
        <v>1763.9741153177524</v>
      </c>
      <c r="E15" s="558">
        <v>2058.839621659964</v>
      </c>
      <c r="F15" s="558">
        <v>2582.0810190158368</v>
      </c>
      <c r="G15" s="558">
        <v>2702.8331697596832</v>
      </c>
      <c r="H15" s="558">
        <v>2851.5564514387679</v>
      </c>
      <c r="I15" s="558">
        <v>3088.6213452274947</v>
      </c>
      <c r="J15" s="558">
        <v>3275.0681497969372</v>
      </c>
      <c r="K15" s="558">
        <v>3958.4690823534565</v>
      </c>
      <c r="L15" s="558">
        <v>4252.5390721481072</v>
      </c>
      <c r="M15" s="558">
        <v>5000.9587724469002</v>
      </c>
      <c r="N15" s="558">
        <v>5934.3715021600692</v>
      </c>
      <c r="O15" s="558">
        <v>6572.8661218090419</v>
      </c>
      <c r="P15" s="558">
        <v>7491.2535183518266</v>
      </c>
      <c r="Q15" s="558">
        <v>7719.2521422726695</v>
      </c>
      <c r="R15" s="558">
        <v>7915.4822557768048</v>
      </c>
      <c r="S15" s="558">
        <v>9077.2991827233454</v>
      </c>
      <c r="T15" s="558">
        <v>10453.981467317029</v>
      </c>
      <c r="U15" s="558">
        <v>11815.578703032923</v>
      </c>
      <c r="V15" s="558">
        <v>14830.256107174655</v>
      </c>
      <c r="W15" s="558">
        <v>20045.17894282116</v>
      </c>
      <c r="X15" s="558">
        <v>23557.918711917275</v>
      </c>
      <c r="Y15" s="558">
        <v>27529.362192545777</v>
      </c>
      <c r="Z15" s="558">
        <v>32579.71139882737</v>
      </c>
      <c r="AA15" s="558">
        <v>36620.151722199589</v>
      </c>
      <c r="AB15" s="558">
        <v>42899.3775724679</v>
      </c>
      <c r="AC15" s="558">
        <v>67610.155686774408</v>
      </c>
      <c r="AD15" s="558">
        <v>73685.453788671352</v>
      </c>
      <c r="AE15" s="558">
        <v>79952.945927933091</v>
      </c>
      <c r="AF15" s="558">
        <v>91559.140461288989</v>
      </c>
      <c r="AG15" s="558">
        <v>106039.19195791542</v>
      </c>
      <c r="AH15" s="558">
        <v>119958.22089076706</v>
      </c>
      <c r="AI15" s="558">
        <v>157953.6502615104</v>
      </c>
      <c r="AJ15" s="558">
        <v>216070.85135181586</v>
      </c>
      <c r="AK15" s="558">
        <v>268273.5723838975</v>
      </c>
      <c r="AL15" s="558">
        <v>314424.00951416016</v>
      </c>
      <c r="AM15" s="558">
        <v>370986.97763694334</v>
      </c>
      <c r="AN15" s="558">
        <v>431561.03999669309</v>
      </c>
      <c r="AO15" s="558">
        <v>485431.07607879338</v>
      </c>
      <c r="AP15" s="558">
        <v>477712.78150952701</v>
      </c>
      <c r="AQ15" s="558">
        <v>468396.29331443267</v>
      </c>
      <c r="AR15" s="559">
        <v>482290.46028131153</v>
      </c>
    </row>
    <row r="16" spans="1:44" ht="13.5" thickBot="1">
      <c r="A16" s="561" t="s">
        <v>655</v>
      </c>
      <c r="B16" s="562">
        <v>15290.688962004355</v>
      </c>
      <c r="C16" s="562">
        <v>16479.460265811722</v>
      </c>
      <c r="D16" s="562">
        <v>17999.091236955981</v>
      </c>
      <c r="E16" s="562">
        <v>18816.967862619778</v>
      </c>
      <c r="F16" s="562">
        <v>20907.387518030078</v>
      </c>
      <c r="G16" s="562">
        <v>22150.252903933018</v>
      </c>
      <c r="H16" s="562">
        <v>24754.83250057698</v>
      </c>
      <c r="I16" s="562">
        <v>25768.962041587758</v>
      </c>
      <c r="J16" s="562">
        <v>27707.566263474222</v>
      </c>
      <c r="K16" s="562">
        <v>27633.289768106137</v>
      </c>
      <c r="L16" s="562">
        <v>28948.039264654057</v>
      </c>
      <c r="M16" s="562">
        <v>32097.707090843051</v>
      </c>
      <c r="N16" s="562">
        <v>37383.534452241351</v>
      </c>
      <c r="O16" s="562">
        <v>39889.156285478428</v>
      </c>
      <c r="P16" s="562">
        <v>42457.286908871261</v>
      </c>
      <c r="Q16" s="562">
        <v>45789.369636888194</v>
      </c>
      <c r="R16" s="562">
        <v>47193.858913970013</v>
      </c>
      <c r="S16" s="562">
        <v>53378.420749948302</v>
      </c>
      <c r="T16" s="562">
        <v>60022.703643517336</v>
      </c>
      <c r="U16" s="562">
        <v>67896.817826890983</v>
      </c>
      <c r="V16" s="562">
        <v>85041.51060504184</v>
      </c>
      <c r="W16" s="562">
        <v>105628.8011669663</v>
      </c>
      <c r="X16" s="562">
        <v>123371.55969760203</v>
      </c>
      <c r="Y16" s="562">
        <v>148932.51603790524</v>
      </c>
      <c r="Z16" s="562">
        <v>184686.36330048752</v>
      </c>
      <c r="AA16" s="562">
        <v>219548.07130839879</v>
      </c>
      <c r="AB16" s="562">
        <v>264620.58144575963</v>
      </c>
      <c r="AC16" s="562">
        <v>342320.26614394353</v>
      </c>
      <c r="AD16" s="562">
        <v>425760.3582353004</v>
      </c>
      <c r="AE16" s="562">
        <v>531764.89828002709</v>
      </c>
      <c r="AF16" s="562">
        <v>672380.60920821037</v>
      </c>
      <c r="AG16" s="562">
        <v>864747.29401738627</v>
      </c>
      <c r="AH16" s="562">
        <v>1041642.0920510909</v>
      </c>
      <c r="AI16" s="562">
        <v>1267231.5188170928</v>
      </c>
      <c r="AJ16" s="562">
        <v>1458797.6636088369</v>
      </c>
      <c r="AK16" s="562">
        <v>1757815.4095906848</v>
      </c>
      <c r="AL16" s="562">
        <v>2127714.882020093</v>
      </c>
      <c r="AM16" s="562">
        <v>2513716.6125662695</v>
      </c>
      <c r="AN16" s="562">
        <v>3099799.9783585453</v>
      </c>
      <c r="AO16" s="562">
        <v>3535179.7982789716</v>
      </c>
      <c r="AP16" s="562">
        <v>3888681.2149819368</v>
      </c>
      <c r="AQ16" s="562">
        <v>4322064.2598217316</v>
      </c>
      <c r="AR16" s="563">
        <v>4593257.9284320073</v>
      </c>
    </row>
    <row r="17" spans="1:44" ht="13">
      <c r="A17" s="510"/>
      <c r="B17" s="510"/>
      <c r="C17" s="510"/>
      <c r="D17" s="510"/>
      <c r="E17" s="510"/>
      <c r="F17" s="510"/>
      <c r="G17" s="510"/>
      <c r="H17" s="510"/>
      <c r="I17" s="510"/>
      <c r="J17" s="510"/>
      <c r="K17" s="510"/>
      <c r="L17" s="510"/>
      <c r="M17" s="510"/>
      <c r="N17" s="510"/>
      <c r="O17" s="510"/>
      <c r="P17" s="510"/>
      <c r="Q17" s="510"/>
      <c r="R17" s="510"/>
      <c r="S17" s="510"/>
      <c r="T17" s="510"/>
      <c r="U17" s="510"/>
      <c r="V17" s="510"/>
      <c r="W17" s="510"/>
      <c r="X17" s="510"/>
      <c r="Y17" s="510"/>
      <c r="Z17" s="510"/>
      <c r="AA17" s="510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  <c r="AO17" s="510"/>
      <c r="AP17" s="510"/>
    </row>
    <row r="18" spans="1:44" ht="13">
      <c r="A18" s="510"/>
      <c r="B18" s="564"/>
      <c r="C18" s="564"/>
      <c r="D18" s="564"/>
      <c r="E18" s="564"/>
      <c r="F18" s="564"/>
      <c r="G18" s="564"/>
      <c r="H18" s="564"/>
      <c r="I18" s="564"/>
      <c r="J18" s="564"/>
      <c r="K18" s="564"/>
      <c r="L18" s="564"/>
      <c r="M18" s="564"/>
      <c r="N18" s="564"/>
      <c r="O18" s="564"/>
      <c r="P18" s="564"/>
      <c r="Q18" s="564"/>
      <c r="R18" s="564"/>
      <c r="S18" s="564"/>
      <c r="T18" s="564"/>
      <c r="U18" s="564"/>
      <c r="V18" s="564"/>
      <c r="W18" s="564"/>
      <c r="X18" s="564"/>
      <c r="Y18" s="564"/>
      <c r="Z18" s="564"/>
      <c r="AA18" s="564"/>
      <c r="AB18" s="564"/>
      <c r="AC18" s="564"/>
      <c r="AD18" s="564"/>
      <c r="AE18" s="564"/>
      <c r="AF18" s="564"/>
      <c r="AG18" s="564"/>
      <c r="AH18" s="564"/>
      <c r="AI18" s="564"/>
      <c r="AJ18" s="564"/>
      <c r="AK18" s="564"/>
      <c r="AL18" s="564"/>
      <c r="AM18" s="564"/>
      <c r="AN18" s="564"/>
      <c r="AO18" s="564"/>
      <c r="AP18" s="564"/>
      <c r="AQ18" s="542"/>
      <c r="AR18" s="542"/>
    </row>
    <row r="19" spans="1:44" ht="13">
      <c r="A19" s="553"/>
      <c r="B19" s="510"/>
      <c r="C19" s="510"/>
      <c r="D19" s="510"/>
      <c r="E19" s="510"/>
      <c r="F19" s="510"/>
      <c r="G19" s="510"/>
      <c r="H19" s="510"/>
      <c r="I19" s="510"/>
      <c r="J19" s="510"/>
      <c r="K19" s="510"/>
      <c r="L19" s="510"/>
      <c r="M19" s="510"/>
      <c r="N19" s="510"/>
      <c r="O19" s="510"/>
      <c r="P19" s="510"/>
      <c r="Q19" s="510"/>
      <c r="R19" s="510"/>
      <c r="S19" s="510"/>
      <c r="T19" s="510"/>
      <c r="U19" s="510"/>
      <c r="V19" s="510"/>
      <c r="W19" s="510"/>
      <c r="X19" s="510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0"/>
      <c r="AL19" s="510"/>
      <c r="AM19" s="510"/>
      <c r="AN19" s="510"/>
      <c r="AO19" s="510"/>
      <c r="AP19" s="510"/>
    </row>
    <row r="20" spans="1:44" ht="13">
      <c r="A20" s="322"/>
      <c r="B20" s="510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</row>
    <row r="38" spans="43:44">
      <c r="AQ38" s="542"/>
      <c r="AR38" s="542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4" fitToWidth="3" orientation="landscape" horizontalDpi="4294967292" verticalDpi="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BDB3-9529-43AD-B543-F843500C115C}">
  <dimension ref="A1:AR16"/>
  <sheetViews>
    <sheetView showGridLines="0" workbookViewId="0">
      <selection activeCell="C21" sqref="C21"/>
    </sheetView>
  </sheetViews>
  <sheetFormatPr defaultRowHeight="12.5"/>
  <cols>
    <col min="1" max="16384" width="8.7265625" style="485"/>
  </cols>
  <sheetData>
    <row r="1" spans="1:44" ht="13">
      <c r="A1" s="553" t="s">
        <v>1001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  <c r="AB1" s="510"/>
      <c r="AC1" s="510"/>
      <c r="AD1" s="510"/>
      <c r="AE1" s="510"/>
      <c r="AF1" s="510"/>
      <c r="AG1" s="510"/>
      <c r="AH1" s="510"/>
      <c r="AI1" s="510"/>
      <c r="AJ1" s="510"/>
      <c r="AK1" s="510"/>
      <c r="AL1" s="510"/>
      <c r="AM1" s="510"/>
      <c r="AN1" s="510"/>
      <c r="AO1" s="510"/>
      <c r="AP1" s="510"/>
    </row>
    <row r="2" spans="1:44" ht="13">
      <c r="A2" s="322" t="s">
        <v>1010</v>
      </c>
      <c r="B2" s="510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</row>
    <row r="3" spans="1:44" ht="13">
      <c r="A3" s="323" t="s">
        <v>931</v>
      </c>
      <c r="B3" s="510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</row>
    <row r="4" spans="1:44" ht="13.5" thickBot="1">
      <c r="A4" s="510"/>
      <c r="B4" s="510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</row>
    <row r="5" spans="1:44" ht="13">
      <c r="A5" s="336"/>
      <c r="B5" s="565"/>
      <c r="C5" s="543">
        <v>1954</v>
      </c>
      <c r="D5" s="543">
        <v>1955</v>
      </c>
      <c r="E5" s="543">
        <v>1956</v>
      </c>
      <c r="F5" s="543">
        <v>1957</v>
      </c>
      <c r="G5" s="543">
        <v>1958</v>
      </c>
      <c r="H5" s="543">
        <v>1959</v>
      </c>
      <c r="I5" s="543">
        <v>1960</v>
      </c>
      <c r="J5" s="543">
        <v>1961</v>
      </c>
      <c r="K5" s="543">
        <v>1962</v>
      </c>
      <c r="L5" s="543">
        <v>1963</v>
      </c>
      <c r="M5" s="543">
        <v>1964</v>
      </c>
      <c r="N5" s="543">
        <v>1965</v>
      </c>
      <c r="O5" s="543">
        <v>1966</v>
      </c>
      <c r="P5" s="543">
        <v>1967</v>
      </c>
      <c r="Q5" s="543">
        <v>1968</v>
      </c>
      <c r="R5" s="543">
        <v>1969</v>
      </c>
      <c r="S5" s="543">
        <v>1970</v>
      </c>
      <c r="T5" s="543">
        <v>1971</v>
      </c>
      <c r="U5" s="543">
        <v>1972</v>
      </c>
      <c r="V5" s="543">
        <v>1973</v>
      </c>
      <c r="W5" s="543">
        <v>1974</v>
      </c>
      <c r="X5" s="543">
        <v>1975</v>
      </c>
      <c r="Y5" s="543">
        <v>1976</v>
      </c>
      <c r="Z5" s="543">
        <v>1977</v>
      </c>
      <c r="AA5" s="543">
        <v>1978</v>
      </c>
      <c r="AB5" s="543">
        <v>1979</v>
      </c>
      <c r="AC5" s="543">
        <v>1980</v>
      </c>
      <c r="AD5" s="543">
        <v>1981</v>
      </c>
      <c r="AE5" s="543">
        <v>1982</v>
      </c>
      <c r="AF5" s="543">
        <v>1983</v>
      </c>
      <c r="AG5" s="543">
        <v>1984</v>
      </c>
      <c r="AH5" s="543">
        <v>1985</v>
      </c>
      <c r="AI5" s="543">
        <v>1986</v>
      </c>
      <c r="AJ5" s="543">
        <v>1987</v>
      </c>
      <c r="AK5" s="543">
        <v>1988</v>
      </c>
      <c r="AL5" s="543">
        <v>1989</v>
      </c>
      <c r="AM5" s="543">
        <v>1990</v>
      </c>
      <c r="AN5" s="543">
        <v>1991</v>
      </c>
      <c r="AO5" s="543">
        <v>1992</v>
      </c>
      <c r="AP5" s="543">
        <v>1993</v>
      </c>
      <c r="AQ5" s="543">
        <v>1994</v>
      </c>
      <c r="AR5" s="342">
        <v>1995</v>
      </c>
    </row>
    <row r="6" spans="1:44" ht="13.5" thickBot="1">
      <c r="A6" s="554"/>
      <c r="B6" s="555"/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  <c r="AB6" s="566"/>
      <c r="AC6" s="566"/>
      <c r="AD6" s="566"/>
      <c r="AE6" s="566"/>
      <c r="AF6" s="566"/>
      <c r="AG6" s="566"/>
      <c r="AH6" s="566"/>
      <c r="AI6" s="566"/>
      <c r="AJ6" s="566"/>
      <c r="AK6" s="566"/>
      <c r="AL6" s="566"/>
      <c r="AM6" s="566"/>
      <c r="AN6" s="566"/>
      <c r="AO6" s="566"/>
      <c r="AP6" s="555"/>
      <c r="AQ6" s="555"/>
      <c r="AR6" s="556"/>
    </row>
    <row r="7" spans="1:44" ht="13">
      <c r="A7" s="557" t="s">
        <v>1003</v>
      </c>
      <c r="B7" s="567"/>
      <c r="C7" s="568">
        <v>48521.286130015273</v>
      </c>
      <c r="D7" s="568">
        <v>50578.377533435327</v>
      </c>
      <c r="E7" s="568">
        <v>51642.151774825026</v>
      </c>
      <c r="F7" s="568">
        <v>55832.166887153951</v>
      </c>
      <c r="G7" s="568">
        <v>58726.805089008209</v>
      </c>
      <c r="H7" s="568">
        <v>61236.418531308322</v>
      </c>
      <c r="I7" s="568">
        <v>65556.911733761794</v>
      </c>
      <c r="J7" s="568">
        <v>70346.400261546689</v>
      </c>
      <c r="K7" s="568">
        <v>72628.129976936179</v>
      </c>
      <c r="L7" s="568">
        <v>79205.929530807916</v>
      </c>
      <c r="M7" s="568">
        <v>80626.205909358614</v>
      </c>
      <c r="N7" s="568">
        <v>90889.328917423831</v>
      </c>
      <c r="O7" s="568">
        <v>100641.08942439246</v>
      </c>
      <c r="P7" s="568">
        <v>107495.16599807667</v>
      </c>
      <c r="Q7" s="568">
        <v>122269.94821229861</v>
      </c>
      <c r="R7" s="568">
        <v>121263.17754986606</v>
      </c>
      <c r="S7" s="568">
        <v>138823.89182422147</v>
      </c>
      <c r="T7" s="568">
        <v>158519.43243289951</v>
      </c>
      <c r="U7" s="568">
        <v>169504.87010661227</v>
      </c>
      <c r="V7" s="568">
        <v>195390.72713528876</v>
      </c>
      <c r="W7" s="568">
        <v>242011.30641278825</v>
      </c>
      <c r="X7" s="568">
        <v>268817.93347678107</v>
      </c>
      <c r="Y7" s="568">
        <v>332205.631505945</v>
      </c>
      <c r="Z7" s="568">
        <v>402319.82169115689</v>
      </c>
      <c r="AA7" s="568">
        <v>510086.03459569294</v>
      </c>
      <c r="AB7" s="568">
        <v>634039.30305449129</v>
      </c>
      <c r="AC7" s="568">
        <v>815407.3194134665</v>
      </c>
      <c r="AD7" s="568">
        <v>1011443.8168805658</v>
      </c>
      <c r="AE7" s="568">
        <v>1244795.2407336438</v>
      </c>
      <c r="AF7" s="568">
        <v>1462737.1801238083</v>
      </c>
      <c r="AG7" s="568">
        <v>1846991.2751247445</v>
      </c>
      <c r="AH7" s="568">
        <v>2374142.2608664925</v>
      </c>
      <c r="AI7" s="568">
        <v>2952357.6846792363</v>
      </c>
      <c r="AJ7" s="568">
        <v>3605681.1384000848</v>
      </c>
      <c r="AK7" s="568">
        <v>4258564.4347539824</v>
      </c>
      <c r="AL7" s="568">
        <v>4971299.5027085599</v>
      </c>
      <c r="AM7" s="568">
        <v>5960801.2165006865</v>
      </c>
      <c r="AN7" s="568">
        <v>7139510.6035573166</v>
      </c>
      <c r="AO7" s="568">
        <v>8156193.9090908542</v>
      </c>
      <c r="AP7" s="558">
        <v>8843005.4830557704</v>
      </c>
      <c r="AQ7" s="558">
        <v>9408800.9903112575</v>
      </c>
      <c r="AR7" s="559">
        <v>10211625.352254312</v>
      </c>
    </row>
    <row r="8" spans="1:44" ht="13">
      <c r="A8" s="560" t="s">
        <v>1004</v>
      </c>
      <c r="B8" s="569"/>
      <c r="C8" s="568">
        <v>30590.462611865565</v>
      </c>
      <c r="D8" s="568">
        <v>29530.453256828292</v>
      </c>
      <c r="E8" s="568">
        <v>30449.381143717794</v>
      </c>
      <c r="F8" s="568">
        <v>32318.493417087877</v>
      </c>
      <c r="G8" s="568">
        <v>32466.227279563056</v>
      </c>
      <c r="H8" s="568">
        <v>33127.086815252413</v>
      </c>
      <c r="I8" s="568">
        <v>36765.588024988574</v>
      </c>
      <c r="J8" s="568">
        <v>38052.763453395499</v>
      </c>
      <c r="K8" s="568">
        <v>40801.318167755839</v>
      </c>
      <c r="L8" s="568">
        <v>44357.575075305256</v>
      </c>
      <c r="M8" s="568">
        <v>43393.562177686807</v>
      </c>
      <c r="N8" s="568">
        <v>47786.476578321381</v>
      </c>
      <c r="O8" s="568">
        <v>53030.689484221977</v>
      </c>
      <c r="P8" s="568">
        <v>56757.001178687708</v>
      </c>
      <c r="Q8" s="568">
        <v>66485.906536375827</v>
      </c>
      <c r="R8" s="568">
        <v>65301.713113792364</v>
      </c>
      <c r="S8" s="568">
        <v>75325.122088135235</v>
      </c>
      <c r="T8" s="568">
        <v>86084.019741471784</v>
      </c>
      <c r="U8" s="568">
        <v>89614.656687192168</v>
      </c>
      <c r="V8" s="568">
        <v>100860.74343358405</v>
      </c>
      <c r="W8" s="568">
        <v>129768.23682126302</v>
      </c>
      <c r="X8" s="568">
        <v>140033.08016214325</v>
      </c>
      <c r="Y8" s="568">
        <v>170866.87024532407</v>
      </c>
      <c r="Z8" s="568">
        <v>209465.73136124708</v>
      </c>
      <c r="AA8" s="568">
        <v>275676.99564282596</v>
      </c>
      <c r="AB8" s="568">
        <v>349013.86072534497</v>
      </c>
      <c r="AC8" s="568">
        <v>458562.26440675877</v>
      </c>
      <c r="AD8" s="568">
        <v>547150.47436998715</v>
      </c>
      <c r="AE8" s="568">
        <v>672330.14715770632</v>
      </c>
      <c r="AF8" s="568">
        <v>801359.39757343265</v>
      </c>
      <c r="AG8" s="568">
        <v>1008957.0520339366</v>
      </c>
      <c r="AH8" s="568">
        <v>1303174.9489682913</v>
      </c>
      <c r="AI8" s="568">
        <v>1611471.3916300242</v>
      </c>
      <c r="AJ8" s="568">
        <v>1916918.9858852741</v>
      </c>
      <c r="AK8" s="568">
        <v>2237066.8406975274</v>
      </c>
      <c r="AL8" s="568">
        <v>2546000.8036431689</v>
      </c>
      <c r="AM8" s="568">
        <v>3097503.2996796798</v>
      </c>
      <c r="AN8" s="568">
        <v>3639283.4842310124</v>
      </c>
      <c r="AO8" s="568">
        <v>4026340.6265239925</v>
      </c>
      <c r="AP8" s="558">
        <v>4341101.7536283769</v>
      </c>
      <c r="AQ8" s="558">
        <v>4455357.8784489846</v>
      </c>
      <c r="AR8" s="559">
        <v>4899448.0770771811</v>
      </c>
    </row>
    <row r="9" spans="1:44" ht="13">
      <c r="A9" s="560" t="s">
        <v>1005</v>
      </c>
      <c r="B9" s="569"/>
      <c r="C9" s="568">
        <v>18687.266151100059</v>
      </c>
      <c r="D9" s="568">
        <v>17452.212184457989</v>
      </c>
      <c r="E9" s="568">
        <v>18513.733174392964</v>
      </c>
      <c r="F9" s="568">
        <v>19048.080317134827</v>
      </c>
      <c r="G9" s="568">
        <v>18759.44058439873</v>
      </c>
      <c r="H9" s="568">
        <v>18877.399616403283</v>
      </c>
      <c r="I9" s="568">
        <v>21108.420428476518</v>
      </c>
      <c r="J9" s="568">
        <v>22260.571837118194</v>
      </c>
      <c r="K9" s="568">
        <v>24482.351662060624</v>
      </c>
      <c r="L9" s="568">
        <v>25680.755568953857</v>
      </c>
      <c r="M9" s="568">
        <v>25126.785717405011</v>
      </c>
      <c r="N9" s="568">
        <v>25250.588285838901</v>
      </c>
      <c r="O9" s="568">
        <v>27773.709429342889</v>
      </c>
      <c r="P9" s="568">
        <v>33320.382139655703</v>
      </c>
      <c r="Q9" s="568">
        <v>38095.302890282743</v>
      </c>
      <c r="R9" s="568">
        <v>35710.740268244037</v>
      </c>
      <c r="S9" s="568">
        <v>43091.873358102035</v>
      </c>
      <c r="T9" s="568">
        <v>43064.281177951372</v>
      </c>
      <c r="U9" s="568">
        <v>50071.036909032307</v>
      </c>
      <c r="V9" s="568">
        <v>54581.14154233857</v>
      </c>
      <c r="W9" s="568">
        <v>70202.114282550509</v>
      </c>
      <c r="X9" s="568">
        <v>78829.898575342304</v>
      </c>
      <c r="Y9" s="568">
        <v>95949.216686688989</v>
      </c>
      <c r="Z9" s="568">
        <v>109691.39884764617</v>
      </c>
      <c r="AA9" s="568">
        <v>165498.17205063562</v>
      </c>
      <c r="AB9" s="568">
        <v>212814.57258109868</v>
      </c>
      <c r="AC9" s="568">
        <v>291935.71172258869</v>
      </c>
      <c r="AD9" s="568">
        <v>325961.3431866254</v>
      </c>
      <c r="AE9" s="568">
        <v>399879.42322434793</v>
      </c>
      <c r="AF9" s="568">
        <v>477688.02241201058</v>
      </c>
      <c r="AG9" s="568">
        <v>606846.23933818261</v>
      </c>
      <c r="AH9" s="568">
        <v>810924.65904676437</v>
      </c>
      <c r="AI9" s="568">
        <v>989881.30355891446</v>
      </c>
      <c r="AJ9" s="568">
        <v>1142159.711025927</v>
      </c>
      <c r="AK9" s="568">
        <v>1301002.4800607399</v>
      </c>
      <c r="AL9" s="568">
        <v>1414969.3934592542</v>
      </c>
      <c r="AM9" s="568">
        <v>1704012.963402729</v>
      </c>
      <c r="AN9" s="568">
        <v>2055964.0104365812</v>
      </c>
      <c r="AO9" s="568">
        <v>2232597.0945100314</v>
      </c>
      <c r="AP9" s="558">
        <v>2443784.8783823927</v>
      </c>
      <c r="AQ9" s="558">
        <v>2540288.4764962788</v>
      </c>
      <c r="AR9" s="559">
        <v>2820012.8312904821</v>
      </c>
    </row>
    <row r="10" spans="1:44" ht="13">
      <c r="A10" s="560" t="s">
        <v>1006</v>
      </c>
      <c r="B10" s="569"/>
      <c r="C10" s="568">
        <v>7470.5836931449085</v>
      </c>
      <c r="D10" s="568">
        <v>7253.0713260861203</v>
      </c>
      <c r="E10" s="568">
        <v>7004.3104874524452</v>
      </c>
      <c r="F10" s="568">
        <v>7475.1324019811291</v>
      </c>
      <c r="G10" s="568">
        <v>7341.8597160430454</v>
      </c>
      <c r="H10" s="568">
        <v>7633.922670845579</v>
      </c>
      <c r="I10" s="568">
        <v>8133.2121444300965</v>
      </c>
      <c r="J10" s="568">
        <v>7689.9153495378123</v>
      </c>
      <c r="K10" s="568">
        <v>8394.0332289207927</v>
      </c>
      <c r="L10" s="568">
        <v>9019.2624465276585</v>
      </c>
      <c r="M10" s="568">
        <v>9100.5384964175155</v>
      </c>
      <c r="N10" s="568">
        <v>11448.825278229046</v>
      </c>
      <c r="O10" s="568">
        <v>12897.487406066781</v>
      </c>
      <c r="P10" s="568">
        <v>11009.301989117188</v>
      </c>
      <c r="Q10" s="568">
        <v>13597.273253123591</v>
      </c>
      <c r="R10" s="568">
        <v>14819.543116293378</v>
      </c>
      <c r="S10" s="568">
        <v>17248.788323926048</v>
      </c>
      <c r="T10" s="568">
        <v>23211.445219590536</v>
      </c>
      <c r="U10" s="568">
        <v>19351.095864043393</v>
      </c>
      <c r="V10" s="568">
        <v>22790.347343797737</v>
      </c>
      <c r="W10" s="568">
        <v>27688.278965377416</v>
      </c>
      <c r="X10" s="568">
        <v>27639.446181553983</v>
      </c>
      <c r="Y10" s="568">
        <v>34648.162983445058</v>
      </c>
      <c r="Z10" s="568">
        <v>42842.104037308614</v>
      </c>
      <c r="AA10" s="568">
        <v>47408.126318157018</v>
      </c>
      <c r="AB10" s="568">
        <v>58009.09017908993</v>
      </c>
      <c r="AC10" s="568">
        <v>65379.298257115435</v>
      </c>
      <c r="AD10" s="568">
        <v>91039.352551079894</v>
      </c>
      <c r="AE10" s="568">
        <v>110152.81227587591</v>
      </c>
      <c r="AF10" s="568">
        <v>125474.42769067241</v>
      </c>
      <c r="AG10" s="568">
        <v>152715.04708198109</v>
      </c>
      <c r="AH10" s="568">
        <v>182692.73757805635</v>
      </c>
      <c r="AI10" s="568">
        <v>252658.57684853644</v>
      </c>
      <c r="AJ10" s="568">
        <v>316676.41461219062</v>
      </c>
      <c r="AK10" s="568">
        <v>404658.92578325298</v>
      </c>
      <c r="AL10" s="568">
        <v>462659.10869364731</v>
      </c>
      <c r="AM10" s="568">
        <v>633458.47946765728</v>
      </c>
      <c r="AN10" s="568">
        <v>688354.81215966947</v>
      </c>
      <c r="AO10" s="568">
        <v>773031.79869980726</v>
      </c>
      <c r="AP10" s="558">
        <v>846577.27197140735</v>
      </c>
      <c r="AQ10" s="558">
        <v>842910.05191231798</v>
      </c>
      <c r="AR10" s="559">
        <v>913969.26749552484</v>
      </c>
    </row>
    <row r="11" spans="1:44" ht="13">
      <c r="A11" s="560" t="s">
        <v>1007</v>
      </c>
      <c r="B11" s="569"/>
      <c r="C11" s="568">
        <v>496.85046997580804</v>
      </c>
      <c r="D11" s="568">
        <v>637.35257447338677</v>
      </c>
      <c r="E11" s="568">
        <v>556.51024947573649</v>
      </c>
      <c r="F11" s="568">
        <v>704.16411145044492</v>
      </c>
      <c r="G11" s="568">
        <v>804.78577386479469</v>
      </c>
      <c r="H11" s="568">
        <v>792.51074440819764</v>
      </c>
      <c r="I11" s="568">
        <v>857.41327220270989</v>
      </c>
      <c r="J11" s="568">
        <v>982.39721923069214</v>
      </c>
      <c r="K11" s="568">
        <v>903.30564670254296</v>
      </c>
      <c r="L11" s="568">
        <v>1210.9230592407091</v>
      </c>
      <c r="M11" s="568">
        <v>1158.9579769627408</v>
      </c>
      <c r="N11" s="568">
        <v>1321.5634754347802</v>
      </c>
      <c r="O11" s="568">
        <v>1520.9537772290328</v>
      </c>
      <c r="P11" s="568">
        <v>1507.517110216741</v>
      </c>
      <c r="Q11" s="568">
        <v>1773.0596875486722</v>
      </c>
      <c r="R11" s="568">
        <v>1892.5585303195771</v>
      </c>
      <c r="S11" s="568">
        <v>1967.4756066338548</v>
      </c>
      <c r="T11" s="568">
        <v>2455.391042253586</v>
      </c>
      <c r="U11" s="568">
        <v>2229.5611451579803</v>
      </c>
      <c r="V11" s="568">
        <v>2388.9616118444806</v>
      </c>
      <c r="W11" s="568">
        <v>3837.3749798835511</v>
      </c>
      <c r="X11" s="568">
        <v>4446.1146089548629</v>
      </c>
      <c r="Y11" s="568">
        <v>5545.121072196187</v>
      </c>
      <c r="Z11" s="568">
        <v>7016.1715698565358</v>
      </c>
      <c r="AA11" s="568">
        <v>9058.9472529151171</v>
      </c>
      <c r="AB11" s="568">
        <v>10880.212600092927</v>
      </c>
      <c r="AC11" s="568">
        <v>13979.01964929114</v>
      </c>
      <c r="AD11" s="568">
        <v>24631.639819772379</v>
      </c>
      <c r="AE11" s="568">
        <v>31488.230204327159</v>
      </c>
      <c r="AF11" s="568">
        <v>36723.726443240776</v>
      </c>
      <c r="AG11" s="568">
        <v>45543.209127035247</v>
      </c>
      <c r="AH11" s="568">
        <v>55382.934861936672</v>
      </c>
      <c r="AI11" s="568">
        <v>72057.568462194453</v>
      </c>
      <c r="AJ11" s="568">
        <v>73765.961422414912</v>
      </c>
      <c r="AK11" s="568">
        <v>78993.323633051084</v>
      </c>
      <c r="AL11" s="568">
        <v>97820.260376362465</v>
      </c>
      <c r="AM11" s="568">
        <v>71001.956426547797</v>
      </c>
      <c r="AN11" s="568">
        <v>111379.2051441269</v>
      </c>
      <c r="AO11" s="568">
        <v>141971.87440801473</v>
      </c>
      <c r="AP11" s="558">
        <v>139710.20442314891</v>
      </c>
      <c r="AQ11" s="558">
        <v>146331.3854577445</v>
      </c>
      <c r="AR11" s="559">
        <v>153881.69728245703</v>
      </c>
    </row>
    <row r="12" spans="1:44" ht="13">
      <c r="A12" s="517" t="s">
        <v>658</v>
      </c>
      <c r="B12" s="569"/>
      <c r="C12" s="568">
        <v>3935.7622976447892</v>
      </c>
      <c r="D12" s="568">
        <v>4187.8171718107988</v>
      </c>
      <c r="E12" s="568">
        <v>4374.827232396643</v>
      </c>
      <c r="F12" s="568">
        <v>5091.1165865214734</v>
      </c>
      <c r="G12" s="568">
        <v>5560.1412052564829</v>
      </c>
      <c r="H12" s="568">
        <v>5823.253783595349</v>
      </c>
      <c r="I12" s="568">
        <v>6666.5421798792459</v>
      </c>
      <c r="J12" s="568">
        <v>7119.879047508799</v>
      </c>
      <c r="K12" s="568">
        <v>7021.6276300718764</v>
      </c>
      <c r="L12" s="568">
        <v>8446.6340005830261</v>
      </c>
      <c r="M12" s="568">
        <v>8007.2799869015444</v>
      </c>
      <c r="N12" s="568">
        <v>9765.4995388186562</v>
      </c>
      <c r="O12" s="568">
        <v>10838.538871583278</v>
      </c>
      <c r="P12" s="568">
        <v>10919.799939698074</v>
      </c>
      <c r="Q12" s="568">
        <v>13020.270705420817</v>
      </c>
      <c r="R12" s="568">
        <v>12878.871198935376</v>
      </c>
      <c r="S12" s="568">
        <v>13016.984799473305</v>
      </c>
      <c r="T12" s="568">
        <v>17352.902301676295</v>
      </c>
      <c r="U12" s="568">
        <v>17962.962768958485</v>
      </c>
      <c r="V12" s="568">
        <v>21100.292935603273</v>
      </c>
      <c r="W12" s="568">
        <v>28040.468593451555</v>
      </c>
      <c r="X12" s="568">
        <v>29117.6207962921</v>
      </c>
      <c r="Y12" s="568">
        <v>34724.369502993824</v>
      </c>
      <c r="Z12" s="568">
        <v>49916.05690643577</v>
      </c>
      <c r="AA12" s="568">
        <v>53711.750021118205</v>
      </c>
      <c r="AB12" s="568">
        <v>67309.985365063418</v>
      </c>
      <c r="AC12" s="568">
        <v>87268.23477776353</v>
      </c>
      <c r="AD12" s="568">
        <v>105518.13881250948</v>
      </c>
      <c r="AE12" s="568">
        <v>130809.6814531553</v>
      </c>
      <c r="AF12" s="568">
        <v>161473.22102750887</v>
      </c>
      <c r="AG12" s="568">
        <v>203852.55648673774</v>
      </c>
      <c r="AH12" s="568">
        <v>254174.6174815339</v>
      </c>
      <c r="AI12" s="568">
        <v>296873.94276037876</v>
      </c>
      <c r="AJ12" s="568">
        <v>384316.89882474154</v>
      </c>
      <c r="AK12" s="568">
        <v>452412.11122048349</v>
      </c>
      <c r="AL12" s="568">
        <v>570552.04111390503</v>
      </c>
      <c r="AM12" s="568">
        <v>689029.90038274566</v>
      </c>
      <c r="AN12" s="568">
        <v>783585.45649063494</v>
      </c>
      <c r="AO12" s="568">
        <v>878739.85890613927</v>
      </c>
      <c r="AP12" s="558">
        <v>911029.39885142748</v>
      </c>
      <c r="AQ12" s="558">
        <v>925827.96458264324</v>
      </c>
      <c r="AR12" s="559">
        <v>1011584.2810087178</v>
      </c>
    </row>
    <row r="13" spans="1:44" ht="13">
      <c r="A13" s="517" t="s">
        <v>1008</v>
      </c>
      <c r="B13" s="569"/>
      <c r="C13" s="568">
        <v>2167.0702802697815</v>
      </c>
      <c r="D13" s="568">
        <v>2483.5501737931418</v>
      </c>
      <c r="E13" s="568">
        <v>2748.7269406911473</v>
      </c>
      <c r="F13" s="568">
        <v>3436.247701712377</v>
      </c>
      <c r="G13" s="568">
        <v>3837.3127288583323</v>
      </c>
      <c r="H13" s="568">
        <v>3815.7151431369125</v>
      </c>
      <c r="I13" s="568">
        <v>3713.1239002731663</v>
      </c>
      <c r="J13" s="568">
        <v>4636.0699938064099</v>
      </c>
      <c r="K13" s="568">
        <v>4957.8389018622629</v>
      </c>
      <c r="L13" s="568">
        <v>6107.555151911778</v>
      </c>
      <c r="M13" s="568">
        <v>6238.5651705395321</v>
      </c>
      <c r="N13" s="568">
        <v>7576.7926400073757</v>
      </c>
      <c r="O13" s="568">
        <v>9746.9959050399339</v>
      </c>
      <c r="P13" s="568">
        <v>9637.0853911422782</v>
      </c>
      <c r="Q13" s="568">
        <v>11831.359531525042</v>
      </c>
      <c r="R13" s="568">
        <v>11286.83400154407</v>
      </c>
      <c r="S13" s="568">
        <v>12392.735687702801</v>
      </c>
      <c r="T13" s="568">
        <v>15682.486572348331</v>
      </c>
      <c r="U13" s="568">
        <v>16552.231368411303</v>
      </c>
      <c r="V13" s="568">
        <v>18634.728251321478</v>
      </c>
      <c r="W13" s="568">
        <v>24622.195453472305</v>
      </c>
      <c r="X13" s="568">
        <v>25019.975280491275</v>
      </c>
      <c r="Y13" s="568">
        <v>31243.100226509247</v>
      </c>
      <c r="Z13" s="568">
        <v>32865.482794688716</v>
      </c>
      <c r="AA13" s="568">
        <v>44255.514006222729</v>
      </c>
      <c r="AB13" s="568">
        <v>56312.785834025199</v>
      </c>
      <c r="AC13" s="568">
        <v>75767.617089289357</v>
      </c>
      <c r="AD13" s="568">
        <v>99265.766265397397</v>
      </c>
      <c r="AE13" s="568">
        <v>117804.65600950895</v>
      </c>
      <c r="AF13" s="568">
        <v>134338.67239141764</v>
      </c>
      <c r="AG13" s="568">
        <v>161270.1331113833</v>
      </c>
      <c r="AH13" s="568">
        <v>193353.42102992901</v>
      </c>
      <c r="AI13" s="568">
        <v>237126.59983027284</v>
      </c>
      <c r="AJ13" s="568">
        <v>322651.183158873</v>
      </c>
      <c r="AK13" s="568">
        <v>469944.17537076247</v>
      </c>
      <c r="AL13" s="568">
        <v>550147.22065908124</v>
      </c>
      <c r="AM13" s="568">
        <v>642861.91301437304</v>
      </c>
      <c r="AN13" s="568">
        <v>780321.59913310444</v>
      </c>
      <c r="AO13" s="568">
        <v>932051.02040323592</v>
      </c>
      <c r="AP13" s="558">
        <v>892031.54006562196</v>
      </c>
      <c r="AQ13" s="558">
        <v>947121.27958573739</v>
      </c>
      <c r="AR13" s="559">
        <v>998287.55846632854</v>
      </c>
    </row>
    <row r="14" spans="1:44" ht="13">
      <c r="A14" s="517" t="s">
        <v>1009</v>
      </c>
      <c r="B14" s="569"/>
      <c r="C14" s="568">
        <v>629.15622412429434</v>
      </c>
      <c r="D14" s="568">
        <v>744.88573443405676</v>
      </c>
      <c r="E14" s="568">
        <v>707.0409369013629</v>
      </c>
      <c r="F14" s="568">
        <v>893.39519353181186</v>
      </c>
      <c r="G14" s="568">
        <v>974.67360426356709</v>
      </c>
      <c r="H14" s="568">
        <v>1121.7908661282568</v>
      </c>
      <c r="I14" s="568">
        <v>1097.3082890787707</v>
      </c>
      <c r="J14" s="568">
        <v>1201.1206178504438</v>
      </c>
      <c r="K14" s="568">
        <v>1100.3176779570904</v>
      </c>
      <c r="L14" s="568">
        <v>1567.8116320179795</v>
      </c>
      <c r="M14" s="568">
        <v>1557.3480468281036</v>
      </c>
      <c r="N14" s="568">
        <v>2195.179842798465</v>
      </c>
      <c r="O14" s="568">
        <v>2548.5156531367052</v>
      </c>
      <c r="P14" s="568">
        <v>2914.2673599627151</v>
      </c>
      <c r="Q14" s="568">
        <v>3005.6439814046153</v>
      </c>
      <c r="R14" s="568">
        <v>3471.4364965406257</v>
      </c>
      <c r="S14" s="568">
        <v>3979.4944816394623</v>
      </c>
      <c r="T14" s="568">
        <v>5060.4836638406623</v>
      </c>
      <c r="U14" s="568">
        <v>5989.5475552005091</v>
      </c>
      <c r="V14" s="568">
        <v>5894.7271104134206</v>
      </c>
      <c r="W14" s="568">
        <v>7962.1357796977818</v>
      </c>
      <c r="X14" s="568">
        <v>6790.9119802894429</v>
      </c>
      <c r="Y14" s="568">
        <v>7106.1437231509562</v>
      </c>
      <c r="Z14" s="568">
        <v>7568.1433071263182</v>
      </c>
      <c r="AA14" s="568">
        <v>11003.015058501993</v>
      </c>
      <c r="AB14" s="568">
        <v>17716.396388607722</v>
      </c>
      <c r="AC14" s="568">
        <v>24042.312525255056</v>
      </c>
      <c r="AD14" s="568">
        <v>36517.329042218735</v>
      </c>
      <c r="AE14" s="568">
        <v>47709.513936647752</v>
      </c>
      <c r="AF14" s="568">
        <v>59534.458392213251</v>
      </c>
      <c r="AG14" s="568">
        <v>79324.959131346681</v>
      </c>
      <c r="AH14" s="568">
        <v>93090.269926563284</v>
      </c>
      <c r="AI14" s="568">
        <v>99460.384215892234</v>
      </c>
      <c r="AJ14" s="568">
        <v>126027.08837036513</v>
      </c>
      <c r="AK14" s="568">
        <v>230507.05743498277</v>
      </c>
      <c r="AL14" s="568">
        <v>254232.09550088269</v>
      </c>
      <c r="AM14" s="568">
        <v>291587.15867807472</v>
      </c>
      <c r="AN14" s="568">
        <v>376064.21632683376</v>
      </c>
      <c r="AO14" s="568">
        <v>465705.52782174491</v>
      </c>
      <c r="AP14" s="558">
        <v>431397.38974902267</v>
      </c>
      <c r="AQ14" s="558">
        <v>493371.23947049998</v>
      </c>
      <c r="AR14" s="559">
        <v>529470.46993838612</v>
      </c>
    </row>
    <row r="15" spans="1:44" ht="13">
      <c r="A15" s="517" t="s">
        <v>658</v>
      </c>
      <c r="B15" s="569"/>
      <c r="C15" s="568">
        <v>1537.9140561454869</v>
      </c>
      <c r="D15" s="568">
        <v>1738.6644393590852</v>
      </c>
      <c r="E15" s="568">
        <v>2041.6860037897843</v>
      </c>
      <c r="F15" s="568">
        <v>2542.8525081805651</v>
      </c>
      <c r="G15" s="568">
        <v>2862.6391245947652</v>
      </c>
      <c r="H15" s="568">
        <v>2693.9242770086557</v>
      </c>
      <c r="I15" s="568">
        <v>2615.8156111943954</v>
      </c>
      <c r="J15" s="568">
        <v>3434.9493759559664</v>
      </c>
      <c r="K15" s="568">
        <v>3857.5212239051725</v>
      </c>
      <c r="L15" s="568">
        <v>4539.7435198937983</v>
      </c>
      <c r="M15" s="568">
        <v>4681.2171237114289</v>
      </c>
      <c r="N15" s="568">
        <v>5381.6127972089107</v>
      </c>
      <c r="O15" s="568">
        <v>7198.4802519032291</v>
      </c>
      <c r="P15" s="568">
        <v>6722.8180311795622</v>
      </c>
      <c r="Q15" s="568">
        <v>8825.715550120427</v>
      </c>
      <c r="R15" s="568">
        <v>7815.3975050034442</v>
      </c>
      <c r="S15" s="568">
        <v>8413.2412060633396</v>
      </c>
      <c r="T15" s="568">
        <v>10622.002908507668</v>
      </c>
      <c r="U15" s="568">
        <v>10562.683813210793</v>
      </c>
      <c r="V15" s="568">
        <v>12740.001140908058</v>
      </c>
      <c r="W15" s="568">
        <v>16660.059673774522</v>
      </c>
      <c r="X15" s="568">
        <v>18229.063300201833</v>
      </c>
      <c r="Y15" s="568">
        <v>24136.956503358291</v>
      </c>
      <c r="Z15" s="568">
        <v>25297.339487562396</v>
      </c>
      <c r="AA15" s="568">
        <v>33252.498947720735</v>
      </c>
      <c r="AB15" s="568">
        <v>38596.389445417481</v>
      </c>
      <c r="AC15" s="568">
        <v>51725.304564034304</v>
      </c>
      <c r="AD15" s="568">
        <v>62748.437223178655</v>
      </c>
      <c r="AE15" s="568">
        <v>70095.142072861199</v>
      </c>
      <c r="AF15" s="568">
        <v>74804.213999204381</v>
      </c>
      <c r="AG15" s="568">
        <v>81945.173980036605</v>
      </c>
      <c r="AH15" s="568">
        <v>100263.15110336574</v>
      </c>
      <c r="AI15" s="568">
        <v>137666.21561438061</v>
      </c>
      <c r="AJ15" s="568">
        <v>196624.09478850785</v>
      </c>
      <c r="AK15" s="568">
        <v>239437.11793577968</v>
      </c>
      <c r="AL15" s="568">
        <v>295915.12515819853</v>
      </c>
      <c r="AM15" s="568">
        <v>351274.75433629833</v>
      </c>
      <c r="AN15" s="568">
        <v>404257.38280627067</v>
      </c>
      <c r="AO15" s="568">
        <v>466345.49258149095</v>
      </c>
      <c r="AP15" s="558">
        <v>460634.15031659935</v>
      </c>
      <c r="AQ15" s="558">
        <v>453750.04011523741</v>
      </c>
      <c r="AR15" s="559">
        <v>468817.08852794248</v>
      </c>
    </row>
    <row r="16" spans="1:44" ht="13.5" thickBot="1">
      <c r="A16" s="570" t="s">
        <v>655</v>
      </c>
      <c r="B16" s="571"/>
      <c r="C16" s="572">
        <v>15763.753237879928</v>
      </c>
      <c r="D16" s="572">
        <v>18564.374102813897</v>
      </c>
      <c r="E16" s="572">
        <v>18444.043690416082</v>
      </c>
      <c r="F16" s="572">
        <v>20077.4257683537</v>
      </c>
      <c r="G16" s="572">
        <v>22423.265080586814</v>
      </c>
      <c r="H16" s="572">
        <v>24293.616572918996</v>
      </c>
      <c r="I16" s="572">
        <v>25078.199808500056</v>
      </c>
      <c r="J16" s="572">
        <v>27657.56681434478</v>
      </c>
      <c r="K16" s="572">
        <v>26868.972907318079</v>
      </c>
      <c r="L16" s="572">
        <v>28740.799303590873</v>
      </c>
      <c r="M16" s="572">
        <v>30994.078561132283</v>
      </c>
      <c r="N16" s="572">
        <v>35526.059699095073</v>
      </c>
      <c r="O16" s="572">
        <v>37863.404035130545</v>
      </c>
      <c r="P16" s="572">
        <v>41101.079428246681</v>
      </c>
      <c r="Q16" s="572">
        <v>43952.682144397739</v>
      </c>
      <c r="R16" s="572">
        <v>44674.630434529623</v>
      </c>
      <c r="S16" s="572">
        <v>51106.034048383422</v>
      </c>
      <c r="T16" s="572">
        <v>56752.926119079406</v>
      </c>
      <c r="U16" s="572">
        <v>63337.982051008818</v>
      </c>
      <c r="V16" s="572">
        <v>75895.255450383236</v>
      </c>
      <c r="W16" s="572">
        <v>87620.874138052925</v>
      </c>
      <c r="X16" s="572">
        <v>103764.87803414653</v>
      </c>
      <c r="Y16" s="572">
        <v>130095.66103411172</v>
      </c>
      <c r="Z16" s="572">
        <v>159988.60753522109</v>
      </c>
      <c r="AA16" s="572">
        <v>190153.52494664426</v>
      </c>
      <c r="AB16" s="572">
        <v>228712.65649512113</v>
      </c>
      <c r="AC16" s="572">
        <v>281077.43791741843</v>
      </c>
      <c r="AD16" s="572">
        <v>365027.57624518126</v>
      </c>
      <c r="AE16" s="572">
        <v>454660.4375664285</v>
      </c>
      <c r="AF16" s="572">
        <v>527039.11015895801</v>
      </c>
      <c r="AG16" s="572">
        <v>676764.08997942461</v>
      </c>
      <c r="AH16" s="572">
        <v>877613.89086827217</v>
      </c>
      <c r="AI16" s="572">
        <v>1103759.6932189392</v>
      </c>
      <c r="AJ16" s="572">
        <v>1366110.9693559376</v>
      </c>
      <c r="AK16" s="572">
        <v>1551553.4186856921</v>
      </c>
      <c r="AL16" s="572">
        <v>1875151.4784063092</v>
      </c>
      <c r="AM16" s="572">
        <v>2220436.0038066334</v>
      </c>
      <c r="AN16" s="572">
        <v>2719905.5201932001</v>
      </c>
      <c r="AO16" s="572">
        <v>3197802.262163626</v>
      </c>
      <c r="AP16" s="562">
        <v>3609872.1893617716</v>
      </c>
      <c r="AQ16" s="562">
        <v>4006321.8322765352</v>
      </c>
      <c r="AR16" s="563">
        <v>4313889.7167108022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FA36-7251-4B94-92C3-07700BA815FD}">
  <sheetPr>
    <pageSetUpPr fitToPage="1"/>
  </sheetPr>
  <dimension ref="A1:AR14"/>
  <sheetViews>
    <sheetView showGridLines="0" workbookViewId="0">
      <pane xSplit="1" ySplit="6" topLeftCell="AL7" activePane="bottomRight" state="frozen"/>
      <selection pane="topRight" activeCell="B1" sqref="B1"/>
      <selection pane="bottomLeft" activeCell="A7" sqref="A7"/>
      <selection pane="bottomRight" activeCell="A15" sqref="A15"/>
    </sheetView>
  </sheetViews>
  <sheetFormatPr defaultRowHeight="12.5"/>
  <cols>
    <col min="1" max="1" width="39.54296875" style="485" customWidth="1"/>
    <col min="2" max="256" width="8.7265625" style="485"/>
    <col min="257" max="257" width="39.54296875" style="485" customWidth="1"/>
    <col min="258" max="512" width="8.7265625" style="485"/>
    <col min="513" max="513" width="39.54296875" style="485" customWidth="1"/>
    <col min="514" max="768" width="8.7265625" style="485"/>
    <col min="769" max="769" width="39.54296875" style="485" customWidth="1"/>
    <col min="770" max="1024" width="8.7265625" style="485"/>
    <col min="1025" max="1025" width="39.54296875" style="485" customWidth="1"/>
    <col min="1026" max="1280" width="8.7265625" style="485"/>
    <col min="1281" max="1281" width="39.54296875" style="485" customWidth="1"/>
    <col min="1282" max="1536" width="8.7265625" style="485"/>
    <col min="1537" max="1537" width="39.54296875" style="485" customWidth="1"/>
    <col min="1538" max="1792" width="8.7265625" style="485"/>
    <col min="1793" max="1793" width="39.54296875" style="485" customWidth="1"/>
    <col min="1794" max="2048" width="8.7265625" style="485"/>
    <col min="2049" max="2049" width="39.54296875" style="485" customWidth="1"/>
    <col min="2050" max="2304" width="8.7265625" style="485"/>
    <col min="2305" max="2305" width="39.54296875" style="485" customWidth="1"/>
    <col min="2306" max="2560" width="8.7265625" style="485"/>
    <col min="2561" max="2561" width="39.54296875" style="485" customWidth="1"/>
    <col min="2562" max="2816" width="8.7265625" style="485"/>
    <col min="2817" max="2817" width="39.54296875" style="485" customWidth="1"/>
    <col min="2818" max="3072" width="8.7265625" style="485"/>
    <col min="3073" max="3073" width="39.54296875" style="485" customWidth="1"/>
    <col min="3074" max="3328" width="8.7265625" style="485"/>
    <col min="3329" max="3329" width="39.54296875" style="485" customWidth="1"/>
    <col min="3330" max="3584" width="8.7265625" style="485"/>
    <col min="3585" max="3585" width="39.54296875" style="485" customWidth="1"/>
    <col min="3586" max="3840" width="8.7265625" style="485"/>
    <col min="3841" max="3841" width="39.54296875" style="485" customWidth="1"/>
    <col min="3842" max="4096" width="8.7265625" style="485"/>
    <col min="4097" max="4097" width="39.54296875" style="485" customWidth="1"/>
    <col min="4098" max="4352" width="8.7265625" style="485"/>
    <col min="4353" max="4353" width="39.54296875" style="485" customWidth="1"/>
    <col min="4354" max="4608" width="8.7265625" style="485"/>
    <col min="4609" max="4609" width="39.54296875" style="485" customWidth="1"/>
    <col min="4610" max="4864" width="8.7265625" style="485"/>
    <col min="4865" max="4865" width="39.54296875" style="485" customWidth="1"/>
    <col min="4866" max="5120" width="8.7265625" style="485"/>
    <col min="5121" max="5121" width="39.54296875" style="485" customWidth="1"/>
    <col min="5122" max="5376" width="8.7265625" style="485"/>
    <col min="5377" max="5377" width="39.54296875" style="485" customWidth="1"/>
    <col min="5378" max="5632" width="8.7265625" style="485"/>
    <col min="5633" max="5633" width="39.54296875" style="485" customWidth="1"/>
    <col min="5634" max="5888" width="8.7265625" style="485"/>
    <col min="5889" max="5889" width="39.54296875" style="485" customWidth="1"/>
    <col min="5890" max="6144" width="8.7265625" style="485"/>
    <col min="6145" max="6145" width="39.54296875" style="485" customWidth="1"/>
    <col min="6146" max="6400" width="8.7265625" style="485"/>
    <col min="6401" max="6401" width="39.54296875" style="485" customWidth="1"/>
    <col min="6402" max="6656" width="8.7265625" style="485"/>
    <col min="6657" max="6657" width="39.54296875" style="485" customWidth="1"/>
    <col min="6658" max="6912" width="8.7265625" style="485"/>
    <col min="6913" max="6913" width="39.54296875" style="485" customWidth="1"/>
    <col min="6914" max="7168" width="8.7265625" style="485"/>
    <col min="7169" max="7169" width="39.54296875" style="485" customWidth="1"/>
    <col min="7170" max="7424" width="8.7265625" style="485"/>
    <col min="7425" max="7425" width="39.54296875" style="485" customWidth="1"/>
    <col min="7426" max="7680" width="8.7265625" style="485"/>
    <col min="7681" max="7681" width="39.54296875" style="485" customWidth="1"/>
    <col min="7682" max="7936" width="8.7265625" style="485"/>
    <col min="7937" max="7937" width="39.54296875" style="485" customWidth="1"/>
    <col min="7938" max="8192" width="8.7265625" style="485"/>
    <col min="8193" max="8193" width="39.54296875" style="485" customWidth="1"/>
    <col min="8194" max="8448" width="8.7265625" style="485"/>
    <col min="8449" max="8449" width="39.54296875" style="485" customWidth="1"/>
    <col min="8450" max="8704" width="8.7265625" style="485"/>
    <col min="8705" max="8705" width="39.54296875" style="485" customWidth="1"/>
    <col min="8706" max="8960" width="8.7265625" style="485"/>
    <col min="8961" max="8961" width="39.54296875" style="485" customWidth="1"/>
    <col min="8962" max="9216" width="8.7265625" style="485"/>
    <col min="9217" max="9217" width="39.54296875" style="485" customWidth="1"/>
    <col min="9218" max="9472" width="8.7265625" style="485"/>
    <col min="9473" max="9473" width="39.54296875" style="485" customWidth="1"/>
    <col min="9474" max="9728" width="8.7265625" style="485"/>
    <col min="9729" max="9729" width="39.54296875" style="485" customWidth="1"/>
    <col min="9730" max="9984" width="8.7265625" style="485"/>
    <col min="9985" max="9985" width="39.54296875" style="485" customWidth="1"/>
    <col min="9986" max="10240" width="8.7265625" style="485"/>
    <col min="10241" max="10241" width="39.54296875" style="485" customWidth="1"/>
    <col min="10242" max="10496" width="8.7265625" style="485"/>
    <col min="10497" max="10497" width="39.54296875" style="485" customWidth="1"/>
    <col min="10498" max="10752" width="8.7265625" style="485"/>
    <col min="10753" max="10753" width="39.54296875" style="485" customWidth="1"/>
    <col min="10754" max="11008" width="8.7265625" style="485"/>
    <col min="11009" max="11009" width="39.54296875" style="485" customWidth="1"/>
    <col min="11010" max="11264" width="8.7265625" style="485"/>
    <col min="11265" max="11265" width="39.54296875" style="485" customWidth="1"/>
    <col min="11266" max="11520" width="8.7265625" style="485"/>
    <col min="11521" max="11521" width="39.54296875" style="485" customWidth="1"/>
    <col min="11522" max="11776" width="8.7265625" style="485"/>
    <col min="11777" max="11777" width="39.54296875" style="485" customWidth="1"/>
    <col min="11778" max="12032" width="8.7265625" style="485"/>
    <col min="12033" max="12033" width="39.54296875" style="485" customWidth="1"/>
    <col min="12034" max="12288" width="8.7265625" style="485"/>
    <col min="12289" max="12289" width="39.54296875" style="485" customWidth="1"/>
    <col min="12290" max="12544" width="8.7265625" style="485"/>
    <col min="12545" max="12545" width="39.54296875" style="485" customWidth="1"/>
    <col min="12546" max="12800" width="8.7265625" style="485"/>
    <col min="12801" max="12801" width="39.54296875" style="485" customWidth="1"/>
    <col min="12802" max="13056" width="8.7265625" style="485"/>
    <col min="13057" max="13057" width="39.54296875" style="485" customWidth="1"/>
    <col min="13058" max="13312" width="8.7265625" style="485"/>
    <col min="13313" max="13313" width="39.54296875" style="485" customWidth="1"/>
    <col min="13314" max="13568" width="8.7265625" style="485"/>
    <col min="13569" max="13569" width="39.54296875" style="485" customWidth="1"/>
    <col min="13570" max="13824" width="8.7265625" style="485"/>
    <col min="13825" max="13825" width="39.54296875" style="485" customWidth="1"/>
    <col min="13826" max="14080" width="8.7265625" style="485"/>
    <col min="14081" max="14081" width="39.54296875" style="485" customWidth="1"/>
    <col min="14082" max="14336" width="8.7265625" style="485"/>
    <col min="14337" max="14337" width="39.54296875" style="485" customWidth="1"/>
    <col min="14338" max="14592" width="8.7265625" style="485"/>
    <col min="14593" max="14593" width="39.54296875" style="485" customWidth="1"/>
    <col min="14594" max="14848" width="8.7265625" style="485"/>
    <col min="14849" max="14849" width="39.54296875" style="485" customWidth="1"/>
    <col min="14850" max="15104" width="8.7265625" style="485"/>
    <col min="15105" max="15105" width="39.54296875" style="485" customWidth="1"/>
    <col min="15106" max="15360" width="8.7265625" style="485"/>
    <col min="15361" max="15361" width="39.54296875" style="485" customWidth="1"/>
    <col min="15362" max="15616" width="8.7265625" style="485"/>
    <col min="15617" max="15617" width="39.54296875" style="485" customWidth="1"/>
    <col min="15618" max="15872" width="8.7265625" style="485"/>
    <col min="15873" max="15873" width="39.54296875" style="485" customWidth="1"/>
    <col min="15874" max="16128" width="8.7265625" style="485"/>
    <col min="16129" max="16129" width="39.54296875" style="485" customWidth="1"/>
    <col min="16130" max="16384" width="8.7265625" style="485"/>
  </cols>
  <sheetData>
    <row r="1" spans="1:44" ht="13">
      <c r="A1" s="553" t="s">
        <v>1011</v>
      </c>
    </row>
    <row r="2" spans="1:44" ht="13">
      <c r="A2" s="322" t="s">
        <v>1002</v>
      </c>
    </row>
    <row r="3" spans="1:44" ht="13">
      <c r="A3" s="323" t="s">
        <v>931</v>
      </c>
    </row>
    <row r="4" spans="1:44" ht="13.5" thickBot="1">
      <c r="A4" s="323"/>
    </row>
    <row r="5" spans="1:44" ht="13">
      <c r="A5" s="336"/>
      <c r="B5" s="543">
        <v>1953</v>
      </c>
      <c r="C5" s="543">
        <v>1954</v>
      </c>
      <c r="D5" s="543">
        <v>1955</v>
      </c>
      <c r="E5" s="543">
        <v>1956</v>
      </c>
      <c r="F5" s="543">
        <v>1957</v>
      </c>
      <c r="G5" s="543">
        <v>1958</v>
      </c>
      <c r="H5" s="543">
        <v>1959</v>
      </c>
      <c r="I5" s="543">
        <v>1960</v>
      </c>
      <c r="J5" s="543">
        <v>1961</v>
      </c>
      <c r="K5" s="543">
        <v>1962</v>
      </c>
      <c r="L5" s="543">
        <v>1963</v>
      </c>
      <c r="M5" s="543">
        <v>1964</v>
      </c>
      <c r="N5" s="543">
        <v>1965</v>
      </c>
      <c r="O5" s="543">
        <v>1966</v>
      </c>
      <c r="P5" s="543">
        <v>1967</v>
      </c>
      <c r="Q5" s="543">
        <v>1968</v>
      </c>
      <c r="R5" s="543">
        <v>1969</v>
      </c>
      <c r="S5" s="543">
        <v>1970</v>
      </c>
      <c r="T5" s="543">
        <v>1971</v>
      </c>
      <c r="U5" s="543">
        <v>1972</v>
      </c>
      <c r="V5" s="543">
        <v>1973</v>
      </c>
      <c r="W5" s="543">
        <v>1974</v>
      </c>
      <c r="X5" s="543">
        <v>1975</v>
      </c>
      <c r="Y5" s="543">
        <v>1976</v>
      </c>
      <c r="Z5" s="543">
        <v>1977</v>
      </c>
      <c r="AA5" s="543">
        <v>1978</v>
      </c>
      <c r="AB5" s="543">
        <v>1979</v>
      </c>
      <c r="AC5" s="543">
        <v>1980</v>
      </c>
      <c r="AD5" s="543">
        <v>1981</v>
      </c>
      <c r="AE5" s="543">
        <v>1982</v>
      </c>
      <c r="AF5" s="543">
        <v>1983</v>
      </c>
      <c r="AG5" s="543">
        <v>1984</v>
      </c>
      <c r="AH5" s="543">
        <v>1985</v>
      </c>
      <c r="AI5" s="543">
        <v>1986</v>
      </c>
      <c r="AJ5" s="543">
        <v>1987</v>
      </c>
      <c r="AK5" s="543">
        <v>1988</v>
      </c>
      <c r="AL5" s="543">
        <v>1989</v>
      </c>
      <c r="AM5" s="543">
        <v>1990</v>
      </c>
      <c r="AN5" s="543">
        <v>1991</v>
      </c>
      <c r="AO5" s="543">
        <v>1992</v>
      </c>
      <c r="AP5" s="543">
        <v>1993</v>
      </c>
      <c r="AQ5" s="543">
        <v>1994</v>
      </c>
      <c r="AR5" s="342">
        <v>1995</v>
      </c>
    </row>
    <row r="6" spans="1:44" ht="13.5" thickBot="1">
      <c r="A6" s="561"/>
      <c r="B6" s="573"/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4"/>
    </row>
    <row r="7" spans="1:44" ht="13">
      <c r="A7" s="560" t="s">
        <v>1012</v>
      </c>
      <c r="B7" s="558">
        <v>10210.703282084349</v>
      </c>
      <c r="C7" s="558">
        <v>10439.864096470214</v>
      </c>
      <c r="D7" s="558">
        <v>11625.569525681789</v>
      </c>
      <c r="E7" s="558">
        <v>13534.330053803416</v>
      </c>
      <c r="F7" s="558">
        <v>15188.191442403928</v>
      </c>
      <c r="G7" s="558">
        <v>17111.626343833846</v>
      </c>
      <c r="H7" s="558">
        <v>18347.582855369634</v>
      </c>
      <c r="I7" s="558">
        <v>18997.394893697092</v>
      </c>
      <c r="J7" s="558">
        <v>23097.013141667583</v>
      </c>
      <c r="K7" s="558">
        <v>24217.019136411804</v>
      </c>
      <c r="L7" s="558">
        <v>23232.961247875042</v>
      </c>
      <c r="M7" s="558">
        <v>26048.355201370126</v>
      </c>
      <c r="N7" s="558">
        <v>29920.521799437614</v>
      </c>
      <c r="O7" s="558">
        <v>36936.463385341325</v>
      </c>
      <c r="P7" s="558">
        <v>40121.657514884748</v>
      </c>
      <c r="Q7" s="558">
        <v>42279.109235676697</v>
      </c>
      <c r="R7" s="558">
        <v>48428.339458981296</v>
      </c>
      <c r="S7" s="558">
        <v>53595.451380007908</v>
      </c>
      <c r="T7" s="558">
        <v>68729.281704708425</v>
      </c>
      <c r="U7" s="558">
        <v>86451.47652855335</v>
      </c>
      <c r="V7" s="558">
        <v>105751.41263244289</v>
      </c>
      <c r="W7" s="558">
        <v>139188.98933902587</v>
      </c>
      <c r="X7" s="558">
        <v>133233.39526041309</v>
      </c>
      <c r="Y7" s="558">
        <v>148355.67942644871</v>
      </c>
      <c r="Z7" s="558">
        <v>227764.96736387751</v>
      </c>
      <c r="AA7" s="558">
        <v>263379.76483858121</v>
      </c>
      <c r="AB7" s="558">
        <v>376798.89510938997</v>
      </c>
      <c r="AC7" s="558">
        <v>440866.43197398685</v>
      </c>
      <c r="AD7" s="558">
        <v>604268.78966629738</v>
      </c>
      <c r="AE7" s="558">
        <v>720263.52273985802</v>
      </c>
      <c r="AF7" s="558">
        <v>871830.33194629685</v>
      </c>
      <c r="AG7" s="558">
        <v>941631.59958664188</v>
      </c>
      <c r="AH7" s="558">
        <v>1085204.9311897603</v>
      </c>
      <c r="AI7" s="558">
        <v>1281691.0128636707</v>
      </c>
      <c r="AJ7" s="558">
        <v>1698758.7739841328</v>
      </c>
      <c r="AK7" s="558">
        <v>2168654.0766053628</v>
      </c>
      <c r="AL7" s="558">
        <v>2491780.1165178623</v>
      </c>
      <c r="AM7" s="558">
        <v>2872625.2553395205</v>
      </c>
      <c r="AN7" s="558">
        <v>3216457.5644673272</v>
      </c>
      <c r="AO7" s="558">
        <v>3594750.6799030486</v>
      </c>
      <c r="AP7" s="558">
        <v>3392877.6098736031</v>
      </c>
      <c r="AQ7" s="558">
        <v>3532686.7378521455</v>
      </c>
      <c r="AR7" s="559">
        <v>3803093.5586833782</v>
      </c>
    </row>
    <row r="8" spans="1:44" ht="13">
      <c r="A8" s="560" t="s">
        <v>1013</v>
      </c>
      <c r="B8" s="558">
        <v>2061.4837080572611</v>
      </c>
      <c r="C8" s="558">
        <v>2143.4046779754799</v>
      </c>
      <c r="D8" s="558">
        <v>2127.850785565548</v>
      </c>
      <c r="E8" s="558">
        <v>2642.5945300122366</v>
      </c>
      <c r="F8" s="558">
        <v>3216.892282278302</v>
      </c>
      <c r="G8" s="558">
        <v>3799.2766092378979</v>
      </c>
      <c r="H8" s="558">
        <v>3860.9964206100631</v>
      </c>
      <c r="I8" s="558">
        <v>4213.3204656234993</v>
      </c>
      <c r="J8" s="558">
        <v>5052.830690565389</v>
      </c>
      <c r="K8" s="558">
        <v>5352.8186931663267</v>
      </c>
      <c r="L8" s="558">
        <v>5609.132052343889</v>
      </c>
      <c r="M8" s="558">
        <v>6654.1844249614333</v>
      </c>
      <c r="N8" s="558">
        <v>7789.2757803778613</v>
      </c>
      <c r="O8" s="558">
        <v>9614.429036127558</v>
      </c>
      <c r="P8" s="558">
        <v>9653.962992464596</v>
      </c>
      <c r="Q8" s="558">
        <v>10107.291150051351</v>
      </c>
      <c r="R8" s="558">
        <v>10697.859452739414</v>
      </c>
      <c r="S8" s="558">
        <v>12534.139224516379</v>
      </c>
      <c r="T8" s="558">
        <v>15714.340490276065</v>
      </c>
      <c r="U8" s="558">
        <v>18405.690029923269</v>
      </c>
      <c r="V8" s="558">
        <v>23041.208016409411</v>
      </c>
      <c r="W8" s="558">
        <v>32253.079778152212</v>
      </c>
      <c r="X8" s="558">
        <v>32913.519443120007</v>
      </c>
      <c r="Y8" s="558">
        <v>37658.905306182969</v>
      </c>
      <c r="Z8" s="558">
        <v>56597.995561759424</v>
      </c>
      <c r="AA8" s="558">
        <v>69130.111765750102</v>
      </c>
      <c r="AB8" s="558">
        <v>84394.996890242939</v>
      </c>
      <c r="AC8" s="558">
        <v>122495.57076904019</v>
      </c>
      <c r="AD8" s="558">
        <v>161296.7578124732</v>
      </c>
      <c r="AE8" s="558">
        <v>191030.46581882011</v>
      </c>
      <c r="AF8" s="558">
        <v>225469.0680197792</v>
      </c>
      <c r="AG8" s="558">
        <v>250988.16209953785</v>
      </c>
      <c r="AH8" s="558">
        <v>281927.29637057782</v>
      </c>
      <c r="AI8" s="558">
        <v>360053.23942073539</v>
      </c>
      <c r="AJ8" s="558">
        <v>506058.45109589124</v>
      </c>
      <c r="AK8" s="558">
        <v>663853.54797287565</v>
      </c>
      <c r="AL8" s="558">
        <v>742085.28727806162</v>
      </c>
      <c r="AM8" s="558">
        <v>880362.94263850607</v>
      </c>
      <c r="AN8" s="558">
        <v>947780.54558335198</v>
      </c>
      <c r="AO8" s="558">
        <v>944547.93054423074</v>
      </c>
      <c r="AP8" s="558">
        <v>905079.21006141219</v>
      </c>
      <c r="AQ8" s="558">
        <v>836729.95672919147</v>
      </c>
      <c r="AR8" s="559">
        <v>906586.00155868544</v>
      </c>
    </row>
    <row r="9" spans="1:44" ht="13">
      <c r="A9" s="560" t="s">
        <v>1014</v>
      </c>
      <c r="B9" s="558">
        <v>1259.1742846301026</v>
      </c>
      <c r="C9" s="558">
        <v>1266.8717787045996</v>
      </c>
      <c r="D9" s="558">
        <v>1701.878989277187</v>
      </c>
      <c r="E9" s="558">
        <v>1703.6595612647291</v>
      </c>
      <c r="F9" s="558">
        <v>1865.3855100324606</v>
      </c>
      <c r="G9" s="558">
        <v>2275.258414694174</v>
      </c>
      <c r="H9" s="558">
        <v>2012.959902398884</v>
      </c>
      <c r="I9" s="558">
        <v>2414.9221555120885</v>
      </c>
      <c r="J9" s="558">
        <v>3502.6352415542419</v>
      </c>
      <c r="K9" s="558">
        <v>3112.9225104813968</v>
      </c>
      <c r="L9" s="558">
        <v>3286.8211511140084</v>
      </c>
      <c r="M9" s="558">
        <v>3337.3848658683964</v>
      </c>
      <c r="N9" s="558">
        <v>3716.4982290080416</v>
      </c>
      <c r="O9" s="558">
        <v>5542.034344781081</v>
      </c>
      <c r="P9" s="558">
        <v>5629.8558775859919</v>
      </c>
      <c r="Q9" s="558">
        <v>6750.4863950166009</v>
      </c>
      <c r="R9" s="558">
        <v>8012.2847552515268</v>
      </c>
      <c r="S9" s="558">
        <v>9733.3170084153189</v>
      </c>
      <c r="T9" s="558">
        <v>12970.884228801924</v>
      </c>
      <c r="U9" s="558">
        <v>15534.094815509316</v>
      </c>
      <c r="V9" s="558">
        <v>18583.058820451588</v>
      </c>
      <c r="W9" s="558">
        <v>22668.175035542292</v>
      </c>
      <c r="X9" s="558">
        <v>23875.790069554569</v>
      </c>
      <c r="Y9" s="558">
        <v>29753.561159475168</v>
      </c>
      <c r="Z9" s="558">
        <v>47983.144328142975</v>
      </c>
      <c r="AA9" s="558">
        <v>52141.880409374913</v>
      </c>
      <c r="AB9" s="558">
        <v>57672.522012438501</v>
      </c>
      <c r="AC9" s="558">
        <v>72374.87195839014</v>
      </c>
      <c r="AD9" s="558">
        <v>111104.65644672836</v>
      </c>
      <c r="AE9" s="558">
        <v>112248.36611403851</v>
      </c>
      <c r="AF9" s="558">
        <v>136545.79334619679</v>
      </c>
      <c r="AG9" s="558">
        <v>118096.58404921355</v>
      </c>
      <c r="AH9" s="558">
        <v>132375.40236073529</v>
      </c>
      <c r="AI9" s="558">
        <v>196540.92867750092</v>
      </c>
      <c r="AJ9" s="558">
        <v>293248.13673917513</v>
      </c>
      <c r="AK9" s="558">
        <v>365545.63975996018</v>
      </c>
      <c r="AL9" s="558">
        <v>389135.81096744712</v>
      </c>
      <c r="AM9" s="558">
        <v>427726.41632940085</v>
      </c>
      <c r="AN9" s="558">
        <v>453277.22532574378</v>
      </c>
      <c r="AO9" s="558">
        <v>521273.02538558037</v>
      </c>
      <c r="AP9" s="558">
        <v>443584.1225683341</v>
      </c>
      <c r="AQ9" s="558">
        <v>526902.42147363222</v>
      </c>
      <c r="AR9" s="559">
        <v>507652.62394305418</v>
      </c>
    </row>
    <row r="10" spans="1:44" ht="13">
      <c r="A10" s="560" t="s">
        <v>1015</v>
      </c>
      <c r="B10" s="558">
        <v>5907.6129290038607</v>
      </c>
      <c r="C10" s="558">
        <v>5937.0992666581224</v>
      </c>
      <c r="D10" s="558">
        <v>6622.8294193141028</v>
      </c>
      <c r="E10" s="558">
        <v>7778.1341732416276</v>
      </c>
      <c r="F10" s="558">
        <v>8445.9186123850195</v>
      </c>
      <c r="G10" s="558">
        <v>9200.8227015722987</v>
      </c>
      <c r="H10" s="558">
        <v>10645.983601641063</v>
      </c>
      <c r="I10" s="558">
        <v>10484.428441802052</v>
      </c>
      <c r="J10" s="558">
        <v>12380.152163967896</v>
      </c>
      <c r="K10" s="558">
        <v>13602.460582832373</v>
      </c>
      <c r="L10" s="558">
        <v>12002.301474346514</v>
      </c>
      <c r="M10" s="558">
        <v>13370.530020881244</v>
      </c>
      <c r="N10" s="558">
        <v>15543.826076839123</v>
      </c>
      <c r="O10" s="558">
        <v>18664.593721472189</v>
      </c>
      <c r="P10" s="558">
        <v>21659.788321438573</v>
      </c>
      <c r="Q10" s="558">
        <v>21935.54919909341</v>
      </c>
      <c r="R10" s="558">
        <v>25957.106417440351</v>
      </c>
      <c r="S10" s="558">
        <v>26966.629073049837</v>
      </c>
      <c r="T10" s="558">
        <v>34692.096662692697</v>
      </c>
      <c r="U10" s="558">
        <v>46039.565058425876</v>
      </c>
      <c r="V10" s="558">
        <v>55713.080707519359</v>
      </c>
      <c r="W10" s="558">
        <v>74144.007899824879</v>
      </c>
      <c r="X10" s="558">
        <v>67558.834414471974</v>
      </c>
      <c r="Y10" s="558">
        <v>70849.4322288884</v>
      </c>
      <c r="Z10" s="558">
        <v>107904.64418566148</v>
      </c>
      <c r="AA10" s="558">
        <v>124353.68224668413</v>
      </c>
      <c r="AB10" s="558">
        <v>210558.80371609551</v>
      </c>
      <c r="AC10" s="558">
        <v>214066.1180824273</v>
      </c>
      <c r="AD10" s="558">
        <v>288615.61016435677</v>
      </c>
      <c r="AE10" s="558">
        <v>365603.64185775124</v>
      </c>
      <c r="AF10" s="558">
        <v>451543.81819821917</v>
      </c>
      <c r="AG10" s="558">
        <v>512602.0837076772</v>
      </c>
      <c r="AH10" s="558">
        <v>593127.5492239173</v>
      </c>
      <c r="AI10" s="558">
        <v>625165.01472157135</v>
      </c>
      <c r="AJ10" s="558">
        <v>760683.53175575356</v>
      </c>
      <c r="AK10" s="558">
        <v>941587.43836611148</v>
      </c>
      <c r="AL10" s="558">
        <v>1144959.0905947555</v>
      </c>
      <c r="AM10" s="558">
        <v>1301183.8831863473</v>
      </c>
      <c r="AN10" s="558">
        <v>1513800.9341450068</v>
      </c>
      <c r="AO10" s="558">
        <v>1821464.5386029587</v>
      </c>
      <c r="AP10" s="558">
        <v>1748336.6963949045</v>
      </c>
      <c r="AQ10" s="558">
        <v>1851135.3204381517</v>
      </c>
      <c r="AR10" s="559">
        <v>2051300.6937612724</v>
      </c>
    </row>
    <row r="11" spans="1:44" ht="13">
      <c r="A11" s="560" t="s">
        <v>1016</v>
      </c>
      <c r="B11" s="558">
        <v>3210.9546181585038</v>
      </c>
      <c r="C11" s="558">
        <v>3263.3517632883854</v>
      </c>
      <c r="D11" s="558">
        <v>3638.8329563489542</v>
      </c>
      <c r="E11" s="558">
        <v>4184.1977005180415</v>
      </c>
      <c r="F11" s="558">
        <v>4495.0849610838077</v>
      </c>
      <c r="G11" s="558">
        <v>4894.7682341591008</v>
      </c>
      <c r="H11" s="558">
        <v>5887.3311215966314</v>
      </c>
      <c r="I11" s="558">
        <v>5646.9972338193511</v>
      </c>
      <c r="J11" s="558">
        <v>6966.488282677291</v>
      </c>
      <c r="K11" s="558">
        <v>8013.2906689523779</v>
      </c>
      <c r="L11" s="558">
        <v>6354.5129121177479</v>
      </c>
      <c r="M11" s="558">
        <v>7336.1452450211609</v>
      </c>
      <c r="N11" s="558">
        <v>8225.9818896127599</v>
      </c>
      <c r="O11" s="558">
        <v>10031.17057297507</v>
      </c>
      <c r="P11" s="558">
        <v>11971.587927644812</v>
      </c>
      <c r="Q11" s="558">
        <v>11712.269596941978</v>
      </c>
      <c r="R11" s="558">
        <v>14569.234485235776</v>
      </c>
      <c r="S11" s="558">
        <v>13657.790812015985</v>
      </c>
      <c r="T11" s="558">
        <v>17802.088633097326</v>
      </c>
      <c r="U11" s="558">
        <v>26933.772919629286</v>
      </c>
      <c r="V11" s="558">
        <v>31386.704938450563</v>
      </c>
      <c r="W11" s="558">
        <v>40581.452722579335</v>
      </c>
      <c r="X11" s="558">
        <v>35155.864995171069</v>
      </c>
      <c r="Y11" s="558">
        <v>36656.870838424904</v>
      </c>
      <c r="Z11" s="558">
        <v>64354.34080299639</v>
      </c>
      <c r="AA11" s="558">
        <v>63832.00589267446</v>
      </c>
      <c r="AB11" s="558">
        <v>133256.57604508116</v>
      </c>
      <c r="AC11" s="558">
        <v>93648.509354057285</v>
      </c>
      <c r="AD11" s="558">
        <v>144065.49241931492</v>
      </c>
      <c r="AE11" s="558">
        <v>158306.63492052106</v>
      </c>
      <c r="AF11" s="558">
        <v>215953.615096163</v>
      </c>
      <c r="AG11" s="558">
        <v>285184.157776498</v>
      </c>
      <c r="AH11" s="558">
        <v>336952.26588636497</v>
      </c>
      <c r="AI11" s="558">
        <v>315494.62965386634</v>
      </c>
      <c r="AJ11" s="558">
        <v>360165.54754155339</v>
      </c>
      <c r="AK11" s="558">
        <v>512539.29980984528</v>
      </c>
      <c r="AL11" s="558">
        <v>583767.27521204785</v>
      </c>
      <c r="AM11" s="558">
        <v>613946.37396175694</v>
      </c>
      <c r="AN11" s="558">
        <v>596961.79891484661</v>
      </c>
      <c r="AO11" s="558">
        <v>765100.70797118009</v>
      </c>
      <c r="AP11" s="558">
        <v>641391.99263328698</v>
      </c>
      <c r="AQ11" s="558">
        <v>707774.70459745359</v>
      </c>
      <c r="AR11" s="559">
        <v>786011.17695082398</v>
      </c>
    </row>
    <row r="12" spans="1:44" ht="13">
      <c r="A12" s="560" t="s">
        <v>1017</v>
      </c>
      <c r="B12" s="558">
        <v>2696.6583108453574</v>
      </c>
      <c r="C12" s="558">
        <v>2673.7475033697374</v>
      </c>
      <c r="D12" s="558">
        <v>2983.9964629651486</v>
      </c>
      <c r="E12" s="558">
        <v>3593.9364727235866</v>
      </c>
      <c r="F12" s="558">
        <v>3950.8336513012109</v>
      </c>
      <c r="G12" s="558">
        <v>4306.0544674131979</v>
      </c>
      <c r="H12" s="558">
        <v>4758.6524800444322</v>
      </c>
      <c r="I12" s="558">
        <v>4837.4312079827014</v>
      </c>
      <c r="J12" s="558">
        <v>5413.6638812906049</v>
      </c>
      <c r="K12" s="558">
        <v>5589.169913879995</v>
      </c>
      <c r="L12" s="558">
        <v>5647.7885622287668</v>
      </c>
      <c r="M12" s="558">
        <v>6034.3847758600823</v>
      </c>
      <c r="N12" s="558">
        <v>7317.8441872263638</v>
      </c>
      <c r="O12" s="558">
        <v>8633.4231484971187</v>
      </c>
      <c r="P12" s="558">
        <v>9688.2003937937607</v>
      </c>
      <c r="Q12" s="558">
        <v>10223.27960215143</v>
      </c>
      <c r="R12" s="558">
        <v>11387.871932204573</v>
      </c>
      <c r="S12" s="558">
        <v>13308.838261033852</v>
      </c>
      <c r="T12" s="558">
        <v>16890.008029595374</v>
      </c>
      <c r="U12" s="558">
        <v>19105.792138796591</v>
      </c>
      <c r="V12" s="558">
        <v>24326.375769068793</v>
      </c>
      <c r="W12" s="558">
        <v>33562.555177245544</v>
      </c>
      <c r="X12" s="558">
        <v>32402.969419300909</v>
      </c>
      <c r="Y12" s="558">
        <v>34192.561390463496</v>
      </c>
      <c r="Z12" s="558">
        <v>43550.303382665094</v>
      </c>
      <c r="AA12" s="558">
        <v>60521.676354009665</v>
      </c>
      <c r="AB12" s="558">
        <v>77302.227671014349</v>
      </c>
      <c r="AC12" s="558">
        <v>120417.60872837002</v>
      </c>
      <c r="AD12" s="558">
        <v>144550.11774504182</v>
      </c>
      <c r="AE12" s="558">
        <v>207297.00693723018</v>
      </c>
      <c r="AF12" s="558">
        <v>235590.20310205614</v>
      </c>
      <c r="AG12" s="558">
        <v>227417.9259311792</v>
      </c>
      <c r="AH12" s="558">
        <v>256175.28333755239</v>
      </c>
      <c r="AI12" s="558">
        <v>309670.38506770501</v>
      </c>
      <c r="AJ12" s="558">
        <v>400517.98421420017</v>
      </c>
      <c r="AK12" s="558">
        <v>429048.1385562662</v>
      </c>
      <c r="AL12" s="558">
        <v>561191.81538270763</v>
      </c>
      <c r="AM12" s="558">
        <v>687237.50922459038</v>
      </c>
      <c r="AN12" s="558">
        <v>916839.1352301602</v>
      </c>
      <c r="AO12" s="558">
        <v>1056363.8306317786</v>
      </c>
      <c r="AP12" s="558">
        <v>1106944.7037616177</v>
      </c>
      <c r="AQ12" s="558">
        <v>1143360.6158406981</v>
      </c>
      <c r="AR12" s="559">
        <v>1265289.5168104484</v>
      </c>
    </row>
    <row r="13" spans="1:44" ht="13.5" thickBot="1">
      <c r="A13" s="561" t="s">
        <v>1018</v>
      </c>
      <c r="B13" s="562">
        <v>982.43236039312342</v>
      </c>
      <c r="C13" s="562">
        <v>1092.488373132011</v>
      </c>
      <c r="D13" s="562">
        <v>1173.0103315249505</v>
      </c>
      <c r="E13" s="562">
        <v>1409.9417892848239</v>
      </c>
      <c r="F13" s="562">
        <v>1659.9950377081466</v>
      </c>
      <c r="G13" s="562">
        <v>1836.2686183294741</v>
      </c>
      <c r="H13" s="562">
        <v>1827.6429307196227</v>
      </c>
      <c r="I13" s="562">
        <v>1884.7238307594544</v>
      </c>
      <c r="J13" s="562">
        <v>2161.3950455800541</v>
      </c>
      <c r="K13" s="562">
        <v>2148.8173499317095</v>
      </c>
      <c r="L13" s="562">
        <v>2334.7065700706312</v>
      </c>
      <c r="M13" s="562">
        <v>2686.2558896590526</v>
      </c>
      <c r="N13" s="562">
        <v>2870.9217132125905</v>
      </c>
      <c r="O13" s="562">
        <v>3115.4062829604991</v>
      </c>
      <c r="P13" s="562">
        <v>3178.0503233955833</v>
      </c>
      <c r="Q13" s="562">
        <v>3485.7824915153424</v>
      </c>
      <c r="R13" s="562">
        <v>3761.0888335500072</v>
      </c>
      <c r="S13" s="562">
        <v>4361.3660740263758</v>
      </c>
      <c r="T13" s="562">
        <v>5351.9603229377344</v>
      </c>
      <c r="U13" s="562">
        <v>6472.1266246948744</v>
      </c>
      <c r="V13" s="562">
        <v>8414.0650880625271</v>
      </c>
      <c r="W13" s="562">
        <v>10123.72662550649</v>
      </c>
      <c r="X13" s="562">
        <v>8885.2513332665294</v>
      </c>
      <c r="Y13" s="562">
        <v>10093.780731902165</v>
      </c>
      <c r="Z13" s="562">
        <v>15279.183288313612</v>
      </c>
      <c r="AA13" s="562">
        <v>17754.090416772051</v>
      </c>
      <c r="AB13" s="562">
        <v>24172.572490613009</v>
      </c>
      <c r="AC13" s="562">
        <v>31929.871164129254</v>
      </c>
      <c r="AD13" s="562">
        <v>43251.7652427391</v>
      </c>
      <c r="AE13" s="562">
        <v>51381.048949248114</v>
      </c>
      <c r="AF13" s="562">
        <v>58271.652382101573</v>
      </c>
      <c r="AG13" s="562">
        <v>59944.769730213353</v>
      </c>
      <c r="AH13" s="562">
        <v>77774.683234529948</v>
      </c>
      <c r="AI13" s="562">
        <v>99931.830043862996</v>
      </c>
      <c r="AJ13" s="562">
        <v>138768.65439331305</v>
      </c>
      <c r="AK13" s="562">
        <v>197667.45050641563</v>
      </c>
      <c r="AL13" s="562">
        <v>215599.92767759788</v>
      </c>
      <c r="AM13" s="562">
        <v>263352.01318526652</v>
      </c>
      <c r="AN13" s="562">
        <v>301598.85941322474</v>
      </c>
      <c r="AO13" s="562">
        <v>307465.18537027901</v>
      </c>
      <c r="AP13" s="562">
        <v>295877.58084895206</v>
      </c>
      <c r="AQ13" s="562">
        <v>317919.03921117017</v>
      </c>
      <c r="AR13" s="563">
        <v>337554.23942036607</v>
      </c>
    </row>
    <row r="14" spans="1:44">
      <c r="AO14" s="542"/>
      <c r="AP14" s="542"/>
      <c r="AQ14" s="542"/>
      <c r="AR14" s="542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9" fitToWidth="3" orientation="landscape" horizontalDpi="4294967292" verticalDpi="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F154-75C4-4998-A82C-E342A5F9083B}">
  <dimension ref="A1:AR14"/>
  <sheetViews>
    <sheetView showGridLines="0" workbookViewId="0">
      <selection activeCell="B5" sqref="B5"/>
    </sheetView>
  </sheetViews>
  <sheetFormatPr defaultRowHeight="12.5"/>
  <cols>
    <col min="1" max="16384" width="8.7265625" style="485"/>
  </cols>
  <sheetData>
    <row r="1" spans="1:44" ht="13">
      <c r="A1" s="553" t="s">
        <v>1011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</row>
    <row r="2" spans="1:44" ht="13">
      <c r="A2" s="322" t="s">
        <v>1010</v>
      </c>
      <c r="B2" s="323"/>
      <c r="C2" s="31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</row>
    <row r="3" spans="1:44" ht="13">
      <c r="A3" s="323" t="s">
        <v>931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</row>
    <row r="4" spans="1:44" ht="13.5" thickBot="1">
      <c r="A4" s="323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</row>
    <row r="5" spans="1:44" ht="13">
      <c r="A5" s="551"/>
      <c r="B5" s="342"/>
      <c r="C5" s="543">
        <v>1954</v>
      </c>
      <c r="D5" s="543">
        <v>1955</v>
      </c>
      <c r="E5" s="543">
        <v>1956</v>
      </c>
      <c r="F5" s="543">
        <v>1957</v>
      </c>
      <c r="G5" s="543">
        <v>1958</v>
      </c>
      <c r="H5" s="543">
        <v>1959</v>
      </c>
      <c r="I5" s="543">
        <v>1960</v>
      </c>
      <c r="J5" s="543">
        <v>1961</v>
      </c>
      <c r="K5" s="543">
        <v>1962</v>
      </c>
      <c r="L5" s="543">
        <v>1963</v>
      </c>
      <c r="M5" s="543">
        <v>1964</v>
      </c>
      <c r="N5" s="543">
        <v>1965</v>
      </c>
      <c r="O5" s="543">
        <v>1966</v>
      </c>
      <c r="P5" s="543">
        <v>1967</v>
      </c>
      <c r="Q5" s="543">
        <v>1968</v>
      </c>
      <c r="R5" s="543">
        <v>1969</v>
      </c>
      <c r="S5" s="543">
        <v>1970</v>
      </c>
      <c r="T5" s="543">
        <v>1971</v>
      </c>
      <c r="U5" s="543">
        <v>1972</v>
      </c>
      <c r="V5" s="543">
        <v>1973</v>
      </c>
      <c r="W5" s="543">
        <v>1974</v>
      </c>
      <c r="X5" s="543">
        <v>1975</v>
      </c>
      <c r="Y5" s="543">
        <v>1976</v>
      </c>
      <c r="Z5" s="543">
        <v>1977</v>
      </c>
      <c r="AA5" s="543">
        <v>1978</v>
      </c>
      <c r="AB5" s="543">
        <v>1979</v>
      </c>
      <c r="AC5" s="543">
        <v>1980</v>
      </c>
      <c r="AD5" s="543">
        <v>1981</v>
      </c>
      <c r="AE5" s="543">
        <v>1982</v>
      </c>
      <c r="AF5" s="543">
        <v>1983</v>
      </c>
      <c r="AG5" s="543">
        <v>1984</v>
      </c>
      <c r="AH5" s="543">
        <v>1985</v>
      </c>
      <c r="AI5" s="543">
        <v>1986</v>
      </c>
      <c r="AJ5" s="543">
        <v>1987</v>
      </c>
      <c r="AK5" s="543">
        <v>1988</v>
      </c>
      <c r="AL5" s="543">
        <v>1989</v>
      </c>
      <c r="AM5" s="543">
        <v>1990</v>
      </c>
      <c r="AN5" s="543">
        <v>1991</v>
      </c>
      <c r="AO5" s="543">
        <v>1992</v>
      </c>
      <c r="AP5" s="543">
        <v>1993</v>
      </c>
      <c r="AQ5" s="543">
        <v>1994</v>
      </c>
      <c r="AR5" s="342">
        <v>1995</v>
      </c>
    </row>
    <row r="6" spans="1:44" ht="13.5" thickBot="1">
      <c r="A6" s="570"/>
      <c r="B6" s="574"/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4"/>
    </row>
    <row r="7" spans="1:44" ht="13">
      <c r="A7" s="517" t="s">
        <v>1012</v>
      </c>
      <c r="B7" s="575"/>
      <c r="C7" s="558">
        <v>10385.726049144665</v>
      </c>
      <c r="D7" s="558">
        <v>11841.294044542079</v>
      </c>
      <c r="E7" s="558">
        <v>12820.846510758589</v>
      </c>
      <c r="F7" s="558">
        <v>15069.42738953801</v>
      </c>
      <c r="G7" s="558">
        <v>17008.146334513833</v>
      </c>
      <c r="H7" s="558">
        <v>17620.061270879691</v>
      </c>
      <c r="I7" s="558">
        <v>18601.490825177687</v>
      </c>
      <c r="J7" s="558">
        <v>21942.582364225895</v>
      </c>
      <c r="K7" s="558">
        <v>23035.694835698188</v>
      </c>
      <c r="L7" s="558">
        <v>21557.807310405191</v>
      </c>
      <c r="M7" s="558">
        <v>25558.753153897836</v>
      </c>
      <c r="N7" s="558">
        <v>29891.599442734689</v>
      </c>
      <c r="O7" s="558">
        <v>36029.244546925096</v>
      </c>
      <c r="P7" s="558">
        <v>36675.488186958995</v>
      </c>
      <c r="Q7" s="558">
        <v>42646.234915111185</v>
      </c>
      <c r="R7" s="558">
        <v>47834.143763295346</v>
      </c>
      <c r="S7" s="558">
        <v>50560.219409726647</v>
      </c>
      <c r="T7" s="558">
        <v>64560.658341361901</v>
      </c>
      <c r="U7" s="558">
        <v>83346.508834880093</v>
      </c>
      <c r="V7" s="558">
        <v>94166.543263663334</v>
      </c>
      <c r="W7" s="558">
        <v>112366.93619780586</v>
      </c>
      <c r="X7" s="558">
        <v>109830.58960705361</v>
      </c>
      <c r="Y7" s="558">
        <v>124738.94119150031</v>
      </c>
      <c r="Z7" s="558">
        <v>177997.26680293414</v>
      </c>
      <c r="AA7" s="558">
        <v>219262.49532598894</v>
      </c>
      <c r="AB7" s="558">
        <v>298970.30388836516</v>
      </c>
      <c r="AC7" s="558">
        <v>356238.33713346504</v>
      </c>
      <c r="AD7" s="558">
        <v>506104.26516960206</v>
      </c>
      <c r="AE7" s="558">
        <v>616407.46900166222</v>
      </c>
      <c r="AF7" s="558">
        <v>700880.67731574271</v>
      </c>
      <c r="AG7" s="558">
        <v>767989.9719149397</v>
      </c>
      <c r="AH7" s="558">
        <v>933373.94986808579</v>
      </c>
      <c r="AI7" s="558">
        <v>1149922.8772384871</v>
      </c>
      <c r="AJ7" s="558">
        <v>1563497.8254355364</v>
      </c>
      <c r="AK7" s="558">
        <v>1958852.426753588</v>
      </c>
      <c r="AL7" s="558">
        <v>2242577.690402546</v>
      </c>
      <c r="AM7" s="558">
        <v>2666231.0060611139</v>
      </c>
      <c r="AN7" s="558">
        <v>3008546.6827717572</v>
      </c>
      <c r="AO7" s="558">
        <v>3468144.9177730177</v>
      </c>
      <c r="AP7" s="558">
        <v>3269735.5534554729</v>
      </c>
      <c r="AQ7" s="558">
        <v>3411457.9357218528</v>
      </c>
      <c r="AR7" s="559">
        <v>3681977.621063048</v>
      </c>
    </row>
    <row r="8" spans="1:44" ht="13">
      <c r="A8" s="517" t="s">
        <v>1013</v>
      </c>
      <c r="B8" s="575"/>
      <c r="C8" s="558">
        <v>2133.8516943154668</v>
      </c>
      <c r="D8" s="558">
        <v>2381.1287460463195</v>
      </c>
      <c r="E8" s="558">
        <v>2418.6179479027105</v>
      </c>
      <c r="F8" s="558">
        <v>3260.6865319727904</v>
      </c>
      <c r="G8" s="558">
        <v>3616.9972780771659</v>
      </c>
      <c r="H8" s="558">
        <v>3875.1901788265022</v>
      </c>
      <c r="I8" s="558">
        <v>4256.4101848001974</v>
      </c>
      <c r="J8" s="558">
        <v>4929.7497621173416</v>
      </c>
      <c r="K8" s="558">
        <v>5367.4951495341174</v>
      </c>
      <c r="L8" s="558">
        <v>5814.8795971525069</v>
      </c>
      <c r="M8" s="558">
        <v>6071.6876114814986</v>
      </c>
      <c r="N8" s="558">
        <v>7922.6179335834631</v>
      </c>
      <c r="O8" s="558">
        <v>9362.4501388822555</v>
      </c>
      <c r="P8" s="558">
        <v>9559.6797987417813</v>
      </c>
      <c r="Q8" s="558">
        <v>10237.346211376096</v>
      </c>
      <c r="R8" s="558">
        <v>10194.069521455951</v>
      </c>
      <c r="S8" s="558">
        <v>11759.736548673551</v>
      </c>
      <c r="T8" s="558">
        <v>14316.304174344035</v>
      </c>
      <c r="U8" s="558">
        <v>18131.434581851587</v>
      </c>
      <c r="V8" s="558">
        <v>20860.318368136421</v>
      </c>
      <c r="W8" s="558">
        <v>26940.102368812379</v>
      </c>
      <c r="X8" s="558">
        <v>25911.490561708419</v>
      </c>
      <c r="Y8" s="558">
        <v>33342.140940114332</v>
      </c>
      <c r="Z8" s="558">
        <v>40692.188571606188</v>
      </c>
      <c r="AA8" s="558">
        <v>58823.567022624964</v>
      </c>
      <c r="AB8" s="558">
        <v>69707.142681520869</v>
      </c>
      <c r="AC8" s="558">
        <v>98030.493312586404</v>
      </c>
      <c r="AD8" s="558">
        <v>143481.03315547516</v>
      </c>
      <c r="AE8" s="558">
        <v>161124.27932921553</v>
      </c>
      <c r="AF8" s="558">
        <v>183134.44932135814</v>
      </c>
      <c r="AG8" s="558">
        <v>198085.66610881372</v>
      </c>
      <c r="AH8" s="558">
        <v>249649.68820912536</v>
      </c>
      <c r="AI8" s="558">
        <v>324996.48400667316</v>
      </c>
      <c r="AJ8" s="558">
        <v>479355.41237417224</v>
      </c>
      <c r="AK8" s="558">
        <v>599020.45326240105</v>
      </c>
      <c r="AL8" s="558">
        <v>690447.89318515931</v>
      </c>
      <c r="AM8" s="558">
        <v>883004.13353179605</v>
      </c>
      <c r="AN8" s="558">
        <v>923145.67318614002</v>
      </c>
      <c r="AO8" s="558">
        <v>987808.0672694731</v>
      </c>
      <c r="AP8" s="558">
        <v>910421.83961296373</v>
      </c>
      <c r="AQ8" s="558">
        <v>802828.23571827309</v>
      </c>
      <c r="AR8" s="559">
        <v>899301.49870113179</v>
      </c>
    </row>
    <row r="9" spans="1:44" ht="13">
      <c r="A9" s="517" t="s">
        <v>1014</v>
      </c>
      <c r="B9" s="575"/>
      <c r="C9" s="558">
        <v>1291.416093681619</v>
      </c>
      <c r="D9" s="558">
        <v>1704.9494055522412</v>
      </c>
      <c r="E9" s="558">
        <v>1427.1713207203904</v>
      </c>
      <c r="F9" s="558">
        <v>1890.7518565421778</v>
      </c>
      <c r="G9" s="558">
        <v>2375.0988324332989</v>
      </c>
      <c r="H9" s="558">
        <v>1956.6817057096944</v>
      </c>
      <c r="I9" s="558">
        <v>2371.3415418923532</v>
      </c>
      <c r="J9" s="558">
        <v>3392.6949849379289</v>
      </c>
      <c r="K9" s="558">
        <v>2693.0452865057291</v>
      </c>
      <c r="L9" s="558">
        <v>3413.4416022714604</v>
      </c>
      <c r="M9" s="558">
        <v>3327.3120824513435</v>
      </c>
      <c r="N9" s="558">
        <v>3596.7923052484643</v>
      </c>
      <c r="O9" s="558">
        <v>5421.5994244582007</v>
      </c>
      <c r="P9" s="558">
        <v>5468.5195901274074</v>
      </c>
      <c r="Q9" s="558">
        <v>7009.6794786402743</v>
      </c>
      <c r="R9" s="558">
        <v>8627.3337164420846</v>
      </c>
      <c r="S9" s="558">
        <v>9139.0668562572173</v>
      </c>
      <c r="T9" s="558">
        <v>11756.272798934415</v>
      </c>
      <c r="U9" s="558">
        <v>15882.873099171402</v>
      </c>
      <c r="V9" s="558">
        <v>16346.400860018541</v>
      </c>
      <c r="W9" s="558">
        <v>20725.91362895296</v>
      </c>
      <c r="X9" s="558">
        <v>20783.558793418881</v>
      </c>
      <c r="Y9" s="558">
        <v>24591.058013535705</v>
      </c>
      <c r="Z9" s="558">
        <v>35054.264035972315</v>
      </c>
      <c r="AA9" s="558">
        <v>39033.761029812144</v>
      </c>
      <c r="AB9" s="558">
        <v>43107.521770340922</v>
      </c>
      <c r="AC9" s="558">
        <v>60309.115995752225</v>
      </c>
      <c r="AD9" s="558">
        <v>92833.642004461493</v>
      </c>
      <c r="AE9" s="558">
        <v>105304.74520191396</v>
      </c>
      <c r="AF9" s="558">
        <v>113615.53292500196</v>
      </c>
      <c r="AG9" s="558">
        <v>98043.176738577618</v>
      </c>
      <c r="AH9" s="558">
        <v>119028.70302935886</v>
      </c>
      <c r="AI9" s="558">
        <v>175357.436460734</v>
      </c>
      <c r="AJ9" s="558">
        <v>261160.53876551086</v>
      </c>
      <c r="AK9" s="558">
        <v>336283.4149896435</v>
      </c>
      <c r="AL9" s="558">
        <v>353098.98560655426</v>
      </c>
      <c r="AM9" s="558">
        <v>410995.38850281236</v>
      </c>
      <c r="AN9" s="558">
        <v>455657.00216141407</v>
      </c>
      <c r="AO9" s="558">
        <v>498288.77843037684</v>
      </c>
      <c r="AP9" s="558">
        <v>440660.46613376262</v>
      </c>
      <c r="AQ9" s="558">
        <v>525013.47341100383</v>
      </c>
      <c r="AR9" s="559">
        <v>490774.30717716616</v>
      </c>
    </row>
    <row r="10" spans="1:44" ht="13">
      <c r="A10" s="517" t="s">
        <v>1015</v>
      </c>
      <c r="B10" s="575"/>
      <c r="C10" s="558">
        <v>5878.7886160613007</v>
      </c>
      <c r="D10" s="558">
        <v>6556.2217281523035</v>
      </c>
      <c r="E10" s="558">
        <v>7700.2110433704547</v>
      </c>
      <c r="F10" s="558">
        <v>8362.1801516092073</v>
      </c>
      <c r="G10" s="558">
        <v>9110.9946643737512</v>
      </c>
      <c r="H10" s="558">
        <v>10026.930858480337</v>
      </c>
      <c r="I10" s="558">
        <v>10151.611183623359</v>
      </c>
      <c r="J10" s="558">
        <v>11396.111690136395</v>
      </c>
      <c r="K10" s="558">
        <v>12828.085983991155</v>
      </c>
      <c r="L10" s="558">
        <v>9923.7031786955049</v>
      </c>
      <c r="M10" s="558">
        <v>13519.87315136464</v>
      </c>
      <c r="N10" s="558">
        <v>15510.771131265572</v>
      </c>
      <c r="O10" s="558">
        <v>18268.466276143594</v>
      </c>
      <c r="P10" s="558">
        <v>18561.265942706705</v>
      </c>
      <c r="Q10" s="558">
        <v>21886.598327887888</v>
      </c>
      <c r="R10" s="558">
        <v>25484.602661988461</v>
      </c>
      <c r="S10" s="558">
        <v>25533.84181406151</v>
      </c>
      <c r="T10" s="558">
        <v>33203.471368764382</v>
      </c>
      <c r="U10" s="558">
        <v>43162.333773754115</v>
      </c>
      <c r="V10" s="558">
        <v>50136.972109497037</v>
      </c>
      <c r="W10" s="558">
        <v>56880.188803659868</v>
      </c>
      <c r="X10" s="558">
        <v>55624.453706336702</v>
      </c>
      <c r="Y10" s="558">
        <v>57760.650521705989</v>
      </c>
      <c r="Z10" s="558">
        <v>89655.935444068309</v>
      </c>
      <c r="AA10" s="558">
        <v>106207.93542747576</v>
      </c>
      <c r="AB10" s="558">
        <v>166477.76070199569</v>
      </c>
      <c r="AC10" s="558">
        <v>171165.40679257596</v>
      </c>
      <c r="AD10" s="558">
        <v>233984.39848670509</v>
      </c>
      <c r="AE10" s="558">
        <v>308044.09571224288</v>
      </c>
      <c r="AF10" s="558">
        <v>361143.440195114</v>
      </c>
      <c r="AG10" s="558">
        <v>425652.79005150613</v>
      </c>
      <c r="AH10" s="558">
        <v>498317.15482883889</v>
      </c>
      <c r="AI10" s="558">
        <v>568169.54921719036</v>
      </c>
      <c r="AJ10" s="558">
        <v>691580.15769606899</v>
      </c>
      <c r="AK10" s="558">
        <v>850255.11229729943</v>
      </c>
      <c r="AL10" s="558">
        <v>1004102.145288514</v>
      </c>
      <c r="AM10" s="558">
        <v>1128611.1881719532</v>
      </c>
      <c r="AN10" s="558">
        <v>1334229.1402186234</v>
      </c>
      <c r="AO10" s="558">
        <v>1683727.1207934455</v>
      </c>
      <c r="AP10" s="558">
        <v>1636149.7715711291</v>
      </c>
      <c r="AQ10" s="558">
        <v>1769805.8815511863</v>
      </c>
      <c r="AR10" s="559">
        <v>1964179.0629679407</v>
      </c>
    </row>
    <row r="11" spans="1:44" ht="13">
      <c r="A11" s="517" t="s">
        <v>1016</v>
      </c>
      <c r="B11" s="575"/>
      <c r="C11" s="558">
        <v>3231.3010671660782</v>
      </c>
      <c r="D11" s="558">
        <v>3602.2361717422068</v>
      </c>
      <c r="E11" s="558">
        <v>4142.279449487377</v>
      </c>
      <c r="F11" s="558">
        <v>4450.517695760449</v>
      </c>
      <c r="G11" s="558">
        <v>4846.980396345296</v>
      </c>
      <c r="H11" s="558">
        <v>5544.989012394235</v>
      </c>
      <c r="I11" s="558">
        <v>5467.7391896889658</v>
      </c>
      <c r="J11" s="558">
        <v>6412.7546661730003</v>
      </c>
      <c r="K11" s="558">
        <v>7557.101973577679</v>
      </c>
      <c r="L11" s="558">
        <v>5254.0173332446602</v>
      </c>
      <c r="M11" s="558">
        <v>7418.0868655000277</v>
      </c>
      <c r="N11" s="558">
        <v>8208.4888102186633</v>
      </c>
      <c r="O11" s="558">
        <v>9818.2743250296007</v>
      </c>
      <c r="P11" s="558">
        <v>10265.401591594471</v>
      </c>
      <c r="Q11" s="558">
        <v>11686.271581907049</v>
      </c>
      <c r="R11" s="558">
        <v>14303.626413245429</v>
      </c>
      <c r="S11" s="558">
        <v>12931.47622851708</v>
      </c>
      <c r="T11" s="558">
        <v>17036.587020141695</v>
      </c>
      <c r="U11" s="558">
        <v>25250.472938329138</v>
      </c>
      <c r="V11" s="558">
        <v>28244.501938434252</v>
      </c>
      <c r="W11" s="558">
        <v>31134.72827554369</v>
      </c>
      <c r="X11" s="558">
        <v>28949.020959032692</v>
      </c>
      <c r="Y11" s="558">
        <v>29896.065098298513</v>
      </c>
      <c r="Z11" s="558">
        <v>53471.685152666345</v>
      </c>
      <c r="AA11" s="558">
        <v>54523.271596272316</v>
      </c>
      <c r="AB11" s="558">
        <v>105378.21633101354</v>
      </c>
      <c r="AC11" s="558">
        <v>74868.126797982797</v>
      </c>
      <c r="AD11" s="558">
        <v>116824.11289212006</v>
      </c>
      <c r="AE11" s="558">
        <v>133365.43187780742</v>
      </c>
      <c r="AF11" s="558">
        <v>172710.3255591749</v>
      </c>
      <c r="AG11" s="558">
        <v>236810.82936752716</v>
      </c>
      <c r="AH11" s="558">
        <v>283076.43435014039</v>
      </c>
      <c r="AI11" s="558">
        <v>289342.28815824847</v>
      </c>
      <c r="AJ11" s="558">
        <v>327395.87403944391</v>
      </c>
      <c r="AK11" s="558">
        <v>463677.83760747552</v>
      </c>
      <c r="AL11" s="558">
        <v>510933.28956690599</v>
      </c>
      <c r="AM11" s="558">
        <v>532085.84320870531</v>
      </c>
      <c r="AN11" s="558">
        <v>525260.70223664318</v>
      </c>
      <c r="AO11" s="558">
        <v>708214.47552502446</v>
      </c>
      <c r="AP11" s="558">
        <v>601200.73467337387</v>
      </c>
      <c r="AQ11" s="558">
        <v>676837.78841297072</v>
      </c>
      <c r="AR11" s="559">
        <v>752725.81413020135</v>
      </c>
    </row>
    <row r="12" spans="1:44" ht="13">
      <c r="A12" s="517" t="s">
        <v>1017</v>
      </c>
      <c r="B12" s="575"/>
      <c r="C12" s="558">
        <v>2647.4875488952225</v>
      </c>
      <c r="D12" s="558">
        <v>2953.9855564100967</v>
      </c>
      <c r="E12" s="558">
        <v>3557.9315938830778</v>
      </c>
      <c r="F12" s="558">
        <v>3911.6624558487583</v>
      </c>
      <c r="G12" s="558">
        <v>4264.0142680284553</v>
      </c>
      <c r="H12" s="558">
        <v>4481.9418460861007</v>
      </c>
      <c r="I12" s="558">
        <v>4683.8719939343937</v>
      </c>
      <c r="J12" s="558">
        <v>4983.3570239633946</v>
      </c>
      <c r="K12" s="558">
        <v>5270.9840104134764</v>
      </c>
      <c r="L12" s="558">
        <v>4669.6858454508456</v>
      </c>
      <c r="M12" s="558">
        <v>6101.7862858646122</v>
      </c>
      <c r="N12" s="558">
        <v>7302.2823210469087</v>
      </c>
      <c r="O12" s="558">
        <v>8450.1919511139931</v>
      </c>
      <c r="P12" s="558">
        <v>8295.8643511122318</v>
      </c>
      <c r="Q12" s="558">
        <v>10200.326745980839</v>
      </c>
      <c r="R12" s="558">
        <v>11180.976248743033</v>
      </c>
      <c r="S12" s="558">
        <v>12602.365585544429</v>
      </c>
      <c r="T12" s="558">
        <v>16166.884348622683</v>
      </c>
      <c r="U12" s="558">
        <v>17911.860835424981</v>
      </c>
      <c r="V12" s="558">
        <v>21892.470171062785</v>
      </c>
      <c r="W12" s="558">
        <v>25745.460528116175</v>
      </c>
      <c r="X12" s="558">
        <v>26675.432747304014</v>
      </c>
      <c r="Y12" s="558">
        <v>27864.585423407476</v>
      </c>
      <c r="Z12" s="558">
        <v>36184.250291401957</v>
      </c>
      <c r="AA12" s="558">
        <v>51684.663831203448</v>
      </c>
      <c r="AB12" s="558">
        <v>61099.544370982156</v>
      </c>
      <c r="AC12" s="558">
        <v>96297.279994593147</v>
      </c>
      <c r="AD12" s="558">
        <v>117160.28559458502</v>
      </c>
      <c r="AE12" s="558">
        <v>174678.66383443546</v>
      </c>
      <c r="AF12" s="558">
        <v>188433.11463593907</v>
      </c>
      <c r="AG12" s="558">
        <v>188841.96068397901</v>
      </c>
      <c r="AH12" s="558">
        <v>215240.72047869849</v>
      </c>
      <c r="AI12" s="558">
        <v>278827.26105894195</v>
      </c>
      <c r="AJ12" s="558">
        <v>364184.28365662514</v>
      </c>
      <c r="AK12" s="558">
        <v>386577.27468982391</v>
      </c>
      <c r="AL12" s="558">
        <v>493168.85572160792</v>
      </c>
      <c r="AM12" s="558">
        <v>596525.34496324789</v>
      </c>
      <c r="AN12" s="558">
        <v>808968.43798198027</v>
      </c>
      <c r="AO12" s="558">
        <v>975512.64526842115</v>
      </c>
      <c r="AP12" s="558">
        <v>1034949.0368977551</v>
      </c>
      <c r="AQ12" s="558">
        <v>1092968.0931382156</v>
      </c>
      <c r="AR12" s="559">
        <v>1211453.2488377392</v>
      </c>
    </row>
    <row r="13" spans="1:44" ht="13.5" thickBot="1">
      <c r="A13" s="570" t="s">
        <v>1018</v>
      </c>
      <c r="B13" s="576"/>
      <c r="C13" s="562">
        <v>1081.6696450862773</v>
      </c>
      <c r="D13" s="562">
        <v>1198.9941647912146</v>
      </c>
      <c r="E13" s="562">
        <v>1274.8461987650337</v>
      </c>
      <c r="F13" s="562">
        <v>1555.8088494138349</v>
      </c>
      <c r="G13" s="562">
        <v>1905.0555596296144</v>
      </c>
      <c r="H13" s="562">
        <v>1761.258527863157</v>
      </c>
      <c r="I13" s="562">
        <v>1822.1279148617773</v>
      </c>
      <c r="J13" s="562">
        <v>2224.0259270342322</v>
      </c>
      <c r="K13" s="562">
        <v>2147.068415667185</v>
      </c>
      <c r="L13" s="562">
        <v>2405.7829322857169</v>
      </c>
      <c r="M13" s="562">
        <v>2639.8803086003541</v>
      </c>
      <c r="N13" s="562">
        <v>2861.4180726371869</v>
      </c>
      <c r="O13" s="562">
        <v>2976.7287074410424</v>
      </c>
      <c r="P13" s="562">
        <v>3086.0228553831025</v>
      </c>
      <c r="Q13" s="562">
        <v>3512.6108972069292</v>
      </c>
      <c r="R13" s="562">
        <v>3528.1378634088451</v>
      </c>
      <c r="S13" s="562">
        <v>4127.5741907343672</v>
      </c>
      <c r="T13" s="562">
        <v>5284.6099993190646</v>
      </c>
      <c r="U13" s="562">
        <v>6169.8673801029927</v>
      </c>
      <c r="V13" s="562">
        <v>6822.8519260113262</v>
      </c>
      <c r="W13" s="562">
        <v>7820.73139638065</v>
      </c>
      <c r="X13" s="562">
        <v>7511.0865455896055</v>
      </c>
      <c r="Y13" s="562">
        <v>9045.0917161442958</v>
      </c>
      <c r="Z13" s="562">
        <v>12594.878751287324</v>
      </c>
      <c r="AA13" s="562">
        <v>15197.231846076054</v>
      </c>
      <c r="AB13" s="562">
        <v>19677.878734507722</v>
      </c>
      <c r="AC13" s="562">
        <v>26733.321032550495</v>
      </c>
      <c r="AD13" s="562">
        <v>35805.191522960296</v>
      </c>
      <c r="AE13" s="562">
        <v>41934.348758289794</v>
      </c>
      <c r="AF13" s="562">
        <v>42987.254874268569</v>
      </c>
      <c r="AG13" s="562">
        <v>46208.33901604233</v>
      </c>
      <c r="AH13" s="562">
        <v>66378.403800762782</v>
      </c>
      <c r="AI13" s="562">
        <v>81399.407553889512</v>
      </c>
      <c r="AJ13" s="562">
        <v>131401.71659978424</v>
      </c>
      <c r="AK13" s="562">
        <v>173293.44620424413</v>
      </c>
      <c r="AL13" s="562">
        <v>194928.6663223186</v>
      </c>
      <c r="AM13" s="562">
        <v>243620.2958545523</v>
      </c>
      <c r="AN13" s="562">
        <v>295514.86720558</v>
      </c>
      <c r="AO13" s="562">
        <v>298320.9512797221</v>
      </c>
      <c r="AP13" s="562">
        <v>282503.47613761766</v>
      </c>
      <c r="AQ13" s="562">
        <v>313810.34504138946</v>
      </c>
      <c r="AR13" s="563">
        <v>327722.75221680943</v>
      </c>
    </row>
    <row r="14" spans="1:44">
      <c r="AN14" s="542"/>
      <c r="AO14" s="542"/>
      <c r="AP14" s="542"/>
      <c r="AQ14" s="542"/>
      <c r="AR14" s="542"/>
    </row>
  </sheetData>
  <pageMargins left="0.75" right="0.75" top="1" bottom="1" header="0.5" footer="0.5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8E65-AE58-4370-A4B5-EF63A405078C}">
  <sheetPr>
    <pageSetUpPr fitToPage="1"/>
  </sheetPr>
  <dimension ref="A1:AX36"/>
  <sheetViews>
    <sheetView showGridLines="0" workbookViewId="0">
      <pane xSplit="1" ySplit="6" topLeftCell="B21" activePane="bottomRight" state="frozen"/>
      <selection pane="topRight" activeCell="B1" sqref="B1"/>
      <selection pane="bottomLeft" activeCell="A7" sqref="A7"/>
      <selection pane="bottomRight" activeCell="A37" sqref="A37"/>
    </sheetView>
  </sheetViews>
  <sheetFormatPr defaultColWidth="9" defaultRowHeight="12.5"/>
  <cols>
    <col min="1" max="1" width="40.81640625" style="485" customWidth="1"/>
    <col min="2" max="48" width="9" style="485" customWidth="1"/>
    <col min="49" max="49" width="9.54296875" style="485" customWidth="1"/>
    <col min="50" max="256" width="9" style="485"/>
    <col min="257" max="257" width="40.81640625" style="485" customWidth="1"/>
    <col min="258" max="304" width="9" style="485"/>
    <col min="305" max="305" width="9.54296875" style="485" customWidth="1"/>
    <col min="306" max="512" width="9" style="485"/>
    <col min="513" max="513" width="40.81640625" style="485" customWidth="1"/>
    <col min="514" max="560" width="9" style="485"/>
    <col min="561" max="561" width="9.54296875" style="485" customWidth="1"/>
    <col min="562" max="768" width="9" style="485"/>
    <col min="769" max="769" width="40.81640625" style="485" customWidth="1"/>
    <col min="770" max="816" width="9" style="485"/>
    <col min="817" max="817" width="9.54296875" style="485" customWidth="1"/>
    <col min="818" max="1024" width="9" style="485"/>
    <col min="1025" max="1025" width="40.81640625" style="485" customWidth="1"/>
    <col min="1026" max="1072" width="9" style="485"/>
    <col min="1073" max="1073" width="9.54296875" style="485" customWidth="1"/>
    <col min="1074" max="1280" width="9" style="485"/>
    <col min="1281" max="1281" width="40.81640625" style="485" customWidth="1"/>
    <col min="1282" max="1328" width="9" style="485"/>
    <col min="1329" max="1329" width="9.54296875" style="485" customWidth="1"/>
    <col min="1330" max="1536" width="9" style="485"/>
    <col min="1537" max="1537" width="40.81640625" style="485" customWidth="1"/>
    <col min="1538" max="1584" width="9" style="485"/>
    <col min="1585" max="1585" width="9.54296875" style="485" customWidth="1"/>
    <col min="1586" max="1792" width="9" style="485"/>
    <col min="1793" max="1793" width="40.81640625" style="485" customWidth="1"/>
    <col min="1794" max="1840" width="9" style="485"/>
    <col min="1841" max="1841" width="9.54296875" style="485" customWidth="1"/>
    <col min="1842" max="2048" width="9" style="485"/>
    <col min="2049" max="2049" width="40.81640625" style="485" customWidth="1"/>
    <col min="2050" max="2096" width="9" style="485"/>
    <col min="2097" max="2097" width="9.54296875" style="485" customWidth="1"/>
    <col min="2098" max="2304" width="9" style="485"/>
    <col min="2305" max="2305" width="40.81640625" style="485" customWidth="1"/>
    <col min="2306" max="2352" width="9" style="485"/>
    <col min="2353" max="2353" width="9.54296875" style="485" customWidth="1"/>
    <col min="2354" max="2560" width="9" style="485"/>
    <col min="2561" max="2561" width="40.81640625" style="485" customWidth="1"/>
    <col min="2562" max="2608" width="9" style="485"/>
    <col min="2609" max="2609" width="9.54296875" style="485" customWidth="1"/>
    <col min="2610" max="2816" width="9" style="485"/>
    <col min="2817" max="2817" width="40.81640625" style="485" customWidth="1"/>
    <col min="2818" max="2864" width="9" style="485"/>
    <col min="2865" max="2865" width="9.54296875" style="485" customWidth="1"/>
    <col min="2866" max="3072" width="9" style="485"/>
    <col min="3073" max="3073" width="40.81640625" style="485" customWidth="1"/>
    <col min="3074" max="3120" width="9" style="485"/>
    <col min="3121" max="3121" width="9.54296875" style="485" customWidth="1"/>
    <col min="3122" max="3328" width="9" style="485"/>
    <col min="3329" max="3329" width="40.81640625" style="485" customWidth="1"/>
    <col min="3330" max="3376" width="9" style="485"/>
    <col min="3377" max="3377" width="9.54296875" style="485" customWidth="1"/>
    <col min="3378" max="3584" width="9" style="485"/>
    <col min="3585" max="3585" width="40.81640625" style="485" customWidth="1"/>
    <col min="3586" max="3632" width="9" style="485"/>
    <col min="3633" max="3633" width="9.54296875" style="485" customWidth="1"/>
    <col min="3634" max="3840" width="9" style="485"/>
    <col min="3841" max="3841" width="40.81640625" style="485" customWidth="1"/>
    <col min="3842" max="3888" width="9" style="485"/>
    <col min="3889" max="3889" width="9.54296875" style="485" customWidth="1"/>
    <col min="3890" max="4096" width="9" style="485"/>
    <col min="4097" max="4097" width="40.81640625" style="485" customWidth="1"/>
    <col min="4098" max="4144" width="9" style="485"/>
    <col min="4145" max="4145" width="9.54296875" style="485" customWidth="1"/>
    <col min="4146" max="4352" width="9" style="485"/>
    <col min="4353" max="4353" width="40.81640625" style="485" customWidth="1"/>
    <col min="4354" max="4400" width="9" style="485"/>
    <col min="4401" max="4401" width="9.54296875" style="485" customWidth="1"/>
    <col min="4402" max="4608" width="9" style="485"/>
    <col min="4609" max="4609" width="40.81640625" style="485" customWidth="1"/>
    <col min="4610" max="4656" width="9" style="485"/>
    <col min="4657" max="4657" width="9.54296875" style="485" customWidth="1"/>
    <col min="4658" max="4864" width="9" style="485"/>
    <col min="4865" max="4865" width="40.81640625" style="485" customWidth="1"/>
    <col min="4866" max="4912" width="9" style="485"/>
    <col min="4913" max="4913" width="9.54296875" style="485" customWidth="1"/>
    <col min="4914" max="5120" width="9" style="485"/>
    <col min="5121" max="5121" width="40.81640625" style="485" customWidth="1"/>
    <col min="5122" max="5168" width="9" style="485"/>
    <col min="5169" max="5169" width="9.54296875" style="485" customWidth="1"/>
    <col min="5170" max="5376" width="9" style="485"/>
    <col min="5377" max="5377" width="40.81640625" style="485" customWidth="1"/>
    <col min="5378" max="5424" width="9" style="485"/>
    <col min="5425" max="5425" width="9.54296875" style="485" customWidth="1"/>
    <col min="5426" max="5632" width="9" style="485"/>
    <col min="5633" max="5633" width="40.81640625" style="485" customWidth="1"/>
    <col min="5634" max="5680" width="9" style="485"/>
    <col min="5681" max="5681" width="9.54296875" style="485" customWidth="1"/>
    <col min="5682" max="5888" width="9" style="485"/>
    <col min="5889" max="5889" width="40.81640625" style="485" customWidth="1"/>
    <col min="5890" max="5936" width="9" style="485"/>
    <col min="5937" max="5937" width="9.54296875" style="485" customWidth="1"/>
    <col min="5938" max="6144" width="9" style="485"/>
    <col min="6145" max="6145" width="40.81640625" style="485" customWidth="1"/>
    <col min="6146" max="6192" width="9" style="485"/>
    <col min="6193" max="6193" width="9.54296875" style="485" customWidth="1"/>
    <col min="6194" max="6400" width="9" style="485"/>
    <col min="6401" max="6401" width="40.81640625" style="485" customWidth="1"/>
    <col min="6402" max="6448" width="9" style="485"/>
    <col min="6449" max="6449" width="9.54296875" style="485" customWidth="1"/>
    <col min="6450" max="6656" width="9" style="485"/>
    <col min="6657" max="6657" width="40.81640625" style="485" customWidth="1"/>
    <col min="6658" max="6704" width="9" style="485"/>
    <col min="6705" max="6705" width="9.54296875" style="485" customWidth="1"/>
    <col min="6706" max="6912" width="9" style="485"/>
    <col min="6913" max="6913" width="40.81640625" style="485" customWidth="1"/>
    <col min="6914" max="6960" width="9" style="485"/>
    <col min="6961" max="6961" width="9.54296875" style="485" customWidth="1"/>
    <col min="6962" max="7168" width="9" style="485"/>
    <col min="7169" max="7169" width="40.81640625" style="485" customWidth="1"/>
    <col min="7170" max="7216" width="9" style="485"/>
    <col min="7217" max="7217" width="9.54296875" style="485" customWidth="1"/>
    <col min="7218" max="7424" width="9" style="485"/>
    <col min="7425" max="7425" width="40.81640625" style="485" customWidth="1"/>
    <col min="7426" max="7472" width="9" style="485"/>
    <col min="7473" max="7473" width="9.54296875" style="485" customWidth="1"/>
    <col min="7474" max="7680" width="9" style="485"/>
    <col min="7681" max="7681" width="40.81640625" style="485" customWidth="1"/>
    <col min="7682" max="7728" width="9" style="485"/>
    <col min="7729" max="7729" width="9.54296875" style="485" customWidth="1"/>
    <col min="7730" max="7936" width="9" style="485"/>
    <col min="7937" max="7937" width="40.81640625" style="485" customWidth="1"/>
    <col min="7938" max="7984" width="9" style="485"/>
    <col min="7985" max="7985" width="9.54296875" style="485" customWidth="1"/>
    <col min="7986" max="8192" width="9" style="485"/>
    <col min="8193" max="8193" width="40.81640625" style="485" customWidth="1"/>
    <col min="8194" max="8240" width="9" style="485"/>
    <col min="8241" max="8241" width="9.54296875" style="485" customWidth="1"/>
    <col min="8242" max="8448" width="9" style="485"/>
    <col min="8449" max="8449" width="40.81640625" style="485" customWidth="1"/>
    <col min="8450" max="8496" width="9" style="485"/>
    <col min="8497" max="8497" width="9.54296875" style="485" customWidth="1"/>
    <col min="8498" max="8704" width="9" style="485"/>
    <col min="8705" max="8705" width="40.81640625" style="485" customWidth="1"/>
    <col min="8706" max="8752" width="9" style="485"/>
    <col min="8753" max="8753" width="9.54296875" style="485" customWidth="1"/>
    <col min="8754" max="8960" width="9" style="485"/>
    <col min="8961" max="8961" width="40.81640625" style="485" customWidth="1"/>
    <col min="8962" max="9008" width="9" style="485"/>
    <col min="9009" max="9009" width="9.54296875" style="485" customWidth="1"/>
    <col min="9010" max="9216" width="9" style="485"/>
    <col min="9217" max="9217" width="40.81640625" style="485" customWidth="1"/>
    <col min="9218" max="9264" width="9" style="485"/>
    <col min="9265" max="9265" width="9.54296875" style="485" customWidth="1"/>
    <col min="9266" max="9472" width="9" style="485"/>
    <col min="9473" max="9473" width="40.81640625" style="485" customWidth="1"/>
    <col min="9474" max="9520" width="9" style="485"/>
    <col min="9521" max="9521" width="9.54296875" style="485" customWidth="1"/>
    <col min="9522" max="9728" width="9" style="485"/>
    <col min="9729" max="9729" width="40.81640625" style="485" customWidth="1"/>
    <col min="9730" max="9776" width="9" style="485"/>
    <col min="9777" max="9777" width="9.54296875" style="485" customWidth="1"/>
    <col min="9778" max="9984" width="9" style="485"/>
    <col min="9985" max="9985" width="40.81640625" style="485" customWidth="1"/>
    <col min="9986" max="10032" width="9" style="485"/>
    <col min="10033" max="10033" width="9.54296875" style="485" customWidth="1"/>
    <col min="10034" max="10240" width="9" style="485"/>
    <col min="10241" max="10241" width="40.81640625" style="485" customWidth="1"/>
    <col min="10242" max="10288" width="9" style="485"/>
    <col min="10289" max="10289" width="9.54296875" style="485" customWidth="1"/>
    <col min="10290" max="10496" width="9" style="485"/>
    <col min="10497" max="10497" width="40.81640625" style="485" customWidth="1"/>
    <col min="10498" max="10544" width="9" style="485"/>
    <col min="10545" max="10545" width="9.54296875" style="485" customWidth="1"/>
    <col min="10546" max="10752" width="9" style="485"/>
    <col min="10753" max="10753" width="40.81640625" style="485" customWidth="1"/>
    <col min="10754" max="10800" width="9" style="485"/>
    <col min="10801" max="10801" width="9.54296875" style="485" customWidth="1"/>
    <col min="10802" max="11008" width="9" style="485"/>
    <col min="11009" max="11009" width="40.81640625" style="485" customWidth="1"/>
    <col min="11010" max="11056" width="9" style="485"/>
    <col min="11057" max="11057" width="9.54296875" style="485" customWidth="1"/>
    <col min="11058" max="11264" width="9" style="485"/>
    <col min="11265" max="11265" width="40.81640625" style="485" customWidth="1"/>
    <col min="11266" max="11312" width="9" style="485"/>
    <col min="11313" max="11313" width="9.54296875" style="485" customWidth="1"/>
    <col min="11314" max="11520" width="9" style="485"/>
    <col min="11521" max="11521" width="40.81640625" style="485" customWidth="1"/>
    <col min="11522" max="11568" width="9" style="485"/>
    <col min="11569" max="11569" width="9.54296875" style="485" customWidth="1"/>
    <col min="11570" max="11776" width="9" style="485"/>
    <col min="11777" max="11777" width="40.81640625" style="485" customWidth="1"/>
    <col min="11778" max="11824" width="9" style="485"/>
    <col min="11825" max="11825" width="9.54296875" style="485" customWidth="1"/>
    <col min="11826" max="12032" width="9" style="485"/>
    <col min="12033" max="12033" width="40.81640625" style="485" customWidth="1"/>
    <col min="12034" max="12080" width="9" style="485"/>
    <col min="12081" max="12081" width="9.54296875" style="485" customWidth="1"/>
    <col min="12082" max="12288" width="9" style="485"/>
    <col min="12289" max="12289" width="40.81640625" style="485" customWidth="1"/>
    <col min="12290" max="12336" width="9" style="485"/>
    <col min="12337" max="12337" width="9.54296875" style="485" customWidth="1"/>
    <col min="12338" max="12544" width="9" style="485"/>
    <col min="12545" max="12545" width="40.81640625" style="485" customWidth="1"/>
    <col min="12546" max="12592" width="9" style="485"/>
    <col min="12593" max="12593" width="9.54296875" style="485" customWidth="1"/>
    <col min="12594" max="12800" width="9" style="485"/>
    <col min="12801" max="12801" width="40.81640625" style="485" customWidth="1"/>
    <col min="12802" max="12848" width="9" style="485"/>
    <col min="12849" max="12849" width="9.54296875" style="485" customWidth="1"/>
    <col min="12850" max="13056" width="9" style="485"/>
    <col min="13057" max="13057" width="40.81640625" style="485" customWidth="1"/>
    <col min="13058" max="13104" width="9" style="485"/>
    <col min="13105" max="13105" width="9.54296875" style="485" customWidth="1"/>
    <col min="13106" max="13312" width="9" style="485"/>
    <col min="13313" max="13313" width="40.81640625" style="485" customWidth="1"/>
    <col min="13314" max="13360" width="9" style="485"/>
    <col min="13361" max="13361" width="9.54296875" style="485" customWidth="1"/>
    <col min="13362" max="13568" width="9" style="485"/>
    <col min="13569" max="13569" width="40.81640625" style="485" customWidth="1"/>
    <col min="13570" max="13616" width="9" style="485"/>
    <col min="13617" max="13617" width="9.54296875" style="485" customWidth="1"/>
    <col min="13618" max="13824" width="9" style="485"/>
    <col min="13825" max="13825" width="40.81640625" style="485" customWidth="1"/>
    <col min="13826" max="13872" width="9" style="485"/>
    <col min="13873" max="13873" width="9.54296875" style="485" customWidth="1"/>
    <col min="13874" max="14080" width="9" style="485"/>
    <col min="14081" max="14081" width="40.81640625" style="485" customWidth="1"/>
    <col min="14082" max="14128" width="9" style="485"/>
    <col min="14129" max="14129" width="9.54296875" style="485" customWidth="1"/>
    <col min="14130" max="14336" width="9" style="485"/>
    <col min="14337" max="14337" width="40.81640625" style="485" customWidth="1"/>
    <col min="14338" max="14384" width="9" style="485"/>
    <col min="14385" max="14385" width="9.54296875" style="485" customWidth="1"/>
    <col min="14386" max="14592" width="9" style="485"/>
    <col min="14593" max="14593" width="40.81640625" style="485" customWidth="1"/>
    <col min="14594" max="14640" width="9" style="485"/>
    <col min="14641" max="14641" width="9.54296875" style="485" customWidth="1"/>
    <col min="14642" max="14848" width="9" style="485"/>
    <col min="14849" max="14849" width="40.81640625" style="485" customWidth="1"/>
    <col min="14850" max="14896" width="9" style="485"/>
    <col min="14897" max="14897" width="9.54296875" style="485" customWidth="1"/>
    <col min="14898" max="15104" width="9" style="485"/>
    <col min="15105" max="15105" width="40.81640625" style="485" customWidth="1"/>
    <col min="15106" max="15152" width="9" style="485"/>
    <col min="15153" max="15153" width="9.54296875" style="485" customWidth="1"/>
    <col min="15154" max="15360" width="9" style="485"/>
    <col min="15361" max="15361" width="40.81640625" style="485" customWidth="1"/>
    <col min="15362" max="15408" width="9" style="485"/>
    <col min="15409" max="15409" width="9.54296875" style="485" customWidth="1"/>
    <col min="15410" max="15616" width="9" style="485"/>
    <col min="15617" max="15617" width="40.81640625" style="485" customWidth="1"/>
    <col min="15618" max="15664" width="9" style="485"/>
    <col min="15665" max="15665" width="9.54296875" style="485" customWidth="1"/>
    <col min="15666" max="15872" width="9" style="485"/>
    <col min="15873" max="15873" width="40.81640625" style="485" customWidth="1"/>
    <col min="15874" max="15920" width="9" style="485"/>
    <col min="15921" max="15921" width="9.54296875" style="485" customWidth="1"/>
    <col min="15922" max="16128" width="9" style="485"/>
    <col min="16129" max="16129" width="40.81640625" style="485" customWidth="1"/>
    <col min="16130" max="16176" width="9" style="485"/>
    <col min="16177" max="16177" width="9.54296875" style="485" customWidth="1"/>
    <col min="16178" max="16384" width="9" style="485"/>
  </cols>
  <sheetData>
    <row r="1" spans="1:50" ht="13">
      <c r="A1" s="322" t="s">
        <v>1019</v>
      </c>
    </row>
    <row r="2" spans="1:50" ht="13">
      <c r="A2" s="322" t="s">
        <v>1002</v>
      </c>
    </row>
    <row r="3" spans="1:50" ht="13">
      <c r="A3" s="323" t="s">
        <v>931</v>
      </c>
    </row>
    <row r="4" spans="1:50" ht="13.5" thickBot="1">
      <c r="A4" s="323"/>
    </row>
    <row r="5" spans="1:50" ht="13">
      <c r="A5" s="336"/>
      <c r="B5" s="543">
        <v>1947</v>
      </c>
      <c r="C5" s="543">
        <v>1948</v>
      </c>
      <c r="D5" s="543">
        <v>1949</v>
      </c>
      <c r="E5" s="543">
        <v>1950</v>
      </c>
      <c r="F5" s="543">
        <v>1951</v>
      </c>
      <c r="G5" s="543">
        <v>1952</v>
      </c>
      <c r="H5" s="543">
        <v>1953</v>
      </c>
      <c r="I5" s="543">
        <v>1954</v>
      </c>
      <c r="J5" s="543">
        <v>1955</v>
      </c>
      <c r="K5" s="543">
        <v>1956</v>
      </c>
      <c r="L5" s="543">
        <v>1957</v>
      </c>
      <c r="M5" s="543">
        <v>1958</v>
      </c>
      <c r="N5" s="543">
        <v>1959</v>
      </c>
      <c r="O5" s="543">
        <v>1960</v>
      </c>
      <c r="P5" s="543">
        <v>1961</v>
      </c>
      <c r="Q5" s="543">
        <v>1962</v>
      </c>
      <c r="R5" s="543">
        <v>1963</v>
      </c>
      <c r="S5" s="543">
        <v>1964</v>
      </c>
      <c r="T5" s="543">
        <v>1965</v>
      </c>
      <c r="U5" s="543">
        <v>1966</v>
      </c>
      <c r="V5" s="543">
        <v>1967</v>
      </c>
      <c r="W5" s="543">
        <v>1968</v>
      </c>
      <c r="X5" s="543">
        <v>1969</v>
      </c>
      <c r="Y5" s="543">
        <v>1970</v>
      </c>
      <c r="Z5" s="543">
        <v>1971</v>
      </c>
      <c r="AA5" s="543">
        <v>1972</v>
      </c>
      <c r="AB5" s="543">
        <v>1973</v>
      </c>
      <c r="AC5" s="543">
        <v>1974</v>
      </c>
      <c r="AD5" s="543">
        <v>1975</v>
      </c>
      <c r="AE5" s="543">
        <v>1976</v>
      </c>
      <c r="AF5" s="543">
        <v>1977</v>
      </c>
      <c r="AG5" s="543">
        <v>1978</v>
      </c>
      <c r="AH5" s="543">
        <v>1979</v>
      </c>
      <c r="AI5" s="543">
        <v>1980</v>
      </c>
      <c r="AJ5" s="543">
        <v>1981</v>
      </c>
      <c r="AK5" s="543">
        <v>1982</v>
      </c>
      <c r="AL5" s="543">
        <v>1983</v>
      </c>
      <c r="AM5" s="543">
        <v>1984</v>
      </c>
      <c r="AN5" s="543">
        <v>1985</v>
      </c>
      <c r="AO5" s="543">
        <v>1986</v>
      </c>
      <c r="AP5" s="543">
        <v>1987</v>
      </c>
      <c r="AQ5" s="543">
        <v>1988</v>
      </c>
      <c r="AR5" s="543">
        <v>1989</v>
      </c>
      <c r="AS5" s="543">
        <v>1990</v>
      </c>
      <c r="AT5" s="543">
        <v>1991</v>
      </c>
      <c r="AU5" s="543">
        <v>1992</v>
      </c>
      <c r="AV5" s="543">
        <v>1993</v>
      </c>
      <c r="AW5" s="543">
        <v>1994</v>
      </c>
      <c r="AX5" s="342">
        <v>1995</v>
      </c>
    </row>
    <row r="6" spans="1:50" ht="13.5" thickBot="1">
      <c r="A6" s="334"/>
      <c r="B6" s="545"/>
      <c r="C6" s="545"/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  <c r="AG6" s="545"/>
      <c r="AH6" s="545"/>
      <c r="AI6" s="545"/>
      <c r="AJ6" s="545"/>
      <c r="AK6" s="545"/>
      <c r="AL6" s="545"/>
      <c r="AM6" s="545"/>
      <c r="AN6" s="545"/>
      <c r="AO6" s="545"/>
      <c r="AP6" s="545"/>
      <c r="AQ6" s="545"/>
      <c r="AR6" s="545"/>
      <c r="AS6" s="545"/>
      <c r="AT6" s="545"/>
      <c r="AU6" s="545"/>
      <c r="AV6" s="545"/>
      <c r="AW6" s="545"/>
      <c r="AX6" s="501"/>
    </row>
    <row r="7" spans="1:50" ht="13">
      <c r="A7" s="327" t="s">
        <v>1020</v>
      </c>
      <c r="B7" s="548">
        <v>1703.4279969999998</v>
      </c>
      <c r="C7" s="548">
        <v>1717.4003299999999</v>
      </c>
      <c r="D7" s="548">
        <v>1787.2223359999998</v>
      </c>
      <c r="E7" s="548">
        <v>1913.33158</v>
      </c>
      <c r="F7" s="548">
        <v>2279.2573499999999</v>
      </c>
      <c r="G7" s="548">
        <v>2268.4917100000002</v>
      </c>
      <c r="H7" s="548">
        <v>2253.3024059999993</v>
      </c>
      <c r="I7" s="548">
        <v>2571.8031219999998</v>
      </c>
      <c r="J7" s="548">
        <v>2982.7964689999999</v>
      </c>
      <c r="K7" s="548">
        <v>3077.889983</v>
      </c>
      <c r="L7" s="548">
        <v>3081.2393790000001</v>
      </c>
      <c r="M7" s="548">
        <v>3347.3700629999998</v>
      </c>
      <c r="N7" s="548">
        <v>3178.2249029999998</v>
      </c>
      <c r="O7" s="548">
        <v>3096.7180000000003</v>
      </c>
      <c r="P7" s="548">
        <v>3338.9229999999998</v>
      </c>
      <c r="Q7" s="548">
        <v>3859.0509999999999</v>
      </c>
      <c r="R7" s="548">
        <v>4274.5959999999995</v>
      </c>
      <c r="S7" s="548">
        <v>5098.4970000000003</v>
      </c>
      <c r="T7" s="548">
        <v>6145.9609999999993</v>
      </c>
      <c r="U7" s="548">
        <v>6542.2840000000006</v>
      </c>
      <c r="V7" s="548">
        <v>7882.8739999999998</v>
      </c>
      <c r="W7" s="548">
        <v>9095.2309999999998</v>
      </c>
      <c r="X7" s="548">
        <v>9325.746000000001</v>
      </c>
      <c r="Y7" s="548">
        <v>10467.744000000001</v>
      </c>
      <c r="Z7" s="548">
        <v>11678.959000000001</v>
      </c>
      <c r="AA7" s="548">
        <v>13961.31</v>
      </c>
      <c r="AB7" s="548">
        <v>17878.093000000001</v>
      </c>
      <c r="AC7" s="548">
        <v>20934.681</v>
      </c>
      <c r="AD7" s="548">
        <v>19714.82</v>
      </c>
      <c r="AE7" s="548">
        <v>21341.21</v>
      </c>
      <c r="AF7" s="548">
        <v>30316.388999999999</v>
      </c>
      <c r="AG7" s="548">
        <v>44931.029000000002</v>
      </c>
      <c r="AH7" s="548">
        <v>71339.813000000009</v>
      </c>
      <c r="AI7" s="548">
        <v>91566.769</v>
      </c>
      <c r="AJ7" s="548">
        <v>102812.624</v>
      </c>
      <c r="AK7" s="548">
        <v>137732.89000000001</v>
      </c>
      <c r="AL7" s="548">
        <v>206317.35499999998</v>
      </c>
      <c r="AM7" s="548">
        <v>307926.37900000002</v>
      </c>
      <c r="AN7" s="548">
        <v>410906.86499999999</v>
      </c>
      <c r="AO7" s="548">
        <v>511289.03600000002</v>
      </c>
      <c r="AP7" s="548">
        <v>652369.72200000007</v>
      </c>
      <c r="AQ7" s="548">
        <v>767557.40500000003</v>
      </c>
      <c r="AR7" s="548">
        <v>947125.81599999999</v>
      </c>
      <c r="AS7" s="548">
        <v>1143704.2439999999</v>
      </c>
      <c r="AT7" s="548">
        <v>1197476.24</v>
      </c>
      <c r="AU7" s="548">
        <v>1280768.1569999999</v>
      </c>
      <c r="AV7" s="548">
        <v>1310217.1773817835</v>
      </c>
      <c r="AW7" s="548">
        <v>1480552.4221840184</v>
      </c>
      <c r="AX7" s="58">
        <v>1726701.7248927716</v>
      </c>
    </row>
    <row r="8" spans="1:50" ht="13">
      <c r="A8" s="327" t="s">
        <v>1021</v>
      </c>
      <c r="B8" s="548">
        <v>1656.4625529999998</v>
      </c>
      <c r="C8" s="548">
        <v>1682.144963</v>
      </c>
      <c r="D8" s="548">
        <v>1757.0834639999998</v>
      </c>
      <c r="E8" s="548">
        <v>1881.0520969999993</v>
      </c>
      <c r="F8" s="548">
        <v>2232.4339450000002</v>
      </c>
      <c r="G8" s="548">
        <v>2213.5472970000005</v>
      </c>
      <c r="H8" s="548">
        <v>2199.7472529999995</v>
      </c>
      <c r="I8" s="548">
        <v>2516.6199900000001</v>
      </c>
      <c r="J8" s="548">
        <v>2928.3986969999996</v>
      </c>
      <c r="K8" s="548">
        <v>3018.4437489999996</v>
      </c>
      <c r="L8" s="548">
        <v>3024.1288340000001</v>
      </c>
      <c r="M8" s="548">
        <v>3279.97064</v>
      </c>
      <c r="N8" s="548">
        <v>3103.8682049999998</v>
      </c>
      <c r="O8" s="548">
        <v>3028.8220000000001</v>
      </c>
      <c r="P8" s="548">
        <v>3280.1179999999999</v>
      </c>
      <c r="Q8" s="548">
        <v>3774.3330000000001</v>
      </c>
      <c r="R8" s="548">
        <v>4143.9190000000008</v>
      </c>
      <c r="S8" s="548">
        <v>4953.1349999999993</v>
      </c>
      <c r="T8" s="548">
        <v>5948.5789999999997</v>
      </c>
      <c r="U8" s="548">
        <v>6280.2839999999997</v>
      </c>
      <c r="V8" s="548">
        <v>7549.8739999999998</v>
      </c>
      <c r="W8" s="548">
        <v>8574.2309999999998</v>
      </c>
      <c r="X8" s="548">
        <v>8663.7459999999992</v>
      </c>
      <c r="Y8" s="548">
        <v>9605.7439999999988</v>
      </c>
      <c r="Z8" s="548">
        <v>10673.959000000001</v>
      </c>
      <c r="AA8" s="548">
        <v>12589.31</v>
      </c>
      <c r="AB8" s="548">
        <v>16070.093000000001</v>
      </c>
      <c r="AC8" s="548">
        <v>18902.681</v>
      </c>
      <c r="AD8" s="548">
        <v>17418.82</v>
      </c>
      <c r="AE8" s="548">
        <v>19331.742999999999</v>
      </c>
      <c r="AF8" s="548">
        <v>27335.038</v>
      </c>
      <c r="AG8" s="548">
        <v>40332.082000000002</v>
      </c>
      <c r="AH8" s="548">
        <v>65427.538999999997</v>
      </c>
      <c r="AI8" s="548">
        <v>82990.822</v>
      </c>
      <c r="AJ8" s="548">
        <v>91465.365000000005</v>
      </c>
      <c r="AK8" s="548">
        <v>121304.209</v>
      </c>
      <c r="AL8" s="548">
        <v>181986.89200000002</v>
      </c>
      <c r="AM8" s="548">
        <v>273854.65000000002</v>
      </c>
      <c r="AN8" s="548">
        <v>370594.37800000003</v>
      </c>
      <c r="AO8" s="548">
        <v>464236.13099999999</v>
      </c>
      <c r="AP8" s="548">
        <v>589861.60099999991</v>
      </c>
      <c r="AQ8" s="548">
        <v>696375.63800000004</v>
      </c>
      <c r="AR8" s="548">
        <v>851163.52099999995</v>
      </c>
      <c r="AS8" s="548">
        <v>1011892.415</v>
      </c>
      <c r="AT8" s="548">
        <v>1067746.6879999998</v>
      </c>
      <c r="AU8" s="548">
        <v>1113076.5220000001</v>
      </c>
      <c r="AV8" s="548">
        <v>1136850.5534519921</v>
      </c>
      <c r="AW8" s="548">
        <v>1295243.7493502994</v>
      </c>
      <c r="AX8" s="58">
        <v>1378094.0778788398</v>
      </c>
    </row>
    <row r="9" spans="1:50" ht="13">
      <c r="A9" s="327" t="s">
        <v>1022</v>
      </c>
      <c r="B9" s="548">
        <v>1254.1972539999997</v>
      </c>
      <c r="C9" s="548">
        <v>1321.07341</v>
      </c>
      <c r="D9" s="548">
        <v>1404.343048</v>
      </c>
      <c r="E9" s="548">
        <v>1495.7773589999995</v>
      </c>
      <c r="F9" s="548">
        <v>1723.2147120000002</v>
      </c>
      <c r="G9" s="548">
        <v>1741.6291119999999</v>
      </c>
      <c r="H9" s="548">
        <v>1754.3244679999996</v>
      </c>
      <c r="I9" s="548">
        <v>2018.4652500000002</v>
      </c>
      <c r="J9" s="548">
        <v>2316.0450429999996</v>
      </c>
      <c r="K9" s="548">
        <v>2350.885096</v>
      </c>
      <c r="L9" s="548">
        <v>2311.8091760000002</v>
      </c>
      <c r="M9" s="548">
        <v>2532.4624710000003</v>
      </c>
      <c r="N9" s="548">
        <v>2377.4258869999999</v>
      </c>
      <c r="O9" s="548">
        <v>2319.9630000000002</v>
      </c>
      <c r="P9" s="548">
        <v>2602.9479999999999</v>
      </c>
      <c r="Q9" s="548">
        <v>2905.3130000000001</v>
      </c>
      <c r="R9" s="548">
        <v>2922.18</v>
      </c>
      <c r="S9" s="548">
        <v>3271.6759999999999</v>
      </c>
      <c r="T9" s="548">
        <v>3979.886</v>
      </c>
      <c r="U9" s="548">
        <v>4125.9690000000001</v>
      </c>
      <c r="V9" s="548">
        <v>4697.1109999999999</v>
      </c>
      <c r="W9" s="548">
        <v>5066.0239999999994</v>
      </c>
      <c r="X9" s="548">
        <v>4911.1089999999995</v>
      </c>
      <c r="Y9" s="548">
        <v>5148.5609999999997</v>
      </c>
      <c r="Z9" s="548">
        <v>5307.0009999999993</v>
      </c>
      <c r="AA9" s="548">
        <v>6264.8119999999999</v>
      </c>
      <c r="AB9" s="548">
        <v>7708.8360000000002</v>
      </c>
      <c r="AC9" s="548">
        <v>8443.1360000000004</v>
      </c>
      <c r="AD9" s="548">
        <v>7588.3459999999995</v>
      </c>
      <c r="AE9" s="548">
        <v>8625.9219999999987</v>
      </c>
      <c r="AF9" s="548">
        <v>11550.245000000001</v>
      </c>
      <c r="AG9" s="548">
        <v>15135.06</v>
      </c>
      <c r="AH9" s="548">
        <v>21225.807000000001</v>
      </c>
      <c r="AI9" s="548">
        <v>25378.376</v>
      </c>
      <c r="AJ9" s="548">
        <v>26008.412</v>
      </c>
      <c r="AK9" s="548">
        <v>31216.107</v>
      </c>
      <c r="AL9" s="548">
        <v>45397.415000000001</v>
      </c>
      <c r="AM9" s="548">
        <v>60744.805</v>
      </c>
      <c r="AN9" s="548">
        <v>70027.523000000001</v>
      </c>
      <c r="AO9" s="548">
        <v>83208.226999999999</v>
      </c>
      <c r="AP9" s="548">
        <v>95287.638999999996</v>
      </c>
      <c r="AQ9" s="548">
        <v>114749.092</v>
      </c>
      <c r="AR9" s="548">
        <v>136353.68799999999</v>
      </c>
      <c r="AS9" s="548">
        <v>148575.38099999999</v>
      </c>
      <c r="AT9" s="548">
        <v>162234.35399999999</v>
      </c>
      <c r="AU9" s="548">
        <v>166916.07800000001</v>
      </c>
      <c r="AV9" s="548">
        <v>168407.03670029808</v>
      </c>
      <c r="AW9" s="548">
        <v>200934.32543479945</v>
      </c>
      <c r="AX9" s="58">
        <v>230280.18037308261</v>
      </c>
    </row>
    <row r="10" spans="1:50" ht="13">
      <c r="A10" s="327" t="s">
        <v>1023</v>
      </c>
      <c r="B10" s="548">
        <v>623.45717199999967</v>
      </c>
      <c r="C10" s="548">
        <v>799.01101400000016</v>
      </c>
      <c r="D10" s="548">
        <v>751.30549999999994</v>
      </c>
      <c r="E10" s="548">
        <v>904.4671089999996</v>
      </c>
      <c r="F10" s="548">
        <v>1029.666377</v>
      </c>
      <c r="G10" s="548">
        <v>1147.3221119999996</v>
      </c>
      <c r="H10" s="548">
        <v>1124.9344679999997</v>
      </c>
      <c r="I10" s="548">
        <v>1350.84725</v>
      </c>
      <c r="J10" s="548">
        <v>1610.0150429999994</v>
      </c>
      <c r="K10" s="548">
        <v>1591.8730959999998</v>
      </c>
      <c r="L10" s="548">
        <v>1516.3310880000001</v>
      </c>
      <c r="M10" s="548">
        <v>1551.2993409999999</v>
      </c>
      <c r="N10" s="548">
        <v>1619.6225509999995</v>
      </c>
      <c r="O10" s="548">
        <v>1570.028</v>
      </c>
      <c r="P10" s="548">
        <v>1803.2429999999999</v>
      </c>
      <c r="Q10" s="548">
        <v>2084.4029999999998</v>
      </c>
      <c r="R10" s="548">
        <v>1996.4869999999999</v>
      </c>
      <c r="S10" s="548">
        <v>2148.1129999999998</v>
      </c>
      <c r="T10" s="548">
        <v>2702.3739999999998</v>
      </c>
      <c r="U10" s="548">
        <v>2688.0810000000001</v>
      </c>
      <c r="V10" s="548">
        <v>3049.9550000000004</v>
      </c>
      <c r="W10" s="548">
        <v>3271.902</v>
      </c>
      <c r="X10" s="548">
        <v>3020.4719999999998</v>
      </c>
      <c r="Y10" s="548">
        <v>3117.0930000000003</v>
      </c>
      <c r="Z10" s="548">
        <v>3093.2730000000001</v>
      </c>
      <c r="AA10" s="548">
        <v>3712.424</v>
      </c>
      <c r="AB10" s="548">
        <v>4421.4669999999996</v>
      </c>
      <c r="AC10" s="548">
        <v>4509.0459999999994</v>
      </c>
      <c r="AD10" s="548">
        <v>4086.5030000000006</v>
      </c>
      <c r="AE10" s="548">
        <v>4955.9390000000003</v>
      </c>
      <c r="AF10" s="548">
        <v>6369.1790000000001</v>
      </c>
      <c r="AG10" s="548">
        <v>7878.5839999999998</v>
      </c>
      <c r="AH10" s="548">
        <v>10725.339</v>
      </c>
      <c r="AI10" s="548">
        <v>12909.359</v>
      </c>
      <c r="AJ10" s="548">
        <v>12856.16</v>
      </c>
      <c r="AK10" s="548">
        <v>15330.287999999999</v>
      </c>
      <c r="AL10" s="548">
        <v>25207.757999999998</v>
      </c>
      <c r="AM10" s="548">
        <v>34288.499000000003</v>
      </c>
      <c r="AN10" s="548">
        <v>37584.865999999995</v>
      </c>
      <c r="AO10" s="548">
        <v>44312.665999999997</v>
      </c>
      <c r="AP10" s="548">
        <v>49110.061000000002</v>
      </c>
      <c r="AQ10" s="548">
        <v>60268.688999999998</v>
      </c>
      <c r="AR10" s="548">
        <v>75632.275000000009</v>
      </c>
      <c r="AS10" s="548">
        <v>82456.818999999989</v>
      </c>
      <c r="AT10" s="548">
        <v>94314.543999999994</v>
      </c>
      <c r="AU10" s="548">
        <v>89709.203999999998</v>
      </c>
      <c r="AV10" s="548">
        <v>91132.911700298064</v>
      </c>
      <c r="AW10" s="548">
        <v>116370.64843479946</v>
      </c>
      <c r="AX10" s="58">
        <v>143117.51437308261</v>
      </c>
    </row>
    <row r="11" spans="1:50" ht="13">
      <c r="A11" s="327" t="s">
        <v>1024</v>
      </c>
      <c r="B11" s="548">
        <v>630.46908200000007</v>
      </c>
      <c r="C11" s="548">
        <v>521.78439600000002</v>
      </c>
      <c r="D11" s="548">
        <v>652.677548</v>
      </c>
      <c r="E11" s="548">
        <v>590.70655599999998</v>
      </c>
      <c r="F11" s="548">
        <v>692.85233500000004</v>
      </c>
      <c r="G11" s="548">
        <v>592.58900000000006</v>
      </c>
      <c r="H11" s="548">
        <v>627.47</v>
      </c>
      <c r="I11" s="548">
        <v>665.44099999999992</v>
      </c>
      <c r="J11" s="548">
        <v>703.79300000000001</v>
      </c>
      <c r="K11" s="548">
        <v>755.43299999999999</v>
      </c>
      <c r="L11" s="548">
        <v>791.24008800000001</v>
      </c>
      <c r="M11" s="548">
        <v>979.16413</v>
      </c>
      <c r="N11" s="548">
        <v>755.12310500000001</v>
      </c>
      <c r="O11" s="548">
        <v>747.05700000000002</v>
      </c>
      <c r="P11" s="548">
        <v>796.01400000000001</v>
      </c>
      <c r="Q11" s="548">
        <v>817.08199999999999</v>
      </c>
      <c r="R11" s="548">
        <v>921.94600000000003</v>
      </c>
      <c r="S11" s="548">
        <v>1117.9479999999999</v>
      </c>
      <c r="T11" s="548">
        <v>1269.0520000000001</v>
      </c>
      <c r="U11" s="548">
        <v>1429.9189999999999</v>
      </c>
      <c r="V11" s="548">
        <v>1637.0450000000001</v>
      </c>
      <c r="W11" s="548">
        <v>1782.098</v>
      </c>
      <c r="X11" s="548">
        <v>1877.528</v>
      </c>
      <c r="Y11" s="548">
        <v>2017.9070000000002</v>
      </c>
      <c r="Z11" s="548">
        <v>2195.7270000000003</v>
      </c>
      <c r="AA11" s="548">
        <v>2531.576</v>
      </c>
      <c r="AB11" s="548">
        <v>3263.5329999999999</v>
      </c>
      <c r="AC11" s="548">
        <v>3914.9539999999997</v>
      </c>
      <c r="AD11" s="548">
        <v>3478.4969999999998</v>
      </c>
      <c r="AE11" s="548">
        <v>3641.4690000000001</v>
      </c>
      <c r="AF11" s="548">
        <v>5158.2370000000001</v>
      </c>
      <c r="AG11" s="548">
        <v>7206.3249999999998</v>
      </c>
      <c r="AH11" s="548">
        <v>10432.177</v>
      </c>
      <c r="AI11" s="548">
        <v>12372.750999999998</v>
      </c>
      <c r="AJ11" s="548">
        <v>13037.94</v>
      </c>
      <c r="AK11" s="548">
        <v>15746.548999999999</v>
      </c>
      <c r="AL11" s="548">
        <v>20043.386999999999</v>
      </c>
      <c r="AM11" s="548">
        <v>26262.05</v>
      </c>
      <c r="AN11" s="548">
        <v>32245.415000000001</v>
      </c>
      <c r="AO11" s="548">
        <v>38701.449999999997</v>
      </c>
      <c r="AP11" s="548">
        <v>45987.566999999995</v>
      </c>
      <c r="AQ11" s="548">
        <v>54232.000999999997</v>
      </c>
      <c r="AR11" s="548">
        <v>60433.978000000003</v>
      </c>
      <c r="AS11" s="548">
        <v>65819.997000000003</v>
      </c>
      <c r="AT11" s="548">
        <v>67600.278000000006</v>
      </c>
      <c r="AU11" s="548">
        <v>76835.502000000008</v>
      </c>
      <c r="AV11" s="548">
        <v>76739.031999999992</v>
      </c>
      <c r="AW11" s="548">
        <v>83996.535999999993</v>
      </c>
      <c r="AX11" s="58">
        <v>86179.101999999999</v>
      </c>
    </row>
    <row r="12" spans="1:50" ht="13">
      <c r="A12" s="327" t="s">
        <v>1025</v>
      </c>
      <c r="B12" s="548">
        <v>0.27099999999999996</v>
      </c>
      <c r="C12" s="548">
        <v>0.27799999999999997</v>
      </c>
      <c r="D12" s="548">
        <v>0.36</v>
      </c>
      <c r="E12" s="548">
        <v>0.60369399999999995</v>
      </c>
      <c r="F12" s="548">
        <v>0.69599999999999995</v>
      </c>
      <c r="G12" s="548">
        <v>1.718</v>
      </c>
      <c r="H12" s="548">
        <v>1.92</v>
      </c>
      <c r="I12" s="548">
        <v>2.177</v>
      </c>
      <c r="J12" s="548">
        <v>2.2369999999999997</v>
      </c>
      <c r="K12" s="548">
        <v>3.5790000000000002</v>
      </c>
      <c r="L12" s="548">
        <v>4.2379999999999995</v>
      </c>
      <c r="M12" s="548">
        <v>1.9989999999999999</v>
      </c>
      <c r="N12" s="548">
        <v>2.6802310000000005</v>
      </c>
      <c r="O12" s="548">
        <v>2.8780000000000001</v>
      </c>
      <c r="P12" s="548">
        <v>3.6909999999999998</v>
      </c>
      <c r="Q12" s="548">
        <v>3.8279999999999998</v>
      </c>
      <c r="R12" s="548">
        <v>3.7469999999999999</v>
      </c>
      <c r="S12" s="548">
        <v>5.6150000000000002</v>
      </c>
      <c r="T12" s="548">
        <v>8.4600000000000009</v>
      </c>
      <c r="U12" s="548">
        <v>7.9690000000000003</v>
      </c>
      <c r="V12" s="548">
        <v>10.111000000000001</v>
      </c>
      <c r="W12" s="548">
        <v>12.023999999999999</v>
      </c>
      <c r="X12" s="548">
        <v>13.109</v>
      </c>
      <c r="Y12" s="548">
        <v>13.561</v>
      </c>
      <c r="Z12" s="548">
        <v>18.001000000000001</v>
      </c>
      <c r="AA12" s="548">
        <v>20.812000000000001</v>
      </c>
      <c r="AB12" s="548">
        <v>23.835999999999999</v>
      </c>
      <c r="AC12" s="548">
        <v>19.135999999999999</v>
      </c>
      <c r="AD12" s="548">
        <v>23.346</v>
      </c>
      <c r="AE12" s="548">
        <v>28.514000000000003</v>
      </c>
      <c r="AF12" s="548">
        <v>22.828999999999997</v>
      </c>
      <c r="AG12" s="548">
        <v>50.151000000000003</v>
      </c>
      <c r="AH12" s="548">
        <v>68.291000000000011</v>
      </c>
      <c r="AI12" s="548">
        <v>96.266000000000005</v>
      </c>
      <c r="AJ12" s="548">
        <v>114.312</v>
      </c>
      <c r="AK12" s="548">
        <v>139.27000000000001</v>
      </c>
      <c r="AL12" s="548">
        <v>146.27000000000001</v>
      </c>
      <c r="AM12" s="548">
        <v>194.256</v>
      </c>
      <c r="AN12" s="548">
        <v>197.24199999999999</v>
      </c>
      <c r="AO12" s="548">
        <v>194.11100000000002</v>
      </c>
      <c r="AP12" s="548">
        <v>190.01100000000002</v>
      </c>
      <c r="AQ12" s="548">
        <v>248.40200000000002</v>
      </c>
      <c r="AR12" s="548">
        <v>287.435</v>
      </c>
      <c r="AS12" s="548">
        <v>298.565</v>
      </c>
      <c r="AT12" s="548">
        <v>319.53199999999998</v>
      </c>
      <c r="AU12" s="548">
        <v>371.37199999999996</v>
      </c>
      <c r="AV12" s="548">
        <v>535.09300000000007</v>
      </c>
      <c r="AW12" s="548">
        <v>567.14099999999996</v>
      </c>
      <c r="AX12" s="58">
        <v>983.56399999999996</v>
      </c>
    </row>
    <row r="13" spans="1:50" ht="13">
      <c r="A13" s="327" t="s">
        <v>1026</v>
      </c>
      <c r="B13" s="548">
        <v>83.005921000000001</v>
      </c>
      <c r="C13" s="548">
        <v>78.321050999999997</v>
      </c>
      <c r="D13" s="548">
        <v>90.608975999999998</v>
      </c>
      <c r="E13" s="548">
        <v>93.342524000000012</v>
      </c>
      <c r="F13" s="548">
        <v>117.331436</v>
      </c>
      <c r="G13" s="548">
        <v>114.245634</v>
      </c>
      <c r="H13" s="548">
        <v>105.66107099999999</v>
      </c>
      <c r="I13" s="548">
        <v>120.09590899999999</v>
      </c>
      <c r="J13" s="548">
        <v>167.26908899999998</v>
      </c>
      <c r="K13" s="548">
        <v>167.91878200000002</v>
      </c>
      <c r="L13" s="548">
        <v>190.04835199999999</v>
      </c>
      <c r="M13" s="548">
        <v>183.72811899999999</v>
      </c>
      <c r="N13" s="548">
        <v>171.36261099999996</v>
      </c>
      <c r="O13" s="548">
        <v>214.11199999999999</v>
      </c>
      <c r="P13" s="548">
        <v>213.85</v>
      </c>
      <c r="Q13" s="548">
        <v>286.64499999999998</v>
      </c>
      <c r="R13" s="548">
        <v>518.43700000000001</v>
      </c>
      <c r="S13" s="548">
        <v>783.79899999999998</v>
      </c>
      <c r="T13" s="548">
        <v>918.41499999999996</v>
      </c>
      <c r="U13" s="548">
        <v>1045.9169999999999</v>
      </c>
      <c r="V13" s="548">
        <v>1493.0419999999999</v>
      </c>
      <c r="W13" s="548">
        <v>1927.7860000000001</v>
      </c>
      <c r="X13" s="548">
        <v>2143.9490000000001</v>
      </c>
      <c r="Y13" s="548">
        <v>2613.1550000000002</v>
      </c>
      <c r="Z13" s="548">
        <v>3289.4630000000002</v>
      </c>
      <c r="AA13" s="548">
        <v>3967.0480000000002</v>
      </c>
      <c r="AB13" s="548">
        <v>5281.3739999999998</v>
      </c>
      <c r="AC13" s="548">
        <v>6793.0789999999997</v>
      </c>
      <c r="AD13" s="548">
        <v>6215.848</v>
      </c>
      <c r="AE13" s="548">
        <v>7079.7330000000002</v>
      </c>
      <c r="AF13" s="548">
        <v>10397.743999999999</v>
      </c>
      <c r="AG13" s="548">
        <v>16187.924999999999</v>
      </c>
      <c r="AH13" s="548">
        <v>29318.609</v>
      </c>
      <c r="AI13" s="548">
        <v>39086.800000000003</v>
      </c>
      <c r="AJ13" s="548">
        <v>43426.733</v>
      </c>
      <c r="AK13" s="548">
        <v>61661.57</v>
      </c>
      <c r="AL13" s="548">
        <v>95445.643000000011</v>
      </c>
      <c r="AM13" s="548">
        <v>155433.83800000002</v>
      </c>
      <c r="AN13" s="548">
        <v>227906.25399999999</v>
      </c>
      <c r="AO13" s="548">
        <v>299964.27399999998</v>
      </c>
      <c r="AP13" s="548">
        <v>396472.66399999999</v>
      </c>
      <c r="AQ13" s="548">
        <v>453337.71299999999</v>
      </c>
      <c r="AR13" s="548">
        <v>559896.098</v>
      </c>
      <c r="AS13" s="548">
        <v>679141.08199999994</v>
      </c>
      <c r="AT13" s="548">
        <v>712571.50600000005</v>
      </c>
      <c r="AU13" s="548">
        <v>749605.63199999998</v>
      </c>
      <c r="AV13" s="548">
        <v>738762.63100000005</v>
      </c>
      <c r="AW13" s="548">
        <v>823164.20499999996</v>
      </c>
      <c r="AX13" s="58">
        <v>843829.61699999997</v>
      </c>
    </row>
    <row r="14" spans="1:50" ht="13">
      <c r="A14" s="327" t="s">
        <v>1027</v>
      </c>
      <c r="B14" s="548">
        <v>68.867016000000007</v>
      </c>
      <c r="C14" s="548">
        <v>59.591444000000003</v>
      </c>
      <c r="D14" s="548">
        <v>65.519670000000005</v>
      </c>
      <c r="E14" s="548">
        <v>57.646830999999999</v>
      </c>
      <c r="F14" s="548">
        <v>74.384224000000003</v>
      </c>
      <c r="G14" s="548">
        <v>68.049569000000005</v>
      </c>
      <c r="H14" s="548">
        <v>59.456179999999996</v>
      </c>
      <c r="I14" s="548">
        <v>68.768198999999981</v>
      </c>
      <c r="J14" s="548">
        <v>112.87336799999999</v>
      </c>
      <c r="K14" s="548">
        <v>101.27811100000001</v>
      </c>
      <c r="L14" s="548">
        <v>124.98272200000001</v>
      </c>
      <c r="M14" s="548">
        <v>118.200051</v>
      </c>
      <c r="N14" s="548">
        <v>103.23699299999997</v>
      </c>
      <c r="O14" s="548">
        <v>144.71</v>
      </c>
      <c r="P14" s="548">
        <v>157.41499999999999</v>
      </c>
      <c r="Q14" s="548">
        <v>216.351</v>
      </c>
      <c r="R14" s="548">
        <v>435.00299999999999</v>
      </c>
      <c r="S14" s="548">
        <v>663.05499999999995</v>
      </c>
      <c r="T14" s="548">
        <v>789.48399999999992</v>
      </c>
      <c r="U14" s="548">
        <v>902.79</v>
      </c>
      <c r="V14" s="548">
        <v>1297.4110000000001</v>
      </c>
      <c r="W14" s="548">
        <v>1640.56</v>
      </c>
      <c r="X14" s="548">
        <v>1844.5260000000001</v>
      </c>
      <c r="Y14" s="548">
        <v>2238.511</v>
      </c>
      <c r="Z14" s="548">
        <v>2852.6280000000002</v>
      </c>
      <c r="AA14" s="548">
        <v>3484.6210000000001</v>
      </c>
      <c r="AB14" s="548">
        <v>4700.491</v>
      </c>
      <c r="AC14" s="548">
        <v>6051.51</v>
      </c>
      <c r="AD14" s="548">
        <v>5349.5739999999996</v>
      </c>
      <c r="AE14" s="548">
        <v>5903.8990000000003</v>
      </c>
      <c r="AF14" s="548">
        <v>8349.8700000000008</v>
      </c>
      <c r="AG14" s="548">
        <v>13123.189</v>
      </c>
      <c r="AH14" s="548">
        <v>23147.735999999997</v>
      </c>
      <c r="AI14" s="548">
        <v>31039.868999999999</v>
      </c>
      <c r="AJ14" s="548">
        <v>34270.038999999997</v>
      </c>
      <c r="AK14" s="548">
        <v>49833.817000000003</v>
      </c>
      <c r="AL14" s="548">
        <v>74931.353999999992</v>
      </c>
      <c r="AM14" s="548">
        <v>118998.83199999999</v>
      </c>
      <c r="AN14" s="548">
        <v>172461.91099999999</v>
      </c>
      <c r="AO14" s="548">
        <v>218486.274</v>
      </c>
      <c r="AP14" s="548">
        <v>289826.23800000001</v>
      </c>
      <c r="AQ14" s="548">
        <v>326959.87</v>
      </c>
      <c r="AR14" s="548">
        <v>404359.39</v>
      </c>
      <c r="AS14" s="548">
        <v>493104.21</v>
      </c>
      <c r="AT14" s="548">
        <v>515005.74200000003</v>
      </c>
      <c r="AU14" s="548">
        <v>534433.76899999997</v>
      </c>
      <c r="AV14" s="548">
        <v>500990.63099999999</v>
      </c>
      <c r="AW14" s="548">
        <v>541373.20499999996</v>
      </c>
      <c r="AX14" s="58">
        <v>567110.61699999997</v>
      </c>
    </row>
    <row r="15" spans="1:50" ht="13">
      <c r="A15" s="327" t="s">
        <v>1028</v>
      </c>
      <c r="B15" s="548">
        <v>14.138904999999999</v>
      </c>
      <c r="C15" s="548">
        <v>18.729606999999998</v>
      </c>
      <c r="D15" s="548">
        <v>25.089306000000001</v>
      </c>
      <c r="E15" s="548">
        <v>35.695692999999999</v>
      </c>
      <c r="F15" s="548">
        <v>42.947212</v>
      </c>
      <c r="G15" s="548">
        <v>46.196065000000004</v>
      </c>
      <c r="H15" s="548">
        <v>46.204891000000003</v>
      </c>
      <c r="I15" s="548">
        <v>51.327709999999996</v>
      </c>
      <c r="J15" s="548">
        <v>54.395721000000002</v>
      </c>
      <c r="K15" s="548">
        <v>66.640670999999998</v>
      </c>
      <c r="L15" s="548">
        <v>65.065629999999999</v>
      </c>
      <c r="M15" s="548">
        <v>65.52806799999999</v>
      </c>
      <c r="N15" s="548">
        <v>68.125618000000003</v>
      </c>
      <c r="O15" s="548">
        <v>69.402000000000001</v>
      </c>
      <c r="P15" s="548">
        <v>56.435000000000002</v>
      </c>
      <c r="Q15" s="548">
        <v>70.293999999999997</v>
      </c>
      <c r="R15" s="548">
        <v>83.433999999999997</v>
      </c>
      <c r="S15" s="548">
        <v>120.744</v>
      </c>
      <c r="T15" s="548">
        <v>128.93099999999998</v>
      </c>
      <c r="U15" s="548">
        <v>143.12700000000001</v>
      </c>
      <c r="V15" s="548">
        <v>195.631</v>
      </c>
      <c r="W15" s="548">
        <v>287.226</v>
      </c>
      <c r="X15" s="548">
        <v>299.423</v>
      </c>
      <c r="Y15" s="548">
        <v>374.64400000000001</v>
      </c>
      <c r="Z15" s="548">
        <v>436.83499999999998</v>
      </c>
      <c r="AA15" s="548">
        <v>482.42700000000002</v>
      </c>
      <c r="AB15" s="548">
        <v>580.88300000000004</v>
      </c>
      <c r="AC15" s="548">
        <v>741.56900000000007</v>
      </c>
      <c r="AD15" s="548">
        <v>866.274</v>
      </c>
      <c r="AE15" s="548">
        <v>1175.8340000000001</v>
      </c>
      <c r="AF15" s="548">
        <v>2047.8740000000003</v>
      </c>
      <c r="AG15" s="548">
        <v>3064.7359999999999</v>
      </c>
      <c r="AH15" s="548">
        <v>6170.8730000000005</v>
      </c>
      <c r="AI15" s="548">
        <v>8046.9310000000005</v>
      </c>
      <c r="AJ15" s="548">
        <v>9156.6939999999995</v>
      </c>
      <c r="AK15" s="548">
        <v>11827.752999999999</v>
      </c>
      <c r="AL15" s="548">
        <v>20514.289000000001</v>
      </c>
      <c r="AM15" s="548">
        <v>36435.006000000001</v>
      </c>
      <c r="AN15" s="548">
        <v>55444.343000000001</v>
      </c>
      <c r="AO15" s="548">
        <v>81478</v>
      </c>
      <c r="AP15" s="548">
        <v>106646.42600000001</v>
      </c>
      <c r="AQ15" s="548">
        <v>126377.84299999999</v>
      </c>
      <c r="AR15" s="548">
        <v>155536.70800000001</v>
      </c>
      <c r="AS15" s="548">
        <v>186036.87199999997</v>
      </c>
      <c r="AT15" s="548">
        <v>197565.764</v>
      </c>
      <c r="AU15" s="548">
        <v>215171.86300000001</v>
      </c>
      <c r="AV15" s="548">
        <v>237772</v>
      </c>
      <c r="AW15" s="548">
        <v>281791</v>
      </c>
      <c r="AX15" s="58">
        <v>276719</v>
      </c>
    </row>
    <row r="16" spans="1:50" ht="13">
      <c r="A16" s="327" t="s">
        <v>1029</v>
      </c>
      <c r="B16" s="548">
        <v>319.25937800000003</v>
      </c>
      <c r="C16" s="548">
        <v>282.75050199999987</v>
      </c>
      <c r="D16" s="548">
        <v>262.13144</v>
      </c>
      <c r="E16" s="548">
        <v>291.93221399999993</v>
      </c>
      <c r="F16" s="548">
        <v>391.88779700000003</v>
      </c>
      <c r="G16" s="548">
        <v>357.67255100000023</v>
      </c>
      <c r="H16" s="548">
        <v>339.76171399999993</v>
      </c>
      <c r="I16" s="548">
        <v>378.05883099999977</v>
      </c>
      <c r="J16" s="548">
        <v>445.08456499999994</v>
      </c>
      <c r="K16" s="548">
        <v>499.6398709999998</v>
      </c>
      <c r="L16" s="548">
        <v>522.27130599999987</v>
      </c>
      <c r="M16" s="548">
        <v>563.78005000000007</v>
      </c>
      <c r="N16" s="548">
        <v>555.07970700000044</v>
      </c>
      <c r="O16" s="548">
        <v>494.74700000000001</v>
      </c>
      <c r="P16" s="548">
        <v>463.32</v>
      </c>
      <c r="Q16" s="548">
        <v>582.375</v>
      </c>
      <c r="R16" s="548">
        <v>703.30200000000002</v>
      </c>
      <c r="S16" s="548">
        <v>897.66</v>
      </c>
      <c r="T16" s="548">
        <v>1050.278</v>
      </c>
      <c r="U16" s="548">
        <v>1108.3979999999999</v>
      </c>
      <c r="V16" s="548">
        <v>1359.721</v>
      </c>
      <c r="W16" s="548">
        <v>1580.421</v>
      </c>
      <c r="X16" s="548">
        <v>1608.6879999999999</v>
      </c>
      <c r="Y16" s="548">
        <v>1844.028</v>
      </c>
      <c r="Z16" s="548">
        <v>2077.4949999999999</v>
      </c>
      <c r="AA16" s="548">
        <v>2357.4499999999998</v>
      </c>
      <c r="AB16" s="548">
        <v>3079.8830000000003</v>
      </c>
      <c r="AC16" s="548">
        <v>3666.4659999999999</v>
      </c>
      <c r="AD16" s="548">
        <v>3614.6259999999997</v>
      </c>
      <c r="AE16" s="548">
        <v>3626.0880000000002</v>
      </c>
      <c r="AF16" s="548">
        <v>5387.049</v>
      </c>
      <c r="AG16" s="548">
        <v>9009.0969999999998</v>
      </c>
      <c r="AH16" s="548">
        <v>14883.123</v>
      </c>
      <c r="AI16" s="548">
        <v>18525.645999999997</v>
      </c>
      <c r="AJ16" s="548">
        <v>22030.22</v>
      </c>
      <c r="AK16" s="548">
        <v>28426.532000000003</v>
      </c>
      <c r="AL16" s="548">
        <v>41143.833999999995</v>
      </c>
      <c r="AM16" s="548">
        <v>57676.006999999998</v>
      </c>
      <c r="AN16" s="548">
        <v>72660.600999999995</v>
      </c>
      <c r="AO16" s="548">
        <v>81063.63</v>
      </c>
      <c r="AP16" s="548">
        <v>98101.297999999995</v>
      </c>
      <c r="AQ16" s="548">
        <v>128288.83300000001</v>
      </c>
      <c r="AR16" s="548">
        <v>154913.73500000002</v>
      </c>
      <c r="AS16" s="548">
        <v>184175.95199999999</v>
      </c>
      <c r="AT16" s="548">
        <v>192940.82800000001</v>
      </c>
      <c r="AU16" s="548">
        <v>196554.81200000001</v>
      </c>
      <c r="AV16" s="548">
        <v>229680.885751694</v>
      </c>
      <c r="AW16" s="548">
        <v>271145.21891549998</v>
      </c>
      <c r="AX16" s="58">
        <v>303984.28050575708</v>
      </c>
    </row>
    <row r="17" spans="1:50" ht="13">
      <c r="A17" s="327" t="s">
        <v>1030</v>
      </c>
      <c r="B17" s="548">
        <v>46.965443999999998</v>
      </c>
      <c r="C17" s="548">
        <v>35.255366999999993</v>
      </c>
      <c r="D17" s="548">
        <v>30.138872000000003</v>
      </c>
      <c r="E17" s="548">
        <v>32.279482999999999</v>
      </c>
      <c r="F17" s="548">
        <v>46.823405000000001</v>
      </c>
      <c r="G17" s="548">
        <v>54.944412999999997</v>
      </c>
      <c r="H17" s="548">
        <v>53.555153000000004</v>
      </c>
      <c r="I17" s="548">
        <v>55.183131999999993</v>
      </c>
      <c r="J17" s="548">
        <v>54.397771999999996</v>
      </c>
      <c r="K17" s="548">
        <v>59.446233999999997</v>
      </c>
      <c r="L17" s="548">
        <v>57.110545000000002</v>
      </c>
      <c r="M17" s="548">
        <v>67.399423000000013</v>
      </c>
      <c r="N17" s="548">
        <v>74.356697999999994</v>
      </c>
      <c r="O17" s="548">
        <v>67.896000000000001</v>
      </c>
      <c r="P17" s="548">
        <v>58.805</v>
      </c>
      <c r="Q17" s="548">
        <v>84.718000000000004</v>
      </c>
      <c r="R17" s="548">
        <v>130.67699999999999</v>
      </c>
      <c r="S17" s="548">
        <v>145.36199999999999</v>
      </c>
      <c r="T17" s="548">
        <v>197.38200000000001</v>
      </c>
      <c r="U17" s="548">
        <v>262</v>
      </c>
      <c r="V17" s="548">
        <v>333</v>
      </c>
      <c r="W17" s="548">
        <v>521</v>
      </c>
      <c r="X17" s="548">
        <v>662</v>
      </c>
      <c r="Y17" s="548">
        <v>862</v>
      </c>
      <c r="Z17" s="548">
        <v>1005</v>
      </c>
      <c r="AA17" s="548">
        <v>1372</v>
      </c>
      <c r="AB17" s="548">
        <v>1808</v>
      </c>
      <c r="AC17" s="548">
        <v>2032</v>
      </c>
      <c r="AD17" s="548">
        <v>2296</v>
      </c>
      <c r="AE17" s="548">
        <v>2009.4669999999999</v>
      </c>
      <c r="AF17" s="548">
        <v>2981.3510000000001</v>
      </c>
      <c r="AG17" s="548">
        <v>4598.9470000000001</v>
      </c>
      <c r="AH17" s="548">
        <v>5912.2740000000003</v>
      </c>
      <c r="AI17" s="548">
        <v>8575.9470000000001</v>
      </c>
      <c r="AJ17" s="548">
        <v>11347.259</v>
      </c>
      <c r="AK17" s="548">
        <v>16428.681</v>
      </c>
      <c r="AL17" s="548">
        <v>24330.463000000003</v>
      </c>
      <c r="AM17" s="548">
        <v>34071.728999999999</v>
      </c>
      <c r="AN17" s="548">
        <v>40312.486999999994</v>
      </c>
      <c r="AO17" s="548">
        <v>47052.905000000006</v>
      </c>
      <c r="AP17" s="548">
        <v>62508.120999999999</v>
      </c>
      <c r="AQ17" s="548">
        <v>71181.766999999993</v>
      </c>
      <c r="AR17" s="548">
        <v>95962.294999999998</v>
      </c>
      <c r="AS17" s="548">
        <v>131811.829</v>
      </c>
      <c r="AT17" s="548">
        <v>129729.55200000001</v>
      </c>
      <c r="AU17" s="548">
        <v>167691.63499999998</v>
      </c>
      <c r="AV17" s="548">
        <v>173366.62392979141</v>
      </c>
      <c r="AW17" s="548">
        <v>185308.67283371894</v>
      </c>
      <c r="AX17" s="58">
        <v>348607.64701393177</v>
      </c>
    </row>
    <row r="18" spans="1:50" ht="13">
      <c r="A18" s="327" t="s">
        <v>1031</v>
      </c>
      <c r="B18" s="548">
        <v>3.1670000000000003</v>
      </c>
      <c r="C18" s="548">
        <v>8.0789999999999988</v>
      </c>
      <c r="D18" s="548">
        <v>2.2360000000000002</v>
      </c>
      <c r="E18" s="548">
        <v>2.7837040000000002</v>
      </c>
      <c r="F18" s="548">
        <v>2.9169999999999998</v>
      </c>
      <c r="G18" s="548">
        <v>3.9579999999999997</v>
      </c>
      <c r="H18" s="548">
        <v>4.8339999999999996</v>
      </c>
      <c r="I18" s="548">
        <v>4.867</v>
      </c>
      <c r="J18" s="548">
        <v>2.8489999999999998</v>
      </c>
      <c r="K18" s="548">
        <v>4.7320000000000002</v>
      </c>
      <c r="L18" s="548">
        <v>6.0169999999999995</v>
      </c>
      <c r="M18" s="548">
        <v>3.7850000000000001</v>
      </c>
      <c r="N18" s="548">
        <v>6.50631</v>
      </c>
      <c r="O18" s="548">
        <v>2.5529999999999999</v>
      </c>
      <c r="P18" s="548">
        <v>1.6830000000000001</v>
      </c>
      <c r="Q18" s="548">
        <v>0.64800000000000002</v>
      </c>
      <c r="R18" s="548">
        <v>0.39300000000000002</v>
      </c>
      <c r="S18" s="548">
        <v>0.65100000000000002</v>
      </c>
      <c r="T18" s="548">
        <v>0.55900000000000005</v>
      </c>
      <c r="U18" s="548">
        <v>1.284</v>
      </c>
      <c r="V18" s="548">
        <v>2.8739999999999997</v>
      </c>
      <c r="W18" s="548">
        <v>1.2310000000000001</v>
      </c>
      <c r="X18" s="548">
        <v>0.746</v>
      </c>
      <c r="Y18" s="548">
        <v>1.7440000000000002</v>
      </c>
      <c r="Z18" s="548">
        <v>1.9589999999999999</v>
      </c>
      <c r="AA18" s="548">
        <v>1.31</v>
      </c>
      <c r="AB18" s="548">
        <v>1.093</v>
      </c>
      <c r="AC18" s="548">
        <v>0.68099999999999994</v>
      </c>
      <c r="AD18" s="548">
        <v>8.82</v>
      </c>
      <c r="AE18" s="548">
        <v>10.185</v>
      </c>
      <c r="AF18" s="548">
        <v>29.687999999999999</v>
      </c>
      <c r="AG18" s="548">
        <v>21.604000000000003</v>
      </c>
      <c r="AH18" s="548">
        <v>138.53700000000001</v>
      </c>
      <c r="AI18" s="548">
        <v>694.42499999999995</v>
      </c>
      <c r="AJ18" s="548">
        <v>2774.1090000000004</v>
      </c>
      <c r="AK18" s="548">
        <v>3927.5220000000004</v>
      </c>
      <c r="AL18" s="548">
        <v>5536.1760000000004</v>
      </c>
      <c r="AM18" s="548">
        <v>7621.8490000000002</v>
      </c>
      <c r="AN18" s="548">
        <v>5105.3019999999997</v>
      </c>
      <c r="AO18" s="548">
        <v>10589.667000000001</v>
      </c>
      <c r="AP18" s="548">
        <v>17850.777999999998</v>
      </c>
      <c r="AQ18" s="548">
        <v>24654.316000000003</v>
      </c>
      <c r="AR18" s="548">
        <v>38181.5</v>
      </c>
      <c r="AS18" s="548">
        <v>46482.178</v>
      </c>
      <c r="AT18" s="548">
        <v>34462.410000000003</v>
      </c>
      <c r="AU18" s="548">
        <v>56205.958000000006</v>
      </c>
      <c r="AV18" s="548">
        <v>56514.791287764601</v>
      </c>
      <c r="AW18" s="548">
        <v>39162.616815832429</v>
      </c>
      <c r="AX18" s="58">
        <v>176480.78963986912</v>
      </c>
    </row>
    <row r="19" spans="1:50" ht="13">
      <c r="A19" s="327" t="s">
        <v>1032</v>
      </c>
      <c r="B19" s="548">
        <v>4.6430000000000007</v>
      </c>
      <c r="C19" s="548">
        <v>3.9409999999999998</v>
      </c>
      <c r="D19" s="548">
        <v>3.6470000000000002</v>
      </c>
      <c r="E19" s="548">
        <v>3.3415100000000004</v>
      </c>
      <c r="F19" s="548">
        <v>3.097</v>
      </c>
      <c r="G19" s="548">
        <v>3.5260000000000002</v>
      </c>
      <c r="H19" s="548">
        <v>2.7189999999999999</v>
      </c>
      <c r="I19" s="548">
        <v>3.9279999999999999</v>
      </c>
      <c r="J19" s="548">
        <v>3.6259999999999999</v>
      </c>
      <c r="K19" s="548">
        <v>4.4349999999999996</v>
      </c>
      <c r="L19" s="548">
        <v>2.8919999999999999</v>
      </c>
      <c r="M19" s="548">
        <v>3.41</v>
      </c>
      <c r="N19" s="548">
        <v>2.8727600000000004</v>
      </c>
      <c r="O19" s="548">
        <v>0.82899999999999996</v>
      </c>
      <c r="P19" s="548">
        <v>0.90300000000000002</v>
      </c>
      <c r="Q19" s="548">
        <v>1.9629999999999999</v>
      </c>
      <c r="R19" s="548">
        <v>1.2789999999999999</v>
      </c>
      <c r="S19" s="548">
        <v>3.355</v>
      </c>
      <c r="T19" s="548">
        <v>2.6629999999999998</v>
      </c>
      <c r="U19" s="548">
        <v>2.665</v>
      </c>
      <c r="V19" s="548">
        <v>2.8359999999999999</v>
      </c>
      <c r="W19" s="548">
        <v>2.3609999999999998</v>
      </c>
      <c r="X19" s="548">
        <v>2.3080000000000003</v>
      </c>
      <c r="Y19" s="548">
        <v>3.278</v>
      </c>
      <c r="Z19" s="548">
        <v>2.7690000000000001</v>
      </c>
      <c r="AA19" s="548">
        <v>3.0939999999999999</v>
      </c>
      <c r="AB19" s="548">
        <v>2.3609999999999998</v>
      </c>
      <c r="AC19" s="548">
        <v>3.4950000000000001</v>
      </c>
      <c r="AD19" s="548">
        <v>3.4670000000000001</v>
      </c>
      <c r="AE19" s="548">
        <v>2.6970000000000001</v>
      </c>
      <c r="AF19" s="548">
        <v>4.3020000000000005</v>
      </c>
      <c r="AG19" s="548">
        <v>2.9950000000000001</v>
      </c>
      <c r="AH19" s="548">
        <v>19.870999999999999</v>
      </c>
      <c r="AI19" s="548">
        <v>62.764000000000003</v>
      </c>
      <c r="AJ19" s="548">
        <v>174.25</v>
      </c>
      <c r="AK19" s="548">
        <v>274.20800000000003</v>
      </c>
      <c r="AL19" s="548">
        <v>587.88900000000001</v>
      </c>
      <c r="AM19" s="548">
        <v>1336.04</v>
      </c>
      <c r="AN19" s="548">
        <v>1777.664</v>
      </c>
      <c r="AO19" s="548">
        <v>2525.5909999999999</v>
      </c>
      <c r="AP19" s="548">
        <v>2883.415</v>
      </c>
      <c r="AQ19" s="548">
        <v>4600.7689999999993</v>
      </c>
      <c r="AR19" s="548">
        <v>7447.8890000000001</v>
      </c>
      <c r="AS19" s="548">
        <v>14307.251</v>
      </c>
      <c r="AT19" s="548">
        <v>17074.138000000003</v>
      </c>
      <c r="AU19" s="548">
        <v>19933.703000000001</v>
      </c>
      <c r="AV19" s="548">
        <v>17938.839</v>
      </c>
      <c r="AW19" s="548">
        <v>23530.353999999999</v>
      </c>
      <c r="AX19" s="58">
        <v>26351.985000000001</v>
      </c>
    </row>
    <row r="20" spans="1:50" ht="13">
      <c r="A20" s="327" t="s">
        <v>1033</v>
      </c>
      <c r="B20" s="548">
        <v>4.1680000000000001</v>
      </c>
      <c r="C20" s="548">
        <v>4.0149999999999997</v>
      </c>
      <c r="D20" s="548">
        <v>6.282</v>
      </c>
      <c r="E20" s="548">
        <v>6.3704099999999997</v>
      </c>
      <c r="F20" s="548">
        <v>8.5109999999999992</v>
      </c>
      <c r="G20" s="548">
        <v>8.625</v>
      </c>
      <c r="H20" s="548">
        <v>8.9309999999999992</v>
      </c>
      <c r="I20" s="548">
        <v>15.768000000000001</v>
      </c>
      <c r="J20" s="548">
        <v>15.755000000000001</v>
      </c>
      <c r="K20" s="548">
        <v>15.13</v>
      </c>
      <c r="L20" s="548">
        <v>14.808999999999999</v>
      </c>
      <c r="M20" s="548">
        <v>18.297000000000001</v>
      </c>
      <c r="N20" s="548">
        <v>19.578095999999995</v>
      </c>
      <c r="O20" s="548">
        <v>19.558</v>
      </c>
      <c r="P20" s="548">
        <v>15.266</v>
      </c>
      <c r="Q20" s="548">
        <v>16.332000000000001</v>
      </c>
      <c r="R20" s="548">
        <v>15.831000000000001</v>
      </c>
      <c r="S20" s="548">
        <v>24.079000000000001</v>
      </c>
      <c r="T20" s="548">
        <v>26.95</v>
      </c>
      <c r="U20" s="548">
        <v>35.196999999999996</v>
      </c>
      <c r="V20" s="548">
        <v>39.982999999999997</v>
      </c>
      <c r="W20" s="548">
        <v>51.561</v>
      </c>
      <c r="X20" s="548">
        <v>51.348999999999997</v>
      </c>
      <c r="Y20" s="548">
        <v>43.749000000000002</v>
      </c>
      <c r="Z20" s="548">
        <v>42.287999999999997</v>
      </c>
      <c r="AA20" s="548">
        <v>26.780999999999999</v>
      </c>
      <c r="AB20" s="548">
        <v>38.119999999999997</v>
      </c>
      <c r="AC20" s="548">
        <v>34.384999999999998</v>
      </c>
      <c r="AD20" s="548">
        <v>37.792999999999999</v>
      </c>
      <c r="AE20" s="548">
        <v>38.392000000000003</v>
      </c>
      <c r="AF20" s="548">
        <v>68.213999999999999</v>
      </c>
      <c r="AG20" s="548">
        <v>139.06</v>
      </c>
      <c r="AH20" s="548">
        <v>308.23</v>
      </c>
      <c r="AI20" s="548">
        <v>530.45600000000002</v>
      </c>
      <c r="AJ20" s="548">
        <v>403.15099999999995</v>
      </c>
      <c r="AK20" s="548">
        <v>476.089</v>
      </c>
      <c r="AL20" s="548">
        <v>994.6819999999999</v>
      </c>
      <c r="AM20" s="548">
        <v>1178.095</v>
      </c>
      <c r="AN20" s="548">
        <v>2566.5740000000001</v>
      </c>
      <c r="AO20" s="548">
        <v>2969.9259999999999</v>
      </c>
      <c r="AP20" s="548">
        <v>4723.0610000000006</v>
      </c>
      <c r="AQ20" s="548">
        <v>7266.5969999999998</v>
      </c>
      <c r="AR20" s="548">
        <v>9817.6380000000008</v>
      </c>
      <c r="AS20" s="548">
        <v>14463.975</v>
      </c>
      <c r="AT20" s="548">
        <v>17275.501</v>
      </c>
      <c r="AU20" s="548">
        <v>18725.050999999999</v>
      </c>
      <c r="AV20" s="548">
        <v>17651.312999999998</v>
      </c>
      <c r="AW20" s="548">
        <v>18205.077000000001</v>
      </c>
      <c r="AX20" s="58">
        <v>21014.064999999999</v>
      </c>
    </row>
    <row r="21" spans="1:50" ht="13">
      <c r="A21" s="327" t="s">
        <v>1029</v>
      </c>
      <c r="B21" s="548">
        <v>34.987443999999989</v>
      </c>
      <c r="C21" s="548">
        <v>19.220367</v>
      </c>
      <c r="D21" s="548">
        <v>17.973872</v>
      </c>
      <c r="E21" s="548">
        <v>19.783859</v>
      </c>
      <c r="F21" s="548">
        <v>32.298405000000002</v>
      </c>
      <c r="G21" s="548">
        <v>38.835413000000003</v>
      </c>
      <c r="H21" s="548">
        <v>37.071152999999995</v>
      </c>
      <c r="I21" s="548">
        <v>30.620131999999998</v>
      </c>
      <c r="J21" s="548">
        <v>32.167771999999999</v>
      </c>
      <c r="K21" s="548">
        <v>35.149233999999993</v>
      </c>
      <c r="L21" s="548">
        <v>33.392544999999998</v>
      </c>
      <c r="M21" s="548">
        <v>41.907423000000016</v>
      </c>
      <c r="N21" s="548">
        <v>45.399532000000008</v>
      </c>
      <c r="O21" s="548">
        <v>44.956000000000003</v>
      </c>
      <c r="P21" s="548">
        <v>40.953000000000003</v>
      </c>
      <c r="Q21" s="548">
        <v>65.775000000000006</v>
      </c>
      <c r="R21" s="548">
        <v>113.17399999999999</v>
      </c>
      <c r="S21" s="548">
        <v>117.277</v>
      </c>
      <c r="T21" s="548">
        <v>167.21</v>
      </c>
      <c r="U21" s="548">
        <v>222.85399999999998</v>
      </c>
      <c r="V21" s="548">
        <v>287.30699999999996</v>
      </c>
      <c r="W21" s="548">
        <v>465.84700000000004</v>
      </c>
      <c r="X21" s="548">
        <v>607.59700000000009</v>
      </c>
      <c r="Y21" s="548">
        <v>813.22899999999993</v>
      </c>
      <c r="Z21" s="548">
        <v>957.98399999999992</v>
      </c>
      <c r="AA21" s="548">
        <v>1340.8150000000001</v>
      </c>
      <c r="AB21" s="548">
        <v>1766.4260000000002</v>
      </c>
      <c r="AC21" s="548">
        <v>1993.4389999999999</v>
      </c>
      <c r="AD21" s="548">
        <v>2245.92</v>
      </c>
      <c r="AE21" s="548">
        <v>1958.193</v>
      </c>
      <c r="AF21" s="548">
        <v>2879.1469999999999</v>
      </c>
      <c r="AG21" s="548">
        <v>4435.2879999999996</v>
      </c>
      <c r="AH21" s="548">
        <v>5445.6360000000004</v>
      </c>
      <c r="AI21" s="548">
        <v>7288.3019999999997</v>
      </c>
      <c r="AJ21" s="548">
        <v>7995.7489999999998</v>
      </c>
      <c r="AK21" s="548">
        <v>11750.861999999999</v>
      </c>
      <c r="AL21" s="548">
        <v>17211.716</v>
      </c>
      <c r="AM21" s="548">
        <v>23935.744999999999</v>
      </c>
      <c r="AN21" s="548">
        <v>30862.947</v>
      </c>
      <c r="AO21" s="548">
        <v>30967.721000000001</v>
      </c>
      <c r="AP21" s="548">
        <v>37050.866999999998</v>
      </c>
      <c r="AQ21" s="548">
        <v>34660.084999999999</v>
      </c>
      <c r="AR21" s="548">
        <v>40515.267999999996</v>
      </c>
      <c r="AS21" s="548">
        <v>56558.425000000003</v>
      </c>
      <c r="AT21" s="548">
        <v>60917.503000000004</v>
      </c>
      <c r="AU21" s="548">
        <v>72826.922999999995</v>
      </c>
      <c r="AV21" s="548">
        <v>81261.680642026811</v>
      </c>
      <c r="AW21" s="548">
        <v>104410.62501788652</v>
      </c>
      <c r="AX21" s="58">
        <v>124760.80737406263</v>
      </c>
    </row>
    <row r="22" spans="1:50" ht="13">
      <c r="A22" s="327"/>
      <c r="B22" s="577"/>
      <c r="C22" s="577"/>
      <c r="D22" s="577"/>
      <c r="E22" s="577"/>
      <c r="F22" s="577"/>
      <c r="G22" s="577"/>
      <c r="H22" s="577"/>
      <c r="I22" s="577"/>
      <c r="J22" s="577"/>
      <c r="K22" s="577"/>
      <c r="L22" s="577"/>
      <c r="M22" s="577"/>
      <c r="N22" s="577"/>
      <c r="O22" s="577"/>
      <c r="P22" s="577"/>
      <c r="Q22" s="577"/>
      <c r="R22" s="577"/>
      <c r="S22" s="577"/>
      <c r="T22" s="577"/>
      <c r="U22" s="577"/>
      <c r="V22" s="577"/>
      <c r="W22" s="577"/>
      <c r="X22" s="577"/>
      <c r="Y22" s="577"/>
      <c r="Z22" s="577"/>
      <c r="AA22" s="577"/>
      <c r="AB22" s="577"/>
      <c r="AC22" s="577"/>
      <c r="AD22" s="577"/>
      <c r="AE22" s="577"/>
      <c r="AF22" s="577"/>
      <c r="AG22" s="577"/>
      <c r="AH22" s="577"/>
      <c r="AI22" s="577"/>
      <c r="AJ22" s="577"/>
      <c r="AK22" s="577"/>
      <c r="AL22" s="577"/>
      <c r="AM22" s="577"/>
      <c r="AN22" s="577"/>
      <c r="AO22" s="577"/>
      <c r="AP22" s="577"/>
      <c r="AQ22" s="577"/>
      <c r="AR22" s="577"/>
      <c r="AS22" s="577"/>
      <c r="AT22" s="577"/>
      <c r="AU22" s="577"/>
      <c r="AV22" s="577"/>
      <c r="AW22" s="548"/>
      <c r="AX22" s="578"/>
    </row>
    <row r="23" spans="1:50" ht="13">
      <c r="A23" s="327" t="s">
        <v>1034</v>
      </c>
      <c r="B23" s="548">
        <v>72.62299999999999</v>
      </c>
      <c r="C23" s="548">
        <v>97.01</v>
      </c>
      <c r="D23" s="548">
        <v>114.59710000000001</v>
      </c>
      <c r="E23" s="548">
        <v>171.41665500000002</v>
      </c>
      <c r="F23" s="548">
        <v>207.8912</v>
      </c>
      <c r="G23" s="548">
        <v>185.99450000000002</v>
      </c>
      <c r="H23" s="548">
        <v>164.54483999999999</v>
      </c>
      <c r="I23" s="548">
        <v>187.36199999999999</v>
      </c>
      <c r="J23" s="548">
        <v>235.50852</v>
      </c>
      <c r="K23" s="548">
        <v>253.35900000000001</v>
      </c>
      <c r="L23" s="548">
        <v>315.24860000000001</v>
      </c>
      <c r="M23" s="548">
        <v>306.09699999999998</v>
      </c>
      <c r="N23" s="548">
        <v>378.48449099999999</v>
      </c>
      <c r="O23" s="548">
        <v>389.67500000000001</v>
      </c>
      <c r="P23" s="548">
        <v>399.36599999999999</v>
      </c>
      <c r="Q23" s="548">
        <v>419.80600000000004</v>
      </c>
      <c r="R23" s="548">
        <v>505.57300000000004</v>
      </c>
      <c r="S23" s="548">
        <v>645.226</v>
      </c>
      <c r="T23" s="548">
        <v>776.19099999999992</v>
      </c>
      <c r="U23" s="548">
        <v>892</v>
      </c>
      <c r="V23" s="548">
        <v>1115</v>
      </c>
      <c r="W23" s="548">
        <v>1216</v>
      </c>
      <c r="X23" s="548">
        <v>1580</v>
      </c>
      <c r="Y23" s="548">
        <v>2031</v>
      </c>
      <c r="Z23" s="548">
        <v>2464</v>
      </c>
      <c r="AA23" s="548">
        <v>3364</v>
      </c>
      <c r="AB23" s="548">
        <v>5094</v>
      </c>
      <c r="AC23" s="548">
        <v>6315</v>
      </c>
      <c r="AD23" s="548">
        <v>5249</v>
      </c>
      <c r="AE23" s="548">
        <v>5780.2420000000002</v>
      </c>
      <c r="AF23" s="548">
        <v>9872.77</v>
      </c>
      <c r="AG23" s="548">
        <v>11987.322</v>
      </c>
      <c r="AH23" s="548">
        <v>19156.400000000001</v>
      </c>
      <c r="AI23" s="548">
        <v>27248.948</v>
      </c>
      <c r="AJ23" s="548">
        <v>26905.344000000001</v>
      </c>
      <c r="AK23" s="548">
        <v>36420.155999999995</v>
      </c>
      <c r="AL23" s="548">
        <v>60964.582000000002</v>
      </c>
      <c r="AM23" s="548">
        <v>105832.61199999999</v>
      </c>
      <c r="AN23" s="548">
        <v>123058.86499999999</v>
      </c>
      <c r="AO23" s="548">
        <v>135303.30900000001</v>
      </c>
      <c r="AP23" s="548">
        <v>165045.41</v>
      </c>
      <c r="AQ23" s="548">
        <v>212447.87899999999</v>
      </c>
      <c r="AR23" s="548">
        <v>302189.28899999999</v>
      </c>
      <c r="AS23" s="548">
        <v>340811.49299999996</v>
      </c>
      <c r="AT23" s="548">
        <v>340897.141</v>
      </c>
      <c r="AU23" s="548">
        <v>358857.092</v>
      </c>
      <c r="AV23" s="548">
        <v>338815.7971266582</v>
      </c>
      <c r="AW23" s="548">
        <v>449110.29000362987</v>
      </c>
      <c r="AX23" s="58">
        <v>588096.11670187209</v>
      </c>
    </row>
    <row r="24" spans="1:50" ht="13">
      <c r="A24" s="327" t="s">
        <v>1035</v>
      </c>
      <c r="B24" s="548">
        <v>36.812999999999995</v>
      </c>
      <c r="C24" s="548">
        <v>46.378999999999998</v>
      </c>
      <c r="D24" s="548">
        <v>43.298000000000002</v>
      </c>
      <c r="E24" s="548">
        <v>56.135525999999999</v>
      </c>
      <c r="F24" s="548">
        <v>74.965000000000003</v>
      </c>
      <c r="G24" s="548">
        <v>77.673000000000002</v>
      </c>
      <c r="H24" s="548">
        <v>67.537999999999997</v>
      </c>
      <c r="I24" s="548">
        <v>79.019000000000005</v>
      </c>
      <c r="J24" s="548">
        <v>86.98</v>
      </c>
      <c r="K24" s="548">
        <v>96.608999999999995</v>
      </c>
      <c r="L24" s="548">
        <v>123.669</v>
      </c>
      <c r="M24" s="548">
        <v>129.422</v>
      </c>
      <c r="N24" s="548">
        <v>134.40626500000002</v>
      </c>
      <c r="O24" s="548">
        <v>148.995</v>
      </c>
      <c r="P24" s="548">
        <v>139.50199999999998</v>
      </c>
      <c r="Q24" s="548">
        <v>192.60900000000001</v>
      </c>
      <c r="R24" s="548">
        <v>223.69300000000001</v>
      </c>
      <c r="S24" s="548">
        <v>308.41300000000001</v>
      </c>
      <c r="T24" s="548">
        <v>375.00799999999998</v>
      </c>
      <c r="U24" s="548">
        <v>440.13299999999998</v>
      </c>
      <c r="V24" s="548">
        <v>538.70899999999995</v>
      </c>
      <c r="W24" s="548">
        <v>641.505</v>
      </c>
      <c r="X24" s="548">
        <v>851.87100000000009</v>
      </c>
      <c r="Y24" s="548">
        <v>1024.44</v>
      </c>
      <c r="Z24" s="548">
        <v>1415.9880000000001</v>
      </c>
      <c r="AA24" s="548">
        <v>2447.4170000000004</v>
      </c>
      <c r="AB24" s="548">
        <v>3437.0319999999997</v>
      </c>
      <c r="AC24" s="548">
        <v>4056.6979999999999</v>
      </c>
      <c r="AD24" s="548">
        <v>3445.652</v>
      </c>
      <c r="AE24" s="548">
        <v>3278.62</v>
      </c>
      <c r="AF24" s="548">
        <v>5672.3990000000003</v>
      </c>
      <c r="AG24" s="548">
        <v>6029.03</v>
      </c>
      <c r="AH24" s="548">
        <v>9956.7219999999998</v>
      </c>
      <c r="AI24" s="548">
        <v>11491.028</v>
      </c>
      <c r="AJ24" s="548">
        <v>15148.692999999999</v>
      </c>
      <c r="AK24" s="548">
        <v>19850.862000000001</v>
      </c>
      <c r="AL24" s="548">
        <v>28466.548999999999</v>
      </c>
      <c r="AM24" s="548">
        <v>44707.776000000005</v>
      </c>
      <c r="AN24" s="548">
        <v>56171.406999999999</v>
      </c>
      <c r="AO24" s="548">
        <v>53230.258999999998</v>
      </c>
      <c r="AP24" s="548">
        <v>66670.857000000004</v>
      </c>
      <c r="AQ24" s="548">
        <v>98923.014999999999</v>
      </c>
      <c r="AR24" s="548">
        <v>136765.144</v>
      </c>
      <c r="AS24" s="548">
        <v>167387.21799999999</v>
      </c>
      <c r="AT24" s="548">
        <v>173484.87</v>
      </c>
      <c r="AU24" s="548">
        <v>172549.948</v>
      </c>
      <c r="AV24" s="548">
        <v>152290.674</v>
      </c>
      <c r="AW24" s="548">
        <v>214884.61300000001</v>
      </c>
      <c r="AX24" s="58">
        <v>284124.94199999998</v>
      </c>
    </row>
    <row r="25" spans="1:50" ht="13">
      <c r="A25" s="327" t="s">
        <v>1036</v>
      </c>
      <c r="B25" s="548">
        <v>9.1179999999999986</v>
      </c>
      <c r="C25" s="548">
        <v>18.256</v>
      </c>
      <c r="D25" s="548">
        <v>42.573099999999997</v>
      </c>
      <c r="E25" s="548">
        <v>83.399456999999998</v>
      </c>
      <c r="F25" s="548">
        <v>94.708199999999991</v>
      </c>
      <c r="G25" s="548">
        <v>73.890500000000003</v>
      </c>
      <c r="H25" s="548">
        <v>67.901839999999993</v>
      </c>
      <c r="I25" s="548">
        <v>76.588000000000008</v>
      </c>
      <c r="J25" s="548">
        <v>112.03252000000001</v>
      </c>
      <c r="K25" s="548">
        <v>106.982</v>
      </c>
      <c r="L25" s="548">
        <v>136.01060000000001</v>
      </c>
      <c r="M25" s="548">
        <v>121.313</v>
      </c>
      <c r="N25" s="548">
        <v>181.99902700000001</v>
      </c>
      <c r="O25" s="548">
        <v>183.42600000000002</v>
      </c>
      <c r="P25" s="548">
        <v>198.191</v>
      </c>
      <c r="Q25" s="548">
        <v>155.37599999999998</v>
      </c>
      <c r="R25" s="548">
        <v>189.92099999999999</v>
      </c>
      <c r="S25" s="548">
        <v>203.702</v>
      </c>
      <c r="T25" s="548">
        <v>245.32300000000001</v>
      </c>
      <c r="U25" s="548">
        <v>335</v>
      </c>
      <c r="V25" s="548">
        <v>414</v>
      </c>
      <c r="W25" s="548">
        <v>315</v>
      </c>
      <c r="X25" s="548">
        <v>363</v>
      </c>
      <c r="Y25" s="548">
        <v>511</v>
      </c>
      <c r="Z25" s="548">
        <v>650</v>
      </c>
      <c r="AA25" s="548">
        <v>748</v>
      </c>
      <c r="AB25" s="548">
        <v>1247</v>
      </c>
      <c r="AC25" s="548">
        <v>1356</v>
      </c>
      <c r="AD25" s="548">
        <v>1098</v>
      </c>
      <c r="AE25" s="548">
        <v>1558.777</v>
      </c>
      <c r="AF25" s="548">
        <v>2869.7460000000001</v>
      </c>
      <c r="AG25" s="548">
        <v>4223.6940000000004</v>
      </c>
      <c r="AH25" s="548">
        <v>7124.8969999999999</v>
      </c>
      <c r="AI25" s="548">
        <v>10807.837</v>
      </c>
      <c r="AJ25" s="548">
        <v>5299.83</v>
      </c>
      <c r="AK25" s="548">
        <v>9973.73</v>
      </c>
      <c r="AL25" s="548">
        <v>24190.874</v>
      </c>
      <c r="AM25" s="548">
        <v>43325.361000000004</v>
      </c>
      <c r="AN25" s="548">
        <v>51307.495999999999</v>
      </c>
      <c r="AO25" s="548">
        <v>63780.665999999997</v>
      </c>
      <c r="AP25" s="548">
        <v>77856.02</v>
      </c>
      <c r="AQ25" s="548">
        <v>100359.014</v>
      </c>
      <c r="AR25" s="548">
        <v>149066.842</v>
      </c>
      <c r="AS25" s="548">
        <v>152526.40700000001</v>
      </c>
      <c r="AT25" s="548">
        <v>146701.79</v>
      </c>
      <c r="AU25" s="548">
        <v>159034.02900000001</v>
      </c>
      <c r="AV25" s="548">
        <v>152248.03071141968</v>
      </c>
      <c r="AW25" s="548">
        <v>234225.67700362985</v>
      </c>
      <c r="AX25" s="58">
        <v>303971.17470187211</v>
      </c>
    </row>
    <row r="26" spans="1:50" ht="13">
      <c r="A26" s="327" t="s">
        <v>1037</v>
      </c>
      <c r="B26" s="548">
        <v>26.692</v>
      </c>
      <c r="C26" s="548">
        <v>32.375</v>
      </c>
      <c r="D26" s="548">
        <v>28.726000000000003</v>
      </c>
      <c r="E26" s="548">
        <v>31.881672000000034</v>
      </c>
      <c r="F26" s="548">
        <v>38.218000000000004</v>
      </c>
      <c r="G26" s="548">
        <v>34.431000000000004</v>
      </c>
      <c r="H26" s="548">
        <v>29.105</v>
      </c>
      <c r="I26" s="548">
        <v>31.754999999999999</v>
      </c>
      <c r="J26" s="548">
        <v>36.496000000000002</v>
      </c>
      <c r="K26" s="548">
        <v>49.768000000000001</v>
      </c>
      <c r="L26" s="548">
        <v>55.569000000000003</v>
      </c>
      <c r="M26" s="548">
        <v>55.362000000000002</v>
      </c>
      <c r="N26" s="548">
        <v>62.079198999999967</v>
      </c>
      <c r="O26" s="548">
        <v>57.253999999999998</v>
      </c>
      <c r="P26" s="548">
        <v>61.673000000000002</v>
      </c>
      <c r="Q26" s="548">
        <v>71.820999999999998</v>
      </c>
      <c r="R26" s="548">
        <v>91.959000000000003</v>
      </c>
      <c r="S26" s="548">
        <v>133.11100000000002</v>
      </c>
      <c r="T26" s="548">
        <v>155.86000000000001</v>
      </c>
      <c r="U26" s="548">
        <v>116.867</v>
      </c>
      <c r="V26" s="548">
        <v>162.291</v>
      </c>
      <c r="W26" s="548">
        <v>259.495</v>
      </c>
      <c r="X26" s="548">
        <v>365.12899999999996</v>
      </c>
      <c r="Y26" s="548">
        <v>495.56</v>
      </c>
      <c r="Z26" s="548">
        <v>398.012</v>
      </c>
      <c r="AA26" s="548">
        <v>168.583</v>
      </c>
      <c r="AB26" s="548">
        <v>409.96800000000002</v>
      </c>
      <c r="AC26" s="548">
        <v>902.30200000000002</v>
      </c>
      <c r="AD26" s="548">
        <v>705.34799999999996</v>
      </c>
      <c r="AE26" s="548">
        <v>942.84500000000003</v>
      </c>
      <c r="AF26" s="548">
        <v>1330.625</v>
      </c>
      <c r="AG26" s="548">
        <v>1734.5980000000002</v>
      </c>
      <c r="AH26" s="548">
        <v>2074.7810000000004</v>
      </c>
      <c r="AI26" s="548">
        <v>4950.0830000000005</v>
      </c>
      <c r="AJ26" s="548">
        <v>6456.8209999999999</v>
      </c>
      <c r="AK26" s="548">
        <v>6595.5640000000003</v>
      </c>
      <c r="AL26" s="548">
        <v>8307.1589999999997</v>
      </c>
      <c r="AM26" s="548">
        <v>17799.475000000002</v>
      </c>
      <c r="AN26" s="548">
        <v>15579.962</v>
      </c>
      <c r="AO26" s="548">
        <v>18292.383999999998</v>
      </c>
      <c r="AP26" s="548">
        <v>20518.533000000003</v>
      </c>
      <c r="AQ26" s="548">
        <v>13165.85</v>
      </c>
      <c r="AR26" s="548">
        <v>16357.303000000002</v>
      </c>
      <c r="AS26" s="548">
        <v>20897.867999999999</v>
      </c>
      <c r="AT26" s="548">
        <v>20710.481</v>
      </c>
      <c r="AU26" s="548">
        <v>27273.115000000002</v>
      </c>
      <c r="AV26" s="548">
        <v>34277.092415238498</v>
      </c>
      <c r="AW26" s="548">
        <v>33976.985621988955</v>
      </c>
      <c r="AX26" s="58">
        <v>48839.872194568277</v>
      </c>
    </row>
    <row r="27" spans="1:50" ht="13">
      <c r="A27" s="327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  <c r="AE27" s="577"/>
      <c r="AF27" s="577"/>
      <c r="AG27" s="577"/>
      <c r="AH27" s="577"/>
      <c r="AI27" s="577"/>
      <c r="AJ27" s="577"/>
      <c r="AK27" s="577"/>
      <c r="AL27" s="577"/>
      <c r="AM27" s="577"/>
      <c r="AN27" s="577"/>
      <c r="AO27" s="577"/>
      <c r="AP27" s="577"/>
      <c r="AQ27" s="577"/>
      <c r="AR27" s="577"/>
      <c r="AS27" s="577"/>
      <c r="AT27" s="577"/>
      <c r="AU27" s="577"/>
      <c r="AV27" s="577"/>
      <c r="AW27" s="577"/>
      <c r="AX27" s="578"/>
    </row>
    <row r="28" spans="1:50" ht="13">
      <c r="A28" s="327" t="s">
        <v>1038</v>
      </c>
      <c r="B28" s="548">
        <v>2484.3637570000001</v>
      </c>
      <c r="C28" s="548">
        <v>2427.938216</v>
      </c>
      <c r="D28" s="548">
        <v>2142.5611289999997</v>
      </c>
      <c r="E28" s="548">
        <v>3200.2279291999998</v>
      </c>
      <c r="F28" s="548">
        <v>5110.1455509813513</v>
      </c>
      <c r="G28" s="548">
        <v>4354.3354946290901</v>
      </c>
      <c r="H28" s="548">
        <v>3906.7937908343501</v>
      </c>
      <c r="I28" s="548">
        <v>4346.2866182518583</v>
      </c>
      <c r="J28" s="548">
        <v>4765.4490190138731</v>
      </c>
      <c r="K28" s="548">
        <v>5098.6343263103436</v>
      </c>
      <c r="L28" s="548">
        <v>4692.747337931035</v>
      </c>
      <c r="M28" s="548">
        <v>4377.4220252413797</v>
      </c>
      <c r="N28" s="548">
        <v>4514.1900203793111</v>
      </c>
      <c r="O28" s="548">
        <v>5658.4112758620695</v>
      </c>
      <c r="P28" s="548">
        <v>5448.2530000000006</v>
      </c>
      <c r="Q28" s="548">
        <v>6344.3940000000002</v>
      </c>
      <c r="R28" s="548">
        <v>7098.3859999999995</v>
      </c>
      <c r="S28" s="548">
        <v>8859.5769999999993</v>
      </c>
      <c r="T28" s="548">
        <v>9419.603000000001</v>
      </c>
      <c r="U28" s="548">
        <v>10130.469999999999</v>
      </c>
      <c r="V28" s="548">
        <v>10908.902</v>
      </c>
      <c r="W28" s="548">
        <v>11450.119000000001</v>
      </c>
      <c r="X28" s="548">
        <v>13687.927</v>
      </c>
      <c r="Y28" s="548">
        <v>14283.294</v>
      </c>
      <c r="Z28" s="548">
        <v>15121</v>
      </c>
      <c r="AA28" s="548">
        <v>17109</v>
      </c>
      <c r="AB28" s="548">
        <v>21581</v>
      </c>
      <c r="AC28" s="548">
        <v>28833</v>
      </c>
      <c r="AD28" s="548">
        <v>23092</v>
      </c>
      <c r="AE28" s="548">
        <v>25760.396000000001</v>
      </c>
      <c r="AF28" s="548">
        <v>34862.254000000001</v>
      </c>
      <c r="AG28" s="548">
        <v>45192.853999999999</v>
      </c>
      <c r="AH28" s="548">
        <v>76937.005000000005</v>
      </c>
      <c r="AI28" s="548">
        <v>97681.225999999995</v>
      </c>
      <c r="AJ28" s="548">
        <v>105462.451</v>
      </c>
      <c r="AK28" s="548">
        <v>139158.00200000001</v>
      </c>
      <c r="AL28" s="548">
        <v>204885.18899999998</v>
      </c>
      <c r="AM28" s="548">
        <v>314191.00200000004</v>
      </c>
      <c r="AN28" s="548">
        <v>381630.7</v>
      </c>
      <c r="AO28" s="548">
        <v>391424.59100000001</v>
      </c>
      <c r="AP28" s="548">
        <v>463287.68</v>
      </c>
      <c r="AQ28" s="548">
        <v>557238.13199999998</v>
      </c>
      <c r="AR28" s="548">
        <v>702834.01800000004</v>
      </c>
      <c r="AS28" s="548">
        <v>775657.50699999998</v>
      </c>
      <c r="AT28" s="548">
        <v>755532.02099999995</v>
      </c>
      <c r="AU28" s="548">
        <v>763435.87100000004</v>
      </c>
      <c r="AV28" s="548">
        <v>813768.16190436273</v>
      </c>
      <c r="AW28" s="548">
        <v>1025387.8127637495</v>
      </c>
      <c r="AX28" s="58">
        <v>1192248.1264798187</v>
      </c>
    </row>
    <row r="29" spans="1:50" ht="13">
      <c r="A29" s="327"/>
      <c r="B29" s="577"/>
      <c r="C29" s="577"/>
      <c r="D29" s="577"/>
      <c r="E29" s="577"/>
      <c r="F29" s="577"/>
      <c r="G29" s="577"/>
      <c r="H29" s="577"/>
      <c r="I29" s="577"/>
      <c r="J29" s="577"/>
      <c r="K29" s="577"/>
      <c r="L29" s="577"/>
      <c r="M29" s="577"/>
      <c r="N29" s="577"/>
      <c r="O29" s="577"/>
      <c r="P29" s="577"/>
      <c r="Q29" s="577"/>
      <c r="R29" s="577"/>
      <c r="S29" s="577"/>
      <c r="T29" s="577"/>
      <c r="U29" s="577"/>
      <c r="V29" s="577"/>
      <c r="W29" s="577"/>
      <c r="X29" s="577"/>
      <c r="Y29" s="577"/>
      <c r="Z29" s="577"/>
      <c r="AA29" s="577"/>
      <c r="AB29" s="577"/>
      <c r="AC29" s="577"/>
      <c r="AD29" s="577"/>
      <c r="AE29" s="577"/>
      <c r="AF29" s="577"/>
      <c r="AG29" s="577"/>
      <c r="AH29" s="577"/>
      <c r="AI29" s="577"/>
      <c r="AJ29" s="577"/>
      <c r="AK29" s="577"/>
      <c r="AL29" s="577"/>
      <c r="AM29" s="577"/>
      <c r="AN29" s="577"/>
      <c r="AO29" s="577"/>
      <c r="AP29" s="577"/>
      <c r="AQ29" s="577"/>
      <c r="AR29" s="577"/>
      <c r="AS29" s="577"/>
      <c r="AT29" s="577"/>
      <c r="AU29" s="577"/>
      <c r="AV29" s="577"/>
      <c r="AW29" s="577"/>
      <c r="AX29" s="578"/>
    </row>
    <row r="30" spans="1:50" ht="13">
      <c r="A30" s="327" t="s">
        <v>1039</v>
      </c>
      <c r="B30" s="548">
        <v>12.623000000000001</v>
      </c>
      <c r="C30" s="548">
        <v>21.7271</v>
      </c>
      <c r="D30" s="548">
        <v>15.706000000000001</v>
      </c>
      <c r="E30" s="548">
        <v>9.9800888000000025</v>
      </c>
      <c r="F30" s="548">
        <v>12.408000000000001</v>
      </c>
      <c r="G30" s="548">
        <v>60.282000000000004</v>
      </c>
      <c r="H30" s="548">
        <v>10.784700000000001</v>
      </c>
      <c r="I30" s="548">
        <v>250.59039999999999</v>
      </c>
      <c r="J30" s="548">
        <v>238.52200000000002</v>
      </c>
      <c r="K30" s="548">
        <v>244.06399999999999</v>
      </c>
      <c r="L30" s="548">
        <v>271.47000000000003</v>
      </c>
      <c r="M30" s="548">
        <v>347.06900000000002</v>
      </c>
      <c r="N30" s="548">
        <v>342.22089899999997</v>
      </c>
      <c r="O30" s="548">
        <v>309.36</v>
      </c>
      <c r="P30" s="548">
        <v>237.29499999999999</v>
      </c>
      <c r="Q30" s="548">
        <v>162.17699999999999</v>
      </c>
      <c r="R30" s="548">
        <v>228.935</v>
      </c>
      <c r="S30" s="548">
        <v>261.279</v>
      </c>
      <c r="T30" s="548">
        <v>242.18700000000001</v>
      </c>
      <c r="U30" s="548">
        <v>294</v>
      </c>
      <c r="V30" s="548">
        <v>283</v>
      </c>
      <c r="W30" s="548">
        <v>262</v>
      </c>
      <c r="X30" s="548">
        <v>274</v>
      </c>
      <c r="Y30" s="548">
        <v>627</v>
      </c>
      <c r="Z30" s="548">
        <v>663</v>
      </c>
      <c r="AA30" s="548">
        <v>596</v>
      </c>
      <c r="AB30" s="548">
        <v>549</v>
      </c>
      <c r="AC30" s="548">
        <v>1690</v>
      </c>
      <c r="AD30" s="548">
        <v>1000</v>
      </c>
      <c r="AE30" s="548">
        <v>1206.2489999999998</v>
      </c>
      <c r="AF30" s="548">
        <v>1355.8040000000001</v>
      </c>
      <c r="AG30" s="548">
        <v>1983.028</v>
      </c>
      <c r="AH30" s="548">
        <v>5652.692</v>
      </c>
      <c r="AI30" s="548">
        <v>12763.814999999999</v>
      </c>
      <c r="AJ30" s="548">
        <v>18431.628000000001</v>
      </c>
      <c r="AK30" s="548">
        <v>13029.623000000001</v>
      </c>
      <c r="AL30" s="548">
        <v>25722.041999999998</v>
      </c>
      <c r="AM30" s="548">
        <v>27586.463</v>
      </c>
      <c r="AN30" s="548">
        <v>40880.233</v>
      </c>
      <c r="AO30" s="548">
        <v>32947.654000000002</v>
      </c>
      <c r="AP30" s="548">
        <v>21682.782999999999</v>
      </c>
      <c r="AQ30" s="548">
        <v>38644.745000000003</v>
      </c>
      <c r="AR30" s="548">
        <v>57490.219000000005</v>
      </c>
      <c r="AS30" s="548">
        <v>69490.19</v>
      </c>
      <c r="AT30" s="548">
        <v>54435.614000000001</v>
      </c>
      <c r="AU30" s="548">
        <v>66766.195999999996</v>
      </c>
      <c r="AV30" s="548">
        <v>77940.533971817917</v>
      </c>
      <c r="AW30" s="548">
        <v>115268.2353708805</v>
      </c>
      <c r="AX30" s="58">
        <v>105378.36461806201</v>
      </c>
    </row>
    <row r="31" spans="1:50" ht="13">
      <c r="A31" s="327"/>
      <c r="B31" s="577"/>
      <c r="C31" s="577"/>
      <c r="D31" s="577"/>
      <c r="E31" s="577"/>
      <c r="F31" s="577"/>
      <c r="G31" s="577"/>
      <c r="H31" s="577"/>
      <c r="I31" s="577"/>
      <c r="J31" s="577"/>
      <c r="K31" s="577"/>
      <c r="L31" s="577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  <c r="Z31" s="577"/>
      <c r="AA31" s="577"/>
      <c r="AB31" s="577"/>
      <c r="AC31" s="577"/>
      <c r="AD31" s="577"/>
      <c r="AE31" s="577"/>
      <c r="AF31" s="577"/>
      <c r="AG31" s="577"/>
      <c r="AH31" s="577"/>
      <c r="AI31" s="577"/>
      <c r="AJ31" s="577"/>
      <c r="AK31" s="577"/>
      <c r="AL31" s="577"/>
      <c r="AM31" s="577"/>
      <c r="AN31" s="577"/>
      <c r="AO31" s="577"/>
      <c r="AP31" s="577"/>
      <c r="AQ31" s="577"/>
      <c r="AR31" s="577"/>
      <c r="AS31" s="577"/>
      <c r="AT31" s="577"/>
      <c r="AU31" s="577"/>
      <c r="AV31" s="577"/>
      <c r="AW31" s="577"/>
      <c r="AX31" s="578"/>
    </row>
    <row r="32" spans="1:50" ht="13">
      <c r="A32" s="327" t="s">
        <v>1040</v>
      </c>
      <c r="B32" s="548">
        <v>33.962245999999631</v>
      </c>
      <c r="C32" s="548">
        <v>124.92435400000114</v>
      </c>
      <c r="D32" s="548">
        <v>127.91343500000035</v>
      </c>
      <c r="E32" s="548">
        <v>138.04374700000054</v>
      </c>
      <c r="F32" s="548">
        <v>50.297899018649801</v>
      </c>
      <c r="G32" s="548">
        <v>44.896295370908106</v>
      </c>
      <c r="H32" s="548">
        <v>50.574263165650144</v>
      </c>
      <c r="I32" s="548">
        <v>44.95785974814185</v>
      </c>
      <c r="J32" s="548">
        <v>47.723991986127714</v>
      </c>
      <c r="K32" s="548">
        <v>55.052690689656828</v>
      </c>
      <c r="L32" s="548">
        <v>40.294683068963799</v>
      </c>
      <c r="M32" s="548">
        <v>34.041911758620572</v>
      </c>
      <c r="N32" s="548">
        <v>53.879686620689718</v>
      </c>
      <c r="O32" s="548">
        <v>70.835724137932161</v>
      </c>
      <c r="P32" s="548">
        <v>68.163000000000523</v>
      </c>
      <c r="Q32" s="548">
        <v>44.57200000000028</v>
      </c>
      <c r="R32" s="548">
        <v>95.509999999999337</v>
      </c>
      <c r="S32" s="548">
        <v>143.42099999999996</v>
      </c>
      <c r="T32" s="548">
        <v>155.05799999999894</v>
      </c>
      <c r="U32" s="548">
        <v>175.24599999999845</v>
      </c>
      <c r="V32" s="548">
        <v>129.22400000000087</v>
      </c>
      <c r="W32" s="548">
        <v>118.65000000000076</v>
      </c>
      <c r="X32" s="548">
        <v>107.32700000000175</v>
      </c>
      <c r="Y32" s="548">
        <v>53.961999999999477</v>
      </c>
      <c r="Z32" s="548">
        <v>369.04100000000159</v>
      </c>
      <c r="AA32" s="548">
        <v>273.69</v>
      </c>
      <c r="AB32" s="548">
        <v>372.90699999999703</v>
      </c>
      <c r="AC32" s="548">
        <v>309.31899999999882</v>
      </c>
      <c r="AD32" s="548">
        <v>393.17999999999932</v>
      </c>
      <c r="AE32" s="548">
        <v>1033.9029999999975</v>
      </c>
      <c r="AF32" s="548">
        <v>1519.7829999999951</v>
      </c>
      <c r="AG32" s="548">
        <v>2667.7670000000066</v>
      </c>
      <c r="AH32" s="548">
        <v>3747.0899999999897</v>
      </c>
      <c r="AI32" s="548">
        <v>3880.2420000000125</v>
      </c>
      <c r="AJ32" s="548">
        <v>3937.9530000000032</v>
      </c>
      <c r="AK32" s="548">
        <v>7537.3289999999852</v>
      </c>
      <c r="AL32" s="548">
        <v>16098.831999999989</v>
      </c>
      <c r="AM32" s="548">
        <v>12395.544000000053</v>
      </c>
      <c r="AN32" s="548">
        <v>21269.337000000043</v>
      </c>
      <c r="AO32" s="548">
        <v>14831.41</v>
      </c>
      <c r="AP32" s="548">
        <v>11333.40500000007</v>
      </c>
      <c r="AQ32" s="548">
        <v>10108.838999999905</v>
      </c>
      <c r="AR32" s="548">
        <v>11952.658000000076</v>
      </c>
      <c r="AS32" s="548">
        <v>10816.565999999966</v>
      </c>
      <c r="AT32" s="548">
        <v>13183.983999999979</v>
      </c>
      <c r="AU32" s="548">
        <v>12735.683999999937</v>
      </c>
      <c r="AV32" s="548">
        <v>16572.32961537733</v>
      </c>
      <c r="AW32" s="548">
        <v>13611.239677721784</v>
      </c>
      <c r="AX32" s="58">
        <v>16982.66730747564</v>
      </c>
    </row>
    <row r="33" spans="1:50" ht="13">
      <c r="A33" s="327"/>
      <c r="B33" s="577"/>
      <c r="C33" s="577"/>
      <c r="D33" s="577"/>
      <c r="E33" s="577"/>
      <c r="F33" s="577"/>
      <c r="G33" s="577"/>
      <c r="H33" s="577"/>
      <c r="I33" s="577"/>
      <c r="J33" s="577"/>
      <c r="K33" s="577"/>
      <c r="L33" s="577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  <c r="AA33" s="577"/>
      <c r="AB33" s="577"/>
      <c r="AC33" s="577"/>
      <c r="AD33" s="577"/>
      <c r="AE33" s="577"/>
      <c r="AF33" s="577"/>
      <c r="AG33" s="577"/>
      <c r="AH33" s="577"/>
      <c r="AI33" s="577"/>
      <c r="AJ33" s="577"/>
      <c r="AK33" s="577"/>
      <c r="AL33" s="577"/>
      <c r="AM33" s="577"/>
      <c r="AN33" s="577"/>
      <c r="AO33" s="577"/>
      <c r="AP33" s="577"/>
      <c r="AQ33" s="577"/>
      <c r="AR33" s="577"/>
      <c r="AS33" s="577"/>
      <c r="AT33" s="577"/>
      <c r="AU33" s="577"/>
      <c r="AV33" s="577"/>
      <c r="AW33" s="577"/>
      <c r="AX33" s="578"/>
    </row>
    <row r="34" spans="1:50" ht="13.5" thickBot="1">
      <c r="A34" s="334" t="s">
        <v>1041</v>
      </c>
      <c r="B34" s="549">
        <v>4307</v>
      </c>
      <c r="C34" s="549">
        <v>4389</v>
      </c>
      <c r="D34" s="549">
        <v>4188</v>
      </c>
      <c r="E34" s="549">
        <v>5433</v>
      </c>
      <c r="F34" s="549">
        <v>7660</v>
      </c>
      <c r="G34" s="549">
        <v>6914</v>
      </c>
      <c r="H34" s="549">
        <v>6386</v>
      </c>
      <c r="I34" s="549">
        <v>7401</v>
      </c>
      <c r="J34" s="549">
        <v>8270</v>
      </c>
      <c r="K34" s="549">
        <v>8729</v>
      </c>
      <c r="L34" s="549">
        <v>8401</v>
      </c>
      <c r="M34" s="549">
        <v>8412</v>
      </c>
      <c r="N34" s="549">
        <v>8467</v>
      </c>
      <c r="O34" s="549">
        <v>9525</v>
      </c>
      <c r="P34" s="549">
        <v>9492</v>
      </c>
      <c r="Q34" s="549">
        <v>10830</v>
      </c>
      <c r="R34" s="549">
        <v>12203</v>
      </c>
      <c r="S34" s="549">
        <v>15008</v>
      </c>
      <c r="T34" s="549">
        <v>16739</v>
      </c>
      <c r="U34" s="549">
        <v>18034</v>
      </c>
      <c r="V34" s="549">
        <v>20319</v>
      </c>
      <c r="W34" s="549">
        <v>22142</v>
      </c>
      <c r="X34" s="549">
        <v>24975</v>
      </c>
      <c r="Y34" s="549">
        <v>27463</v>
      </c>
      <c r="Z34" s="549">
        <v>30296</v>
      </c>
      <c r="AA34" s="549">
        <v>35304</v>
      </c>
      <c r="AB34" s="549">
        <v>45475</v>
      </c>
      <c r="AC34" s="549">
        <v>58082</v>
      </c>
      <c r="AD34" s="549">
        <v>49449</v>
      </c>
      <c r="AE34" s="549">
        <v>55122</v>
      </c>
      <c r="AF34" s="549">
        <v>77927</v>
      </c>
      <c r="AG34" s="549">
        <v>106762</v>
      </c>
      <c r="AH34" s="549">
        <v>176833</v>
      </c>
      <c r="AI34" s="549">
        <v>233141</v>
      </c>
      <c r="AJ34" s="549">
        <v>257550</v>
      </c>
      <c r="AK34" s="549">
        <v>333878</v>
      </c>
      <c r="AL34" s="549">
        <v>513988</v>
      </c>
      <c r="AM34" s="549">
        <v>767932</v>
      </c>
      <c r="AN34" s="549">
        <v>977746</v>
      </c>
      <c r="AO34" s="549">
        <v>1085796</v>
      </c>
      <c r="AP34" s="549">
        <v>1313719</v>
      </c>
      <c r="AQ34" s="549">
        <v>1585997</v>
      </c>
      <c r="AR34" s="549">
        <v>2021592</v>
      </c>
      <c r="AS34" s="549">
        <v>2340480</v>
      </c>
      <c r="AT34" s="549">
        <v>2361525</v>
      </c>
      <c r="AU34" s="549">
        <v>2482563</v>
      </c>
      <c r="AV34" s="549">
        <v>2557314</v>
      </c>
      <c r="AW34" s="549">
        <v>3083930</v>
      </c>
      <c r="AX34" s="394">
        <v>3629407</v>
      </c>
    </row>
    <row r="35" spans="1:50">
      <c r="AT35" s="542"/>
      <c r="AU35" s="542"/>
      <c r="AV35" s="542"/>
      <c r="AW35" s="542"/>
      <c r="AX35" s="542"/>
    </row>
    <row r="36" spans="1:50">
      <c r="AR36" s="542"/>
      <c r="AS36" s="542"/>
      <c r="AT36" s="542"/>
      <c r="AU36" s="542"/>
      <c r="AV36" s="542"/>
      <c r="AW36" s="542"/>
      <c r="AX36" s="542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3" fitToWidth="3" orientation="landscape" horizontalDpi="4294967292" verticalDpi="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FB4B-BF52-4327-AB6A-A38554BA6D65}">
  <dimension ref="A1:AX35"/>
  <sheetViews>
    <sheetView showGridLines="0" workbookViewId="0">
      <selection activeCell="C7" sqref="C7"/>
    </sheetView>
  </sheetViews>
  <sheetFormatPr defaultRowHeight="12.5"/>
  <cols>
    <col min="1" max="16384" width="8.7265625" style="485"/>
  </cols>
  <sheetData>
    <row r="1" spans="1:50" ht="13">
      <c r="A1" s="322" t="s">
        <v>1019</v>
      </c>
    </row>
    <row r="2" spans="1:50" ht="13">
      <c r="A2" s="322" t="s">
        <v>1010</v>
      </c>
    </row>
    <row r="3" spans="1:50" ht="13">
      <c r="A3" s="323" t="s">
        <v>931</v>
      </c>
    </row>
    <row r="4" spans="1:50" ht="13.5" thickBot="1">
      <c r="A4" s="323"/>
    </row>
    <row r="5" spans="1:50" ht="13">
      <c r="A5" s="551"/>
      <c r="B5" s="552"/>
      <c r="C5" s="543">
        <v>1948</v>
      </c>
      <c r="D5" s="579">
        <v>1949</v>
      </c>
      <c r="E5" s="579">
        <v>1950</v>
      </c>
      <c r="F5" s="579">
        <v>1951</v>
      </c>
      <c r="G5" s="579">
        <v>1952</v>
      </c>
      <c r="H5" s="579">
        <v>1953</v>
      </c>
      <c r="I5" s="579">
        <v>1954</v>
      </c>
      <c r="J5" s="579">
        <v>1955</v>
      </c>
      <c r="K5" s="579">
        <v>1956</v>
      </c>
      <c r="L5" s="579">
        <v>1957</v>
      </c>
      <c r="M5" s="579">
        <v>1958</v>
      </c>
      <c r="N5" s="579">
        <v>1959</v>
      </c>
      <c r="O5" s="579">
        <v>1960</v>
      </c>
      <c r="P5" s="579">
        <v>1961</v>
      </c>
      <c r="Q5" s="579">
        <v>1962</v>
      </c>
      <c r="R5" s="579">
        <v>1963</v>
      </c>
      <c r="S5" s="579">
        <v>1964</v>
      </c>
      <c r="T5" s="579">
        <v>1965</v>
      </c>
      <c r="U5" s="579">
        <v>1966</v>
      </c>
      <c r="V5" s="579">
        <v>1967</v>
      </c>
      <c r="W5" s="579">
        <v>1968</v>
      </c>
      <c r="X5" s="579">
        <v>1969</v>
      </c>
      <c r="Y5" s="579">
        <v>1970</v>
      </c>
      <c r="Z5" s="579">
        <v>1971</v>
      </c>
      <c r="AA5" s="579">
        <v>1972</v>
      </c>
      <c r="AB5" s="579">
        <v>1973</v>
      </c>
      <c r="AC5" s="579">
        <v>1974</v>
      </c>
      <c r="AD5" s="579">
        <v>1975</v>
      </c>
      <c r="AE5" s="579">
        <v>1976</v>
      </c>
      <c r="AF5" s="579">
        <v>1977</v>
      </c>
      <c r="AG5" s="579">
        <v>1978</v>
      </c>
      <c r="AH5" s="579">
        <v>1979</v>
      </c>
      <c r="AI5" s="579">
        <v>1980</v>
      </c>
      <c r="AJ5" s="579">
        <v>1981</v>
      </c>
      <c r="AK5" s="579">
        <v>1982</v>
      </c>
      <c r="AL5" s="579">
        <v>1983</v>
      </c>
      <c r="AM5" s="579">
        <v>1984</v>
      </c>
      <c r="AN5" s="579">
        <v>1985</v>
      </c>
      <c r="AO5" s="579">
        <v>1986</v>
      </c>
      <c r="AP5" s="579">
        <v>1987</v>
      </c>
      <c r="AQ5" s="579">
        <v>1988</v>
      </c>
      <c r="AR5" s="579">
        <v>1989</v>
      </c>
      <c r="AS5" s="579">
        <v>1990</v>
      </c>
      <c r="AT5" s="579">
        <v>1991</v>
      </c>
      <c r="AU5" s="579">
        <v>1992</v>
      </c>
      <c r="AV5" s="579">
        <v>1993</v>
      </c>
      <c r="AW5" s="579">
        <v>1994</v>
      </c>
      <c r="AX5" s="580">
        <v>1995</v>
      </c>
    </row>
    <row r="6" spans="1:50" ht="13.5" thickBot="1">
      <c r="A6" s="508"/>
      <c r="B6" s="501"/>
      <c r="C6" s="545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  <c r="T6" s="581"/>
      <c r="U6" s="581"/>
      <c r="V6" s="581"/>
      <c r="W6" s="581"/>
      <c r="X6" s="581"/>
      <c r="Y6" s="581"/>
      <c r="Z6" s="581"/>
      <c r="AA6" s="581"/>
      <c r="AB6" s="581"/>
      <c r="AC6" s="581"/>
      <c r="AD6" s="581"/>
      <c r="AE6" s="581"/>
      <c r="AF6" s="581"/>
      <c r="AG6" s="581"/>
      <c r="AH6" s="581"/>
      <c r="AI6" s="581"/>
      <c r="AJ6" s="581"/>
      <c r="AK6" s="581"/>
      <c r="AL6" s="581"/>
      <c r="AM6" s="581"/>
      <c r="AN6" s="581"/>
      <c r="AO6" s="581"/>
      <c r="AP6" s="581"/>
      <c r="AQ6" s="581"/>
      <c r="AR6" s="581"/>
      <c r="AS6" s="581"/>
      <c r="AT6" s="581"/>
      <c r="AU6" s="581"/>
      <c r="AV6" s="581"/>
      <c r="AW6" s="581"/>
      <c r="AX6" s="582"/>
    </row>
    <row r="7" spans="1:50" ht="13">
      <c r="A7" s="507" t="s">
        <v>1020</v>
      </c>
      <c r="B7" s="496"/>
      <c r="C7" s="568">
        <v>1937.833667165866</v>
      </c>
      <c r="D7" s="51">
        <v>1661.7930465029604</v>
      </c>
      <c r="E7" s="51">
        <v>1906.06731515659</v>
      </c>
      <c r="F7" s="51">
        <v>2244.3861753209258</v>
      </c>
      <c r="G7" s="51">
        <v>2343.1941265676351</v>
      </c>
      <c r="H7" s="51">
        <v>2357.0338194793512</v>
      </c>
      <c r="I7" s="51">
        <v>2625.6681218292838</v>
      </c>
      <c r="J7" s="51">
        <v>3058.1200492372964</v>
      </c>
      <c r="K7" s="51">
        <v>2911.036543444628</v>
      </c>
      <c r="L7" s="51">
        <v>3100.0995749827675</v>
      </c>
      <c r="M7" s="51">
        <v>3397.5669425037418</v>
      </c>
      <c r="N7" s="51">
        <v>3340.9872054133057</v>
      </c>
      <c r="O7" s="51">
        <v>2925.9407199252983</v>
      </c>
      <c r="P7" s="51">
        <v>3383.3991921128722</v>
      </c>
      <c r="Q7" s="51">
        <v>3849.6623232490169</v>
      </c>
      <c r="R7" s="51">
        <v>4191.1606979591452</v>
      </c>
      <c r="S7" s="51">
        <v>4923.306945092304</v>
      </c>
      <c r="T7" s="51">
        <v>5951.2569291060845</v>
      </c>
      <c r="U7" s="51">
        <v>6375.1845076267609</v>
      </c>
      <c r="V7" s="51">
        <v>7523.3136738651883</v>
      </c>
      <c r="W7" s="51">
        <v>8823.6735844525465</v>
      </c>
      <c r="X7" s="51">
        <v>9220.5933303597594</v>
      </c>
      <c r="Y7" s="51">
        <v>9896.2907827107992</v>
      </c>
      <c r="Z7" s="51">
        <v>11049.110526124414</v>
      </c>
      <c r="AA7" s="51">
        <v>12961.320088463504</v>
      </c>
      <c r="AB7" s="51">
        <v>15916.80924515428</v>
      </c>
      <c r="AC7" s="51">
        <v>16049.566350957526</v>
      </c>
      <c r="AD7" s="51">
        <v>19131.496405577651</v>
      </c>
      <c r="AE7" s="51">
        <v>19647.825394388972</v>
      </c>
      <c r="AF7" s="51">
        <v>22182.83085785908</v>
      </c>
      <c r="AG7" s="51">
        <v>35452.995560073439</v>
      </c>
      <c r="AH7" s="51">
        <v>55472.779829552957</v>
      </c>
      <c r="AI7" s="51">
        <v>77639.28543340748</v>
      </c>
      <c r="AJ7" s="51">
        <v>95464.26125594895</v>
      </c>
      <c r="AK7" s="51">
        <v>115215.05719891992</v>
      </c>
      <c r="AL7" s="51">
        <v>160425.71666559871</v>
      </c>
      <c r="AM7" s="51">
        <v>245295.48387486755</v>
      </c>
      <c r="AN7" s="51">
        <v>340947.70367368712</v>
      </c>
      <c r="AO7" s="51">
        <v>470009.85884292767</v>
      </c>
      <c r="AP7" s="51">
        <v>602241.32167263876</v>
      </c>
      <c r="AQ7" s="51">
        <v>715233.75436266465</v>
      </c>
      <c r="AR7" s="51">
        <v>915562.3925267274</v>
      </c>
      <c r="AS7" s="51">
        <v>1067848.897646768</v>
      </c>
      <c r="AT7" s="51">
        <v>1166914.1196000676</v>
      </c>
      <c r="AU7" s="51">
        <v>1279472.2614003865</v>
      </c>
      <c r="AV7" s="51">
        <v>1268234.8325013004</v>
      </c>
      <c r="AW7" s="51">
        <v>1429850.9676968995</v>
      </c>
      <c r="AX7" s="52">
        <v>1688719.8353747788</v>
      </c>
    </row>
    <row r="8" spans="1:50" ht="13">
      <c r="A8" s="507" t="s">
        <v>1021</v>
      </c>
      <c r="B8" s="496"/>
      <c r="C8" s="568">
        <v>1897.9441262522328</v>
      </c>
      <c r="D8" s="51">
        <v>1633.3221164866068</v>
      </c>
      <c r="E8" s="51">
        <v>1870.7213349712124</v>
      </c>
      <c r="F8" s="51">
        <v>2200.4631326707718</v>
      </c>
      <c r="G8" s="51">
        <v>2282.3412417871355</v>
      </c>
      <c r="H8" s="51">
        <v>2297.7932138823999</v>
      </c>
      <c r="I8" s="51">
        <v>2567.4307991130863</v>
      </c>
      <c r="J8" s="51">
        <v>2995.1112613311166</v>
      </c>
      <c r="K8" s="51">
        <v>2852.9910514133344</v>
      </c>
      <c r="L8" s="51">
        <v>3044.8774494315367</v>
      </c>
      <c r="M8" s="51">
        <v>3330.5689971748957</v>
      </c>
      <c r="N8" s="51">
        <v>3260.2466466708474</v>
      </c>
      <c r="O8" s="51">
        <v>2855.6598218695813</v>
      </c>
      <c r="P8" s="51">
        <v>3318.6272424140034</v>
      </c>
      <c r="Q8" s="51">
        <v>3762.1967795539681</v>
      </c>
      <c r="R8" s="51">
        <v>4075.8052806259766</v>
      </c>
      <c r="S8" s="51">
        <v>4756.0360185291884</v>
      </c>
      <c r="T8" s="51">
        <v>5756.7531499775187</v>
      </c>
      <c r="U8" s="51">
        <v>6118.5697417838855</v>
      </c>
      <c r="V8" s="51">
        <v>7166.6868703575547</v>
      </c>
      <c r="W8" s="51">
        <v>8316.5451148567372</v>
      </c>
      <c r="X8" s="51">
        <v>8527.9148094057164</v>
      </c>
      <c r="Y8" s="51">
        <v>9134.3426012134223</v>
      </c>
      <c r="Z8" s="51">
        <v>10093.378566321686</v>
      </c>
      <c r="AA8" s="51">
        <v>11650.42368738663</v>
      </c>
      <c r="AB8" s="51">
        <v>14295.554556507012</v>
      </c>
      <c r="AC8" s="51">
        <v>14312.113570864482</v>
      </c>
      <c r="AD8" s="51">
        <v>17124.536669419213</v>
      </c>
      <c r="AE8" s="51">
        <v>17905.185823046639</v>
      </c>
      <c r="AF8" s="51">
        <v>19703.406778753095</v>
      </c>
      <c r="AG8" s="51">
        <v>31534.291268143883</v>
      </c>
      <c r="AH8" s="51">
        <v>50525.57746860211</v>
      </c>
      <c r="AI8" s="51">
        <v>69946.752421726502</v>
      </c>
      <c r="AJ8" s="51">
        <v>84401.421682819622</v>
      </c>
      <c r="AK8" s="51">
        <v>100609.55889635242</v>
      </c>
      <c r="AL8" s="51">
        <v>140931.91646952118</v>
      </c>
      <c r="AM8" s="51">
        <v>214996.24663064824</v>
      </c>
      <c r="AN8" s="51">
        <v>307641.70013453782</v>
      </c>
      <c r="AO8" s="51">
        <v>428987.08402503218</v>
      </c>
      <c r="AP8" s="51">
        <v>543994.56099421286</v>
      </c>
      <c r="AQ8" s="51">
        <v>646728.68698245764</v>
      </c>
      <c r="AR8" s="51">
        <v>823167.59033582755</v>
      </c>
      <c r="AS8" s="51">
        <v>942464.01823992247</v>
      </c>
      <c r="AT8" s="51">
        <v>1035522.7435080708</v>
      </c>
      <c r="AU8" s="51">
        <v>1119870.2412279306</v>
      </c>
      <c r="AV8" s="51">
        <v>1101163.1453305627</v>
      </c>
      <c r="AW8" s="51">
        <v>1245108.2740549131</v>
      </c>
      <c r="AX8" s="52">
        <v>1331732.8374617849</v>
      </c>
    </row>
    <row r="9" spans="1:50" ht="13">
      <c r="A9" s="507" t="s">
        <v>1022</v>
      </c>
      <c r="B9" s="496"/>
      <c r="C9" s="548">
        <v>1511.6104374974109</v>
      </c>
      <c r="D9" s="39">
        <v>1241.1422745227781</v>
      </c>
      <c r="E9" s="39">
        <v>1473.9659458775384</v>
      </c>
      <c r="F9" s="39">
        <v>1720.6420151385239</v>
      </c>
      <c r="G9" s="39">
        <v>1826.0791015905504</v>
      </c>
      <c r="H9" s="39">
        <v>1821.2610511495598</v>
      </c>
      <c r="I9" s="39">
        <v>2046.353567147388</v>
      </c>
      <c r="J9" s="39">
        <v>2379.0560851305631</v>
      </c>
      <c r="K9" s="39">
        <v>2195.6983962661106</v>
      </c>
      <c r="L9" s="39">
        <v>2343.0609214194615</v>
      </c>
      <c r="M9" s="39">
        <v>2558.7849661572882</v>
      </c>
      <c r="N9" s="39">
        <v>2519.6963058403448</v>
      </c>
      <c r="O9" s="39">
        <v>2211.684638368235</v>
      </c>
      <c r="P9" s="39">
        <v>2640.619302349493</v>
      </c>
      <c r="Q9" s="39">
        <v>2901.2561802561477</v>
      </c>
      <c r="R9" s="39">
        <v>2800.03849956465</v>
      </c>
      <c r="S9" s="39">
        <v>3185.880852901611</v>
      </c>
      <c r="T9" s="39">
        <v>3864.1662073147722</v>
      </c>
      <c r="U9" s="39">
        <v>3987.0015903560934</v>
      </c>
      <c r="V9" s="39">
        <v>4429.4147170705082</v>
      </c>
      <c r="W9" s="39">
        <v>4840.4846836011657</v>
      </c>
      <c r="X9" s="39">
        <v>4777.1105270631824</v>
      </c>
      <c r="Y9" s="39">
        <v>4828.095267164289</v>
      </c>
      <c r="Z9" s="39">
        <v>5157.0967333337076</v>
      </c>
      <c r="AA9" s="39">
        <v>5698.3866780342432</v>
      </c>
      <c r="AB9" s="39">
        <v>6646.1664143690004</v>
      </c>
      <c r="AC9" s="39">
        <v>5769.9915007781156</v>
      </c>
      <c r="AD9" s="39">
        <v>7807.5519353619247</v>
      </c>
      <c r="AE9" s="39">
        <v>8838.2569166363119</v>
      </c>
      <c r="AF9" s="39">
        <v>8562.8866359621497</v>
      </c>
      <c r="AG9" s="39">
        <v>11426.366824338131</v>
      </c>
      <c r="AH9" s="39">
        <v>16837.551843063797</v>
      </c>
      <c r="AI9" s="39">
        <v>22233.543130312806</v>
      </c>
      <c r="AJ9" s="39">
        <v>22429.387809611166</v>
      </c>
      <c r="AK9" s="39">
        <v>25729.678061673811</v>
      </c>
      <c r="AL9" s="39">
        <v>34894.537817706936</v>
      </c>
      <c r="AM9" s="39">
        <v>47973.376743648907</v>
      </c>
      <c r="AN9" s="39">
        <v>61914.377079056278</v>
      </c>
      <c r="AO9" s="39">
        <v>77298.942229951019</v>
      </c>
      <c r="AP9" s="39">
        <v>94197.248789120917</v>
      </c>
      <c r="AQ9" s="39">
        <v>101492.439497246</v>
      </c>
      <c r="AR9" s="39">
        <v>121591.65003711807</v>
      </c>
      <c r="AS9" s="39">
        <v>139091.36659375005</v>
      </c>
      <c r="AT9" s="39">
        <v>158720.03433852497</v>
      </c>
      <c r="AU9" s="39">
        <v>177704.04242369367</v>
      </c>
      <c r="AV9" s="39">
        <v>167303.36347146632</v>
      </c>
      <c r="AW9" s="39">
        <v>197243.26501586777</v>
      </c>
      <c r="AX9" s="42">
        <v>221521.47009536534</v>
      </c>
    </row>
    <row r="10" spans="1:50" ht="13">
      <c r="A10" s="507" t="s">
        <v>1023</v>
      </c>
      <c r="B10" s="496"/>
      <c r="C10" s="548">
        <v>868.47076631912523</v>
      </c>
      <c r="D10" s="39">
        <v>604.94551853340056</v>
      </c>
      <c r="E10" s="39">
        <v>892.90019699373829</v>
      </c>
      <c r="F10" s="39">
        <v>1014.0165957017939</v>
      </c>
      <c r="G10" s="39">
        <v>1240.361222273317</v>
      </c>
      <c r="H10" s="39">
        <v>1237.2940218448848</v>
      </c>
      <c r="I10" s="39">
        <v>1331.1230720957108</v>
      </c>
      <c r="J10" s="39">
        <v>1585.7702975245836</v>
      </c>
      <c r="K10" s="39">
        <v>1407.6797051517829</v>
      </c>
      <c r="L10" s="39">
        <v>1606.7781880288305</v>
      </c>
      <c r="M10" s="39">
        <v>1721.782056481884</v>
      </c>
      <c r="N10" s="39">
        <v>1724.3350514320543</v>
      </c>
      <c r="O10" s="39">
        <v>1435.192730406407</v>
      </c>
      <c r="P10" s="39">
        <v>1833.5534226646043</v>
      </c>
      <c r="Q10" s="39">
        <v>2137.5726151865933</v>
      </c>
      <c r="R10" s="39">
        <v>1894.0443739317518</v>
      </c>
      <c r="S10" s="39">
        <v>2072.5813568178232</v>
      </c>
      <c r="T10" s="39">
        <v>2589.4835024301819</v>
      </c>
      <c r="U10" s="39">
        <v>2591.5021224182833</v>
      </c>
      <c r="V10" s="39">
        <v>2937.0936579463441</v>
      </c>
      <c r="W10" s="39">
        <v>3205.9140565359271</v>
      </c>
      <c r="X10" s="39">
        <v>2913.2455614998912</v>
      </c>
      <c r="Y10" s="39">
        <v>3035.8843683698974</v>
      </c>
      <c r="Z10" s="39">
        <v>2983.249593527526</v>
      </c>
      <c r="AA10" s="39">
        <v>3360.9710337581369</v>
      </c>
      <c r="AB10" s="39">
        <v>3830.0169263107518</v>
      </c>
      <c r="AC10" s="39">
        <v>2781.7156692476437</v>
      </c>
      <c r="AD10" s="39">
        <v>3886.0601832800958</v>
      </c>
      <c r="AE10" s="39">
        <v>5397.4885442041696</v>
      </c>
      <c r="AF10" s="39">
        <v>4482.7395370062777</v>
      </c>
      <c r="AG10" s="39">
        <v>6061.4315447175868</v>
      </c>
      <c r="AH10" s="39">
        <v>8739.0464445498565</v>
      </c>
      <c r="AI10" s="39">
        <v>11433.395131085477</v>
      </c>
      <c r="AJ10" s="39">
        <v>10770.468856241729</v>
      </c>
      <c r="AK10" s="39">
        <v>12778.384124294358</v>
      </c>
      <c r="AL10" s="39">
        <v>19292.019357787896</v>
      </c>
      <c r="AM10" s="39">
        <v>25957.584633348721</v>
      </c>
      <c r="AN10" s="39">
        <v>33883.756253070373</v>
      </c>
      <c r="AO10" s="39">
        <v>44014.884153542916</v>
      </c>
      <c r="AP10" s="39">
        <v>49923.515365898849</v>
      </c>
      <c r="AQ10" s="39">
        <v>53335.123008849558</v>
      </c>
      <c r="AR10" s="39">
        <v>67288.500889679708</v>
      </c>
      <c r="AS10" s="39">
        <v>78353.652346977411</v>
      </c>
      <c r="AT10" s="39">
        <v>91834.999026290185</v>
      </c>
      <c r="AU10" s="39">
        <v>97829.011995637949</v>
      </c>
      <c r="AV10" s="39">
        <v>93373.884938829986</v>
      </c>
      <c r="AW10" s="39">
        <v>114425.41635673498</v>
      </c>
      <c r="AX10" s="42">
        <v>138011.10354202759</v>
      </c>
    </row>
    <row r="11" spans="1:50" ht="13">
      <c r="A11" s="507" t="s">
        <v>1024</v>
      </c>
      <c r="B11" s="496"/>
      <c r="C11" s="548">
        <v>642.86066756817718</v>
      </c>
      <c r="D11" s="39">
        <v>635.8357532038624</v>
      </c>
      <c r="E11" s="39">
        <v>580.46136008506721</v>
      </c>
      <c r="F11" s="39">
        <v>705.92941943672986</v>
      </c>
      <c r="G11" s="39">
        <v>583.99887873482214</v>
      </c>
      <c r="H11" s="39">
        <v>582.04702930467499</v>
      </c>
      <c r="I11" s="39">
        <v>713.05349505167726</v>
      </c>
      <c r="J11" s="39">
        <v>791.04778715875227</v>
      </c>
      <c r="K11" s="39">
        <v>784.43969111432796</v>
      </c>
      <c r="L11" s="39">
        <v>732.04373315461476</v>
      </c>
      <c r="M11" s="39">
        <v>835.00390967540432</v>
      </c>
      <c r="N11" s="39">
        <v>792.6807923883797</v>
      </c>
      <c r="O11" s="39">
        <v>773.960179650584</v>
      </c>
      <c r="P11" s="39">
        <v>802.73089218488826</v>
      </c>
      <c r="Q11" s="39">
        <v>760.26824141810141</v>
      </c>
      <c r="R11" s="39">
        <v>902.38522769292524</v>
      </c>
      <c r="S11" s="39">
        <v>1107.4925532795735</v>
      </c>
      <c r="T11" s="39">
        <v>1266.5809046821018</v>
      </c>
      <c r="U11" s="39">
        <v>1387.5463113410333</v>
      </c>
      <c r="V11" s="39">
        <v>1482.5694977641458</v>
      </c>
      <c r="W11" s="39">
        <v>1622.3843091440767</v>
      </c>
      <c r="X11" s="39">
        <v>1850.9238181064329</v>
      </c>
      <c r="Y11" s="39">
        <v>1778.6039584520029</v>
      </c>
      <c r="Z11" s="39">
        <v>2156.1729786741062</v>
      </c>
      <c r="AA11" s="39">
        <v>2316.9358516994612</v>
      </c>
      <c r="AB11" s="39">
        <v>2792.6326913925659</v>
      </c>
      <c r="AC11" s="39">
        <v>2969.3240910055642</v>
      </c>
      <c r="AD11" s="39">
        <v>3898.649242243252</v>
      </c>
      <c r="AE11" s="39">
        <v>3417.7053781154505</v>
      </c>
      <c r="AF11" s="39">
        <v>4059.0203006482993</v>
      </c>
      <c r="AG11" s="39">
        <v>5325.0273377771709</v>
      </c>
      <c r="AH11" s="39">
        <v>8054.6528689637316</v>
      </c>
      <c r="AI11" s="39">
        <v>10720.108700498131</v>
      </c>
      <c r="AJ11" s="39">
        <v>11573.334242849758</v>
      </c>
      <c r="AK11" s="39">
        <v>12848.616984687058</v>
      </c>
      <c r="AL11" s="39">
        <v>15487.720200856742</v>
      </c>
      <c r="AM11" s="39">
        <v>21884.064191590202</v>
      </c>
      <c r="AN11" s="39">
        <v>27845.334686702059</v>
      </c>
      <c r="AO11" s="39">
        <v>33111.75389559615</v>
      </c>
      <c r="AP11" s="39">
        <v>44100.30054145238</v>
      </c>
      <c r="AQ11" s="39">
        <v>47950.48717948718</v>
      </c>
      <c r="AR11" s="39">
        <v>54007.129579982124</v>
      </c>
      <c r="AS11" s="39">
        <v>60423.474491889021</v>
      </c>
      <c r="AT11" s="39">
        <v>66601.259113300504</v>
      </c>
      <c r="AU11" s="39">
        <v>79539.857142857145</v>
      </c>
      <c r="AV11" s="39">
        <v>73434.480382775131</v>
      </c>
      <c r="AW11" s="39">
        <v>82188.391389432494</v>
      </c>
      <c r="AX11" s="42">
        <v>82547.032567049799</v>
      </c>
    </row>
    <row r="12" spans="1:50" ht="13">
      <c r="A12" s="507" t="s">
        <v>1025</v>
      </c>
      <c r="B12" s="496"/>
      <c r="C12" s="548">
        <v>0.27900361010830321</v>
      </c>
      <c r="D12" s="39">
        <v>0.36100278551532033</v>
      </c>
      <c r="E12" s="39">
        <v>0.60438879873300166</v>
      </c>
      <c r="F12" s="39">
        <v>0.69599999999999995</v>
      </c>
      <c r="G12" s="39">
        <v>1.7190005824111823</v>
      </c>
      <c r="H12" s="39">
        <v>1.92</v>
      </c>
      <c r="I12" s="39">
        <v>2.177</v>
      </c>
      <c r="J12" s="39">
        <v>2.2380004472271917</v>
      </c>
      <c r="K12" s="39">
        <v>3.5790000000000002</v>
      </c>
      <c r="L12" s="39">
        <v>4.2390002360160484</v>
      </c>
      <c r="M12" s="39">
        <v>1.9989999999999999</v>
      </c>
      <c r="N12" s="39">
        <v>2.6804620199108213</v>
      </c>
      <c r="O12" s="39">
        <v>2.5317283112436169</v>
      </c>
      <c r="P12" s="39">
        <v>4.3349875000000004</v>
      </c>
      <c r="Q12" s="39">
        <v>3.4153236514522818</v>
      </c>
      <c r="R12" s="39">
        <v>3.6088979399727492</v>
      </c>
      <c r="S12" s="39">
        <v>5.8069428042141675</v>
      </c>
      <c r="T12" s="39">
        <v>8.1018002024879454</v>
      </c>
      <c r="U12" s="39">
        <v>7.9531565967764974</v>
      </c>
      <c r="V12" s="39">
        <v>9.7515613600170834</v>
      </c>
      <c r="W12" s="39">
        <v>12.186317921162672</v>
      </c>
      <c r="X12" s="39">
        <v>12.941147456858232</v>
      </c>
      <c r="Y12" s="39">
        <v>13.606940342388722</v>
      </c>
      <c r="Z12" s="39">
        <v>17.674161132075245</v>
      </c>
      <c r="AA12" s="39">
        <v>20.47979257664521</v>
      </c>
      <c r="AB12" s="39">
        <v>23.516796665681081</v>
      </c>
      <c r="AC12" s="39">
        <v>18.951740524909077</v>
      </c>
      <c r="AD12" s="39">
        <v>22.84250983857665</v>
      </c>
      <c r="AE12" s="39">
        <v>23.062994316693732</v>
      </c>
      <c r="AF12" s="39">
        <v>21.126798307572574</v>
      </c>
      <c r="AG12" s="39">
        <v>39.907941843373031</v>
      </c>
      <c r="AH12" s="39">
        <v>43.852529550208573</v>
      </c>
      <c r="AI12" s="39">
        <v>80.03929872920402</v>
      </c>
      <c r="AJ12" s="39">
        <v>85.584710519678808</v>
      </c>
      <c r="AK12" s="39">
        <v>102.67695269239601</v>
      </c>
      <c r="AL12" s="39">
        <v>114.7982590623031</v>
      </c>
      <c r="AM12" s="39">
        <v>131.72791870998691</v>
      </c>
      <c r="AN12" s="39">
        <v>185.2861392838538</v>
      </c>
      <c r="AO12" s="39">
        <v>172.30418081196694</v>
      </c>
      <c r="AP12" s="39">
        <v>173.43288176967013</v>
      </c>
      <c r="AQ12" s="39">
        <v>206.82930890924229</v>
      </c>
      <c r="AR12" s="39">
        <v>296.01956745623067</v>
      </c>
      <c r="AS12" s="39">
        <v>314.23975488360134</v>
      </c>
      <c r="AT12" s="39">
        <v>283.77619893428067</v>
      </c>
      <c r="AU12" s="39">
        <v>335.1732851985559</v>
      </c>
      <c r="AV12" s="39">
        <v>494.9981498612396</v>
      </c>
      <c r="AW12" s="39">
        <v>629.45726970033286</v>
      </c>
      <c r="AX12" s="42">
        <v>963.33398628795305</v>
      </c>
    </row>
    <row r="13" spans="1:50" ht="13">
      <c r="A13" s="507" t="s">
        <v>1026</v>
      </c>
      <c r="B13" s="496"/>
      <c r="C13" s="548">
        <v>90.334786150667895</v>
      </c>
      <c r="D13" s="39">
        <v>85.313024202267371</v>
      </c>
      <c r="E13" s="39">
        <v>100.38389744011027</v>
      </c>
      <c r="F13" s="39">
        <v>119.39887179391374</v>
      </c>
      <c r="G13" s="39">
        <v>107.7106832966368</v>
      </c>
      <c r="H13" s="39">
        <v>104.34215825438966</v>
      </c>
      <c r="I13" s="39">
        <v>132.26449916324111</v>
      </c>
      <c r="J13" s="39">
        <v>179.62765509613192</v>
      </c>
      <c r="K13" s="39">
        <v>169.33946521665604</v>
      </c>
      <c r="L13" s="39">
        <v>190.69655430459395</v>
      </c>
      <c r="M13" s="39">
        <v>176.17467011199562</v>
      </c>
      <c r="N13" s="39">
        <v>170.41787695182475</v>
      </c>
      <c r="O13" s="39">
        <v>181.05341939637984</v>
      </c>
      <c r="P13" s="39">
        <v>208.83326287108466</v>
      </c>
      <c r="Q13" s="39">
        <v>273.04610504480178</v>
      </c>
      <c r="R13" s="39">
        <v>565.52759801143804</v>
      </c>
      <c r="S13" s="39">
        <v>740.50076848217009</v>
      </c>
      <c r="T13" s="39">
        <v>932.68874079639056</v>
      </c>
      <c r="U13" s="39">
        <v>1032.8803689325912</v>
      </c>
      <c r="V13" s="39">
        <v>1360.7591996060885</v>
      </c>
      <c r="W13" s="39">
        <v>1894.8333841445813</v>
      </c>
      <c r="X13" s="39">
        <v>2153.7156939400384</v>
      </c>
      <c r="Y13" s="39">
        <v>2541.5896139687175</v>
      </c>
      <c r="Z13" s="39">
        <v>3030.4267643473554</v>
      </c>
      <c r="AA13" s="39">
        <v>3721.0283295790427</v>
      </c>
      <c r="AB13" s="39">
        <v>4936.3983365357008</v>
      </c>
      <c r="AC13" s="39">
        <v>5671.7626247487569</v>
      </c>
      <c r="AD13" s="39">
        <v>5746.7781463796628</v>
      </c>
      <c r="AE13" s="39">
        <v>5872.5949193852985</v>
      </c>
      <c r="AF13" s="39">
        <v>7324.6881576681008</v>
      </c>
      <c r="AG13" s="39">
        <v>12901.017440035979</v>
      </c>
      <c r="AH13" s="39">
        <v>22275.296304282798</v>
      </c>
      <c r="AI13" s="39">
        <v>32048.346687100355</v>
      </c>
      <c r="AJ13" s="39">
        <v>40026.835857757746</v>
      </c>
      <c r="AK13" s="39">
        <v>52253.947335340854</v>
      </c>
      <c r="AL13" s="39">
        <v>72377.830812081942</v>
      </c>
      <c r="AM13" s="39">
        <v>120872.65661782587</v>
      </c>
      <c r="AN13" s="39">
        <v>188309.30866448054</v>
      </c>
      <c r="AO13" s="39">
        <v>270729.64175959281</v>
      </c>
      <c r="AP13" s="39">
        <v>358183.66993502335</v>
      </c>
      <c r="AQ13" s="39">
        <v>422471.81399238855</v>
      </c>
      <c r="AR13" s="39">
        <v>548043.99282596435</v>
      </c>
      <c r="AS13" s="39">
        <v>625532.80547299387</v>
      </c>
      <c r="AT13" s="39">
        <v>689481.51693653583</v>
      </c>
      <c r="AU13" s="39">
        <v>744623.67418112129</v>
      </c>
      <c r="AV13" s="39">
        <v>711731.26565823215</v>
      </c>
      <c r="AW13" s="39">
        <v>786394.20969912247</v>
      </c>
      <c r="AX13" s="42">
        <v>817637.46890082059</v>
      </c>
    </row>
    <row r="14" spans="1:50" ht="13">
      <c r="A14" s="507" t="s">
        <v>1027</v>
      </c>
      <c r="B14" s="496"/>
      <c r="C14" s="548">
        <v>68.62031120530186</v>
      </c>
      <c r="D14" s="39">
        <v>62.726112731870678</v>
      </c>
      <c r="E14" s="39">
        <v>64.692939609722444</v>
      </c>
      <c r="F14" s="39">
        <v>72.585204375354436</v>
      </c>
      <c r="G14" s="39">
        <v>63.947346862532868</v>
      </c>
      <c r="H14" s="39">
        <v>58.962001557225037</v>
      </c>
      <c r="I14" s="39">
        <v>80.181330016993968</v>
      </c>
      <c r="J14" s="39">
        <v>122.73036709683016</v>
      </c>
      <c r="K14" s="39">
        <v>102.00883689263041</v>
      </c>
      <c r="L14" s="39">
        <v>124.90177236081692</v>
      </c>
      <c r="M14" s="39">
        <v>112.12588784639746</v>
      </c>
      <c r="N14" s="39">
        <v>105.13185590923682</v>
      </c>
      <c r="O14" s="39">
        <v>128.91736044928723</v>
      </c>
      <c r="P14" s="39">
        <v>150.48112969043646</v>
      </c>
      <c r="Q14" s="39">
        <v>194.79709492416126</v>
      </c>
      <c r="R14" s="39">
        <v>484.57464066400854</v>
      </c>
      <c r="S14" s="39">
        <v>619.40222993991267</v>
      </c>
      <c r="T14" s="39">
        <v>757.80702076947102</v>
      </c>
      <c r="U14" s="39">
        <v>907.28271125961294</v>
      </c>
      <c r="V14" s="39">
        <v>1180.9001978027434</v>
      </c>
      <c r="W14" s="39">
        <v>1626.3953907026757</v>
      </c>
      <c r="X14" s="39">
        <v>1852.9648944383471</v>
      </c>
      <c r="Y14" s="39">
        <v>2137.8412240513808</v>
      </c>
      <c r="Z14" s="39">
        <v>2613.0589475575002</v>
      </c>
      <c r="AA14" s="39">
        <v>3233.5070009928322</v>
      </c>
      <c r="AB14" s="39">
        <v>4429.916920923295</v>
      </c>
      <c r="AC14" s="39">
        <v>5016.0190081572528</v>
      </c>
      <c r="AD14" s="39">
        <v>4918.923970979803</v>
      </c>
      <c r="AE14" s="39">
        <v>4881.924808719712</v>
      </c>
      <c r="AF14" s="39">
        <v>5864.0628957825675</v>
      </c>
      <c r="AG14" s="39">
        <v>10481.095791112146</v>
      </c>
      <c r="AH14" s="39">
        <v>17442.151531221069</v>
      </c>
      <c r="AI14" s="39">
        <v>25284.998020030525</v>
      </c>
      <c r="AJ14" s="39">
        <v>31530.220047087543</v>
      </c>
      <c r="AK14" s="39">
        <v>42320.81607506553</v>
      </c>
      <c r="AL14" s="39">
        <v>57745.989902222689</v>
      </c>
      <c r="AM14" s="39">
        <v>91968.490729854762</v>
      </c>
      <c r="AN14" s="39">
        <v>143607.67879118808</v>
      </c>
      <c r="AO14" s="39">
        <v>197927.75823518171</v>
      </c>
      <c r="AP14" s="39">
        <v>259647.19997716145</v>
      </c>
      <c r="AQ14" s="39">
        <v>303583.90900649951</v>
      </c>
      <c r="AR14" s="39">
        <v>398776.5187376726</v>
      </c>
      <c r="AS14" s="39">
        <v>450657.40794984199</v>
      </c>
      <c r="AT14" s="39">
        <v>497109.78957528953</v>
      </c>
      <c r="AU14" s="39">
        <v>529666.76808721514</v>
      </c>
      <c r="AV14" s="39">
        <v>485926.89718719688</v>
      </c>
      <c r="AW14" s="39">
        <v>520051.10951008648</v>
      </c>
      <c r="AX14" s="42">
        <v>547404.07046332047</v>
      </c>
    </row>
    <row r="15" spans="1:50" ht="13">
      <c r="A15" s="507" t="s">
        <v>1028</v>
      </c>
      <c r="B15" s="496"/>
      <c r="C15" s="548">
        <v>21.714474945366018</v>
      </c>
      <c r="D15" s="39">
        <v>22.586911470396693</v>
      </c>
      <c r="E15" s="39">
        <v>35.690957830387809</v>
      </c>
      <c r="F15" s="39">
        <v>46.813667418559291</v>
      </c>
      <c r="G15" s="39">
        <v>43.763336434103934</v>
      </c>
      <c r="H15" s="39">
        <v>45.380156697164651</v>
      </c>
      <c r="I15" s="39">
        <v>52.08316914624718</v>
      </c>
      <c r="J15" s="39">
        <v>56.897287999301746</v>
      </c>
      <c r="K15" s="39">
        <v>67.330628324025611</v>
      </c>
      <c r="L15" s="39">
        <v>65.794781943777039</v>
      </c>
      <c r="M15" s="39">
        <v>64.048782265598163</v>
      </c>
      <c r="N15" s="39">
        <v>65.286021042587947</v>
      </c>
      <c r="O15" s="39">
        <v>52.136058947092621</v>
      </c>
      <c r="P15" s="39">
        <v>58.352133180648217</v>
      </c>
      <c r="Q15" s="39">
        <v>78.249010120640477</v>
      </c>
      <c r="R15" s="39">
        <v>80.952957347429475</v>
      </c>
      <c r="S15" s="39">
        <v>121.09853854225732</v>
      </c>
      <c r="T15" s="39">
        <v>174.88172002691945</v>
      </c>
      <c r="U15" s="39">
        <v>125.5976576729782</v>
      </c>
      <c r="V15" s="39">
        <v>179.85900180334474</v>
      </c>
      <c r="W15" s="39">
        <v>268.43799344190558</v>
      </c>
      <c r="X15" s="39">
        <v>300.7507995016914</v>
      </c>
      <c r="Y15" s="39">
        <v>403.74838991733628</v>
      </c>
      <c r="Z15" s="39">
        <v>417.36781678985517</v>
      </c>
      <c r="AA15" s="39">
        <v>487.52132858620956</v>
      </c>
      <c r="AB15" s="39">
        <v>506.48141561240533</v>
      </c>
      <c r="AC15" s="39">
        <v>655.74361659150441</v>
      </c>
      <c r="AD15" s="39">
        <v>827.85417539985986</v>
      </c>
      <c r="AE15" s="39">
        <v>990.67011066558609</v>
      </c>
      <c r="AF15" s="39">
        <v>1460.6252618855333</v>
      </c>
      <c r="AG15" s="39">
        <v>2419.9216489238338</v>
      </c>
      <c r="AH15" s="39">
        <v>4833.1447730617274</v>
      </c>
      <c r="AI15" s="39">
        <v>6763.3486670698385</v>
      </c>
      <c r="AJ15" s="39">
        <v>8496.6158106702023</v>
      </c>
      <c r="AK15" s="39">
        <v>9933.1312602753278</v>
      </c>
      <c r="AL15" s="39">
        <v>14631.840909859262</v>
      </c>
      <c r="AM15" s="39">
        <v>28904.165887971085</v>
      </c>
      <c r="AN15" s="39">
        <v>44701.629873292426</v>
      </c>
      <c r="AO15" s="39">
        <v>72801.883524411096</v>
      </c>
      <c r="AP15" s="39">
        <v>98536.469957862006</v>
      </c>
      <c r="AQ15" s="39">
        <v>118887.90498588901</v>
      </c>
      <c r="AR15" s="39">
        <v>149267.47408829172</v>
      </c>
      <c r="AS15" s="39">
        <v>174875.39752315186</v>
      </c>
      <c r="AT15" s="39">
        <v>192371.72736124639</v>
      </c>
      <c r="AU15" s="39">
        <v>214956.90609390612</v>
      </c>
      <c r="AV15" s="39">
        <v>225804.36847103515</v>
      </c>
      <c r="AW15" s="39">
        <v>266343.10018903587</v>
      </c>
      <c r="AX15" s="42">
        <v>270233.3984375</v>
      </c>
    </row>
    <row r="16" spans="1:50" ht="13">
      <c r="A16" s="507" t="s">
        <v>1029</v>
      </c>
      <c r="B16" s="496"/>
      <c r="C16" s="548">
        <v>295.99890260415424</v>
      </c>
      <c r="D16" s="39">
        <v>306.86681776156132</v>
      </c>
      <c r="E16" s="39">
        <v>296.37149165356351</v>
      </c>
      <c r="F16" s="39">
        <v>360.42224573833431</v>
      </c>
      <c r="G16" s="39">
        <v>348.55145689994816</v>
      </c>
      <c r="H16" s="39">
        <v>372.19000447844996</v>
      </c>
      <c r="I16" s="39">
        <v>388.81273280245756</v>
      </c>
      <c r="J16" s="39">
        <v>436.42752110442137</v>
      </c>
      <c r="K16" s="39">
        <v>487.95318993056753</v>
      </c>
      <c r="L16" s="39">
        <v>511.11997370748151</v>
      </c>
      <c r="M16" s="39">
        <v>595.60936090561154</v>
      </c>
      <c r="N16" s="39">
        <v>570.1324638786781</v>
      </c>
      <c r="O16" s="39">
        <v>462.92176410496671</v>
      </c>
      <c r="P16" s="39">
        <v>469.17467719342545</v>
      </c>
      <c r="Q16" s="39">
        <v>587.89449425301802</v>
      </c>
      <c r="R16" s="39">
        <v>710.23918304988797</v>
      </c>
      <c r="S16" s="39">
        <v>829.6543971454073</v>
      </c>
      <c r="T16" s="39">
        <v>959.89820186635484</v>
      </c>
      <c r="U16" s="39">
        <v>1098.6877824952014</v>
      </c>
      <c r="V16" s="39">
        <v>1376.5129536809584</v>
      </c>
      <c r="W16" s="39">
        <v>1581.2270471109896</v>
      </c>
      <c r="X16" s="39">
        <v>1597.0885884024954</v>
      </c>
      <c r="Y16" s="39">
        <v>1764.6577200804147</v>
      </c>
      <c r="Z16" s="39">
        <v>1905.8550686406254</v>
      </c>
      <c r="AA16" s="39">
        <v>2231.0086797733443</v>
      </c>
      <c r="AB16" s="39">
        <v>2712.989805602313</v>
      </c>
      <c r="AC16" s="39">
        <v>2870.359445337609</v>
      </c>
      <c r="AD16" s="39">
        <v>3570.2065876776282</v>
      </c>
      <c r="AE16" s="39">
        <v>3194.3339870250288</v>
      </c>
      <c r="AF16" s="39">
        <v>3815.8319851228448</v>
      </c>
      <c r="AG16" s="39">
        <v>7206.9070037697702</v>
      </c>
      <c r="AH16" s="39">
        <v>11412.729321255521</v>
      </c>
      <c r="AI16" s="39">
        <v>15664.862604313321</v>
      </c>
      <c r="AJ16" s="39">
        <v>21945.1980154507</v>
      </c>
      <c r="AK16" s="39">
        <v>22625.933499337756</v>
      </c>
      <c r="AL16" s="39">
        <v>33659.547839732317</v>
      </c>
      <c r="AM16" s="39">
        <v>46150.213269173473</v>
      </c>
      <c r="AN16" s="39">
        <v>57418.014391001052</v>
      </c>
      <c r="AO16" s="39">
        <v>80958.50003548828</v>
      </c>
      <c r="AP16" s="39">
        <v>91613.642270068667</v>
      </c>
      <c r="AQ16" s="39">
        <v>122764.43349282298</v>
      </c>
      <c r="AR16" s="39">
        <v>153531.94747274529</v>
      </c>
      <c r="AS16" s="39">
        <v>177839.84617317875</v>
      </c>
      <c r="AT16" s="39">
        <v>187321.1922330097</v>
      </c>
      <c r="AU16" s="39">
        <v>197542.52462311558</v>
      </c>
      <c r="AV16" s="39">
        <v>222128.51620086457</v>
      </c>
      <c r="AW16" s="39">
        <v>261470.79933992284</v>
      </c>
      <c r="AX16" s="42">
        <v>292573.89846559876</v>
      </c>
    </row>
    <row r="17" spans="1:50" ht="13">
      <c r="A17" s="507" t="s">
        <v>1030</v>
      </c>
      <c r="B17" s="496"/>
      <c r="C17" s="548">
        <v>39.889540913633361</v>
      </c>
      <c r="D17" s="39">
        <v>28.470930016353414</v>
      </c>
      <c r="E17" s="39">
        <v>35.345980185377606</v>
      </c>
      <c r="F17" s="39">
        <v>43.923042650153945</v>
      </c>
      <c r="G17" s="39">
        <v>60.85288478049965</v>
      </c>
      <c r="H17" s="39">
        <v>59.240605596952285</v>
      </c>
      <c r="I17" s="39">
        <v>58.237322716197305</v>
      </c>
      <c r="J17" s="39">
        <v>63.008787906179741</v>
      </c>
      <c r="K17" s="39">
        <v>58.045492031294437</v>
      </c>
      <c r="L17" s="39">
        <v>55.222125551230484</v>
      </c>
      <c r="M17" s="39">
        <v>66.99794532884664</v>
      </c>
      <c r="N17" s="39">
        <v>80.740558742458333</v>
      </c>
      <c r="O17" s="39">
        <v>70.280898055716861</v>
      </c>
      <c r="P17" s="39">
        <v>64.77194969886898</v>
      </c>
      <c r="Q17" s="39">
        <v>87.465543695049035</v>
      </c>
      <c r="R17" s="39">
        <v>115.35541733316865</v>
      </c>
      <c r="S17" s="39">
        <v>167.2709265631141</v>
      </c>
      <c r="T17" s="39">
        <v>194.50377912856629</v>
      </c>
      <c r="U17" s="39">
        <v>256.61476584287607</v>
      </c>
      <c r="V17" s="39">
        <v>356.62680350763378</v>
      </c>
      <c r="W17" s="39">
        <v>507.12846959580992</v>
      </c>
      <c r="X17" s="39">
        <v>692.67852095404317</v>
      </c>
      <c r="Y17" s="39">
        <v>761.9481814973758</v>
      </c>
      <c r="Z17" s="39">
        <v>955.73195980272783</v>
      </c>
      <c r="AA17" s="39">
        <v>1310.8964010768743</v>
      </c>
      <c r="AB17" s="39">
        <v>1621.2546886472669</v>
      </c>
      <c r="AC17" s="39">
        <v>1737.4527800930473</v>
      </c>
      <c r="AD17" s="39">
        <v>2006.959736158437</v>
      </c>
      <c r="AE17" s="39">
        <v>1742.6395713423337</v>
      </c>
      <c r="AF17" s="39">
        <v>2479.4240791059792</v>
      </c>
      <c r="AG17" s="39">
        <v>3918.7042919295641</v>
      </c>
      <c r="AH17" s="39">
        <v>4947.2023609508433</v>
      </c>
      <c r="AI17" s="39">
        <v>7692.5330116809937</v>
      </c>
      <c r="AJ17" s="39">
        <v>11062.83957312932</v>
      </c>
      <c r="AK17" s="39">
        <v>14605.498302567501</v>
      </c>
      <c r="AL17" s="39">
        <v>19493.800196077533</v>
      </c>
      <c r="AM17" s="39">
        <v>30299.237244219337</v>
      </c>
      <c r="AN17" s="39">
        <v>33306.003539149213</v>
      </c>
      <c r="AO17" s="39">
        <v>41022.774817895544</v>
      </c>
      <c r="AP17" s="39">
        <v>58246.760678425904</v>
      </c>
      <c r="AQ17" s="39">
        <v>68505.067380207038</v>
      </c>
      <c r="AR17" s="39">
        <v>92394.802190899907</v>
      </c>
      <c r="AS17" s="39">
        <v>125384.87940684544</v>
      </c>
      <c r="AT17" s="39">
        <v>131391.3760919967</v>
      </c>
      <c r="AU17" s="39">
        <v>159602.02017245616</v>
      </c>
      <c r="AV17" s="39">
        <v>167071.68717073751</v>
      </c>
      <c r="AW17" s="39">
        <v>184742.69364198664</v>
      </c>
      <c r="AX17" s="42">
        <v>356986.99791299389</v>
      </c>
    </row>
    <row r="18" spans="1:50" ht="13">
      <c r="A18" s="507" t="s">
        <v>1031</v>
      </c>
      <c r="B18" s="496"/>
      <c r="C18" s="548">
        <v>8.7719985503490516</v>
      </c>
      <c r="D18" s="39">
        <v>2.2953966425337771</v>
      </c>
      <c r="E18" s="39">
        <v>3.7938208451453841</v>
      </c>
      <c r="F18" s="39">
        <v>2.7992368728121355</v>
      </c>
      <c r="G18" s="39">
        <v>4.3190633814667763</v>
      </c>
      <c r="H18" s="39">
        <v>3.8422594043887153</v>
      </c>
      <c r="I18" s="39">
        <v>5.654483834562896</v>
      </c>
      <c r="J18" s="39">
        <v>3.0637337567171468</v>
      </c>
      <c r="K18" s="39">
        <v>3.513157894736842</v>
      </c>
      <c r="L18" s="39">
        <v>6.2893474852245852</v>
      </c>
      <c r="M18" s="39">
        <v>3.4285163879598666</v>
      </c>
      <c r="N18" s="39">
        <v>6.2286653159272261</v>
      </c>
      <c r="O18" s="39">
        <v>3.0159397397040482</v>
      </c>
      <c r="P18" s="39">
        <v>1.9324246153846154</v>
      </c>
      <c r="Q18" s="39">
        <v>0.44811585365853646</v>
      </c>
      <c r="R18" s="39">
        <v>0.63316030534351153</v>
      </c>
      <c r="S18" s="39">
        <v>0.42677343750000002</v>
      </c>
      <c r="T18" s="39">
        <v>0.48707913669064751</v>
      </c>
      <c r="U18" s="39">
        <v>1.1072500000000001</v>
      </c>
      <c r="V18" s="39">
        <v>1.866454363564565</v>
      </c>
      <c r="W18" s="39">
        <v>0.99925253991291729</v>
      </c>
      <c r="X18" s="39">
        <v>0.87977328587652359</v>
      </c>
      <c r="Y18" s="39">
        <v>1.5049470198675494</v>
      </c>
      <c r="Z18" s="39">
        <v>2.6215820465654072</v>
      </c>
      <c r="AA18" s="39">
        <v>1.1121416386663221</v>
      </c>
      <c r="AB18" s="39">
        <v>0.99008859195180343</v>
      </c>
      <c r="AC18" s="39">
        <v>0.69844863013698621</v>
      </c>
      <c r="AD18" s="39">
        <v>7.1583653395784541</v>
      </c>
      <c r="AE18" s="39">
        <v>8.1552514483864318</v>
      </c>
      <c r="AF18" s="39">
        <v>24.78828025818817</v>
      </c>
      <c r="AG18" s="39">
        <v>14.864869620335313</v>
      </c>
      <c r="AH18" s="39">
        <v>106.59475976500799</v>
      </c>
      <c r="AI18" s="39">
        <v>496.39842448614252</v>
      </c>
      <c r="AJ18" s="39">
        <v>2438.661092339984</v>
      </c>
      <c r="AK18" s="39">
        <v>3522.1055894940837</v>
      </c>
      <c r="AL18" s="39">
        <v>4492.495942411424</v>
      </c>
      <c r="AM18" s="39">
        <v>5889.0922781627423</v>
      </c>
      <c r="AN18" s="39">
        <v>4371.6267757551495</v>
      </c>
      <c r="AO18" s="39">
        <v>7786.0730686293309</v>
      </c>
      <c r="AP18" s="39">
        <v>16765.537493347634</v>
      </c>
      <c r="AQ18" s="39">
        <v>23683.30067243036</v>
      </c>
      <c r="AR18" s="39">
        <v>39321.833161688985</v>
      </c>
      <c r="AS18" s="39">
        <v>44797.725284925116</v>
      </c>
      <c r="AT18" s="39">
        <v>34880.981781376518</v>
      </c>
      <c r="AU18" s="39">
        <v>50727.398916967504</v>
      </c>
      <c r="AV18" s="39">
        <v>54498.352254353522</v>
      </c>
      <c r="AW18" s="39">
        <v>35667.228429719878</v>
      </c>
      <c r="AX18" s="42">
        <v>177904.02181438421</v>
      </c>
    </row>
    <row r="19" spans="1:50" ht="13">
      <c r="A19" s="507" t="s">
        <v>1032</v>
      </c>
      <c r="B19" s="496"/>
      <c r="C19" s="548">
        <v>3.7039106710959584</v>
      </c>
      <c r="D19" s="39">
        <v>4.0689909372361388</v>
      </c>
      <c r="E19" s="39">
        <v>3.4099650109142923</v>
      </c>
      <c r="F19" s="39">
        <v>3.1843631396789016</v>
      </c>
      <c r="G19" s="39">
        <v>3.520506695836648</v>
      </c>
      <c r="H19" s="39">
        <v>3.0061540775014457</v>
      </c>
      <c r="I19" s="39">
        <v>4.3352328519788808</v>
      </c>
      <c r="J19" s="39">
        <v>3.2842292914012741</v>
      </c>
      <c r="K19" s="39">
        <v>5.4936153481119927</v>
      </c>
      <c r="L19" s="39">
        <v>2.5400965617830393</v>
      </c>
      <c r="M19" s="39">
        <v>3.2846733333333331</v>
      </c>
      <c r="N19" s="39">
        <v>2.8055983076600208</v>
      </c>
      <c r="O19" s="39">
        <v>0.9091164500643053</v>
      </c>
      <c r="P19" s="39">
        <v>0.97431961942257217</v>
      </c>
      <c r="Q19" s="39">
        <v>1.5947764080173072</v>
      </c>
      <c r="R19" s="39">
        <v>1.3442727150653053</v>
      </c>
      <c r="S19" s="39">
        <v>3.3693619379189457</v>
      </c>
      <c r="T19" s="39">
        <v>2.7086591371943585</v>
      </c>
      <c r="U19" s="39">
        <v>2.9662599264009102</v>
      </c>
      <c r="V19" s="39">
        <v>3.1904012223546143</v>
      </c>
      <c r="W19" s="39">
        <v>2.1648039307196645</v>
      </c>
      <c r="X19" s="39">
        <v>2.224447996377632</v>
      </c>
      <c r="Y19" s="39">
        <v>2.9465943971814035</v>
      </c>
      <c r="Z19" s="39">
        <v>3.2135664138412428</v>
      </c>
      <c r="AA19" s="39">
        <v>4.0306753394664803</v>
      </c>
      <c r="AB19" s="39">
        <v>2.4789868576801628</v>
      </c>
      <c r="AC19" s="39">
        <v>3.0090850952854895</v>
      </c>
      <c r="AD19" s="39">
        <v>4.8993852440191379</v>
      </c>
      <c r="AE19" s="39">
        <v>2.8523314192343605</v>
      </c>
      <c r="AF19" s="39">
        <v>2.5753367429986205</v>
      </c>
      <c r="AG19" s="39">
        <v>3.65767241535726</v>
      </c>
      <c r="AH19" s="39">
        <v>36.130956872747575</v>
      </c>
      <c r="AI19" s="39">
        <v>51.765051668970479</v>
      </c>
      <c r="AJ19" s="39">
        <v>225.82786557932022</v>
      </c>
      <c r="AK19" s="39">
        <v>233.2268796460468</v>
      </c>
      <c r="AL19" s="39">
        <v>394.35224358093706</v>
      </c>
      <c r="AM19" s="39">
        <v>1099.6528678081911</v>
      </c>
      <c r="AN19" s="39">
        <v>1536.9538798327333</v>
      </c>
      <c r="AO19" s="39">
        <v>2113.033468886149</v>
      </c>
      <c r="AP19" s="39">
        <v>2532.4031762070981</v>
      </c>
      <c r="AQ19" s="39">
        <v>4156.0695573622406</v>
      </c>
      <c r="AR19" s="39">
        <v>6973.6788389513104</v>
      </c>
      <c r="AS19" s="39">
        <v>14067.648882076986</v>
      </c>
      <c r="AT19" s="39">
        <v>17767.053069719044</v>
      </c>
      <c r="AU19" s="39">
        <v>19581.240667976424</v>
      </c>
      <c r="AV19" s="39">
        <v>18843.318277310926</v>
      </c>
      <c r="AW19" s="39">
        <v>24383.78652849741</v>
      </c>
      <c r="AX19" s="42">
        <v>25936.993110236221</v>
      </c>
    </row>
    <row r="20" spans="1:50" ht="13">
      <c r="A20" s="507" t="s">
        <v>1033</v>
      </c>
      <c r="B20" s="496"/>
      <c r="C20" s="548">
        <v>4.6268392303895851</v>
      </c>
      <c r="D20" s="39">
        <v>5.5742384570777013</v>
      </c>
      <c r="E20" s="39">
        <v>7.3893986596632004</v>
      </c>
      <c r="F20" s="39">
        <v>11.049360915883764</v>
      </c>
      <c r="G20" s="39">
        <v>8.7913842204745176</v>
      </c>
      <c r="H20" s="39">
        <v>9.1893427991513477</v>
      </c>
      <c r="I20" s="39">
        <v>15.602314517179298</v>
      </c>
      <c r="J20" s="39">
        <v>20.933394752132411</v>
      </c>
      <c r="K20" s="39">
        <v>16.779485311743034</v>
      </c>
      <c r="L20" s="39">
        <v>12.564857350220326</v>
      </c>
      <c r="M20" s="39">
        <v>19.673048504222962</v>
      </c>
      <c r="N20" s="39">
        <v>19.853619676498322</v>
      </c>
      <c r="O20" s="39">
        <v>17.055191529288781</v>
      </c>
      <c r="P20" s="39">
        <v>18.146386325315117</v>
      </c>
      <c r="Q20" s="39">
        <v>14.625185989341107</v>
      </c>
      <c r="R20" s="39">
        <v>15.612063288084604</v>
      </c>
      <c r="S20" s="39">
        <v>22.103024571419862</v>
      </c>
      <c r="T20" s="39">
        <v>25.509010459330689</v>
      </c>
      <c r="U20" s="39">
        <v>32.568314951331629</v>
      </c>
      <c r="V20" s="39">
        <v>38.853861476146733</v>
      </c>
      <c r="W20" s="39">
        <v>46.801865717719586</v>
      </c>
      <c r="X20" s="39">
        <v>59.297291126212258</v>
      </c>
      <c r="Y20" s="39">
        <v>42.018725673644369</v>
      </c>
      <c r="Z20" s="39">
        <v>42.510245812395411</v>
      </c>
      <c r="AA20" s="39">
        <v>30.165680852200559</v>
      </c>
      <c r="AB20" s="39">
        <v>41.448573228285213</v>
      </c>
      <c r="AC20" s="39">
        <v>24.862277099247034</v>
      </c>
      <c r="AD20" s="39">
        <v>25.676873273018671</v>
      </c>
      <c r="AE20" s="39">
        <v>40.953210085454032</v>
      </c>
      <c r="AF20" s="39">
        <v>55.745778269543237</v>
      </c>
      <c r="AG20" s="39">
        <v>105.22842401118247</v>
      </c>
      <c r="AH20" s="39">
        <v>249.99081414983181</v>
      </c>
      <c r="AI20" s="39">
        <v>474.56479088698063</v>
      </c>
      <c r="AJ20" s="39">
        <v>408.96833712860746</v>
      </c>
      <c r="AK20" s="39">
        <v>607.7411617874069</v>
      </c>
      <c r="AL20" s="39">
        <v>968.05929900133606</v>
      </c>
      <c r="AM20" s="39">
        <v>1111.9570342033753</v>
      </c>
      <c r="AN20" s="39">
        <v>2132.2382786558123</v>
      </c>
      <c r="AO20" s="39">
        <v>3120.7654078225037</v>
      </c>
      <c r="AP20" s="39">
        <v>4757.3738249521875</v>
      </c>
      <c r="AQ20" s="39">
        <v>6784.8711484593841</v>
      </c>
      <c r="AR20" s="39">
        <v>9065.224376731303</v>
      </c>
      <c r="AS20" s="39">
        <v>12588.526884963641</v>
      </c>
      <c r="AT20" s="39">
        <v>16772.331067961164</v>
      </c>
      <c r="AU20" s="39">
        <v>19669.171218487398</v>
      </c>
      <c r="AV20" s="39">
        <v>17356.256637168142</v>
      </c>
      <c r="AW20" s="39">
        <v>18691.044147843942</v>
      </c>
      <c r="AX20" s="42">
        <v>20703.512315270938</v>
      </c>
    </row>
    <row r="21" spans="1:50" ht="13">
      <c r="A21" s="507" t="s">
        <v>1029</v>
      </c>
      <c r="B21" s="496"/>
      <c r="C21" s="548">
        <v>22.786792461798761</v>
      </c>
      <c r="D21" s="39">
        <v>16.532303979505794</v>
      </c>
      <c r="E21" s="39">
        <v>20.752795669654731</v>
      </c>
      <c r="F21" s="39">
        <v>26.890081721779147</v>
      </c>
      <c r="G21" s="39">
        <v>44.221930482721696</v>
      </c>
      <c r="H21" s="39">
        <v>43.202849315910775</v>
      </c>
      <c r="I21" s="39">
        <v>32.64529151247622</v>
      </c>
      <c r="J21" s="39">
        <v>35.727430105928917</v>
      </c>
      <c r="K21" s="39">
        <v>32.259233476702569</v>
      </c>
      <c r="L21" s="39">
        <v>33.827824154002542</v>
      </c>
      <c r="M21" s="39">
        <v>40.611707103330481</v>
      </c>
      <c r="N21" s="39">
        <v>51.852675442372764</v>
      </c>
      <c r="O21" s="39">
        <v>49.300650336659722</v>
      </c>
      <c r="P21" s="39">
        <v>43.718819138746667</v>
      </c>
      <c r="Q21" s="39">
        <v>70.797465444032085</v>
      </c>
      <c r="R21" s="39">
        <v>97.765921024675237</v>
      </c>
      <c r="S21" s="39">
        <v>141.37176661627529</v>
      </c>
      <c r="T21" s="39">
        <v>165.7990303953506</v>
      </c>
      <c r="U21" s="39">
        <v>219.97294096514352</v>
      </c>
      <c r="V21" s="39">
        <v>312.7160864455679</v>
      </c>
      <c r="W21" s="39">
        <v>457.16254740745779</v>
      </c>
      <c r="X21" s="39">
        <v>630.27700854557679</v>
      </c>
      <c r="Y21" s="39">
        <v>715.47791440668232</v>
      </c>
      <c r="Z21" s="39">
        <v>907.38656552992552</v>
      </c>
      <c r="AA21" s="39">
        <v>1275.5879032465409</v>
      </c>
      <c r="AB21" s="39">
        <v>1576.3370399693499</v>
      </c>
      <c r="AC21" s="39">
        <v>1708.8829692683776</v>
      </c>
      <c r="AD21" s="39">
        <v>1969.2251123018204</v>
      </c>
      <c r="AE21" s="39">
        <v>1690.6787783892589</v>
      </c>
      <c r="AF21" s="39">
        <v>2396.3146838352495</v>
      </c>
      <c r="AG21" s="39">
        <v>3794.9533258826891</v>
      </c>
      <c r="AH21" s="39">
        <v>4554.4858301632576</v>
      </c>
      <c r="AI21" s="39">
        <v>6669.8047446388973</v>
      </c>
      <c r="AJ21" s="39">
        <v>7989.3822780814098</v>
      </c>
      <c r="AK21" s="39">
        <v>10242.424671639963</v>
      </c>
      <c r="AL21" s="39">
        <v>13638.892711083838</v>
      </c>
      <c r="AM21" s="39">
        <v>22198.535064045023</v>
      </c>
      <c r="AN21" s="39">
        <v>25265.184604905528</v>
      </c>
      <c r="AO21" s="39">
        <v>28002.902872557563</v>
      </c>
      <c r="AP21" s="39">
        <v>34191.446183918975</v>
      </c>
      <c r="AQ21" s="39">
        <v>33880.826001955036</v>
      </c>
      <c r="AR21" s="39">
        <v>37034.065813528337</v>
      </c>
      <c r="AS21" s="39">
        <v>53930.97835487972</v>
      </c>
      <c r="AT21" s="39">
        <v>61971.010172939976</v>
      </c>
      <c r="AU21" s="39">
        <v>69624.209369024858</v>
      </c>
      <c r="AV21" s="39">
        <v>76373.760001904884</v>
      </c>
      <c r="AW21" s="39">
        <v>106000.6345359254</v>
      </c>
      <c r="AX21" s="42">
        <v>132442.47067310259</v>
      </c>
    </row>
    <row r="22" spans="1:50" ht="13">
      <c r="A22" s="507"/>
      <c r="B22" s="496"/>
      <c r="C22" s="577"/>
      <c r="D22" s="583"/>
      <c r="E22" s="583"/>
      <c r="F22" s="583"/>
      <c r="G22" s="583"/>
      <c r="H22" s="583"/>
      <c r="I22" s="583"/>
      <c r="J22" s="583"/>
      <c r="K22" s="583"/>
      <c r="L22" s="583"/>
      <c r="M22" s="583"/>
      <c r="N22" s="583"/>
      <c r="O22" s="583"/>
      <c r="P22" s="583"/>
      <c r="Q22" s="583"/>
      <c r="R22" s="583"/>
      <c r="S22" s="583"/>
      <c r="T22" s="583"/>
      <c r="U22" s="583"/>
      <c r="V22" s="583"/>
      <c r="W22" s="583"/>
      <c r="X22" s="583"/>
      <c r="Y22" s="583"/>
      <c r="Z22" s="583"/>
      <c r="AA22" s="583"/>
      <c r="AB22" s="583"/>
      <c r="AC22" s="583"/>
      <c r="AD22" s="583"/>
      <c r="AE22" s="583"/>
      <c r="AF22" s="583"/>
      <c r="AG22" s="583"/>
      <c r="AH22" s="583"/>
      <c r="AI22" s="583"/>
      <c r="AJ22" s="583"/>
      <c r="AK22" s="583"/>
      <c r="AL22" s="583"/>
      <c r="AM22" s="583"/>
      <c r="AN22" s="583"/>
      <c r="AO22" s="583"/>
      <c r="AP22" s="583"/>
      <c r="AQ22" s="583"/>
      <c r="AR22" s="583"/>
      <c r="AS22" s="583"/>
      <c r="AT22" s="583"/>
      <c r="AU22" s="583"/>
      <c r="AV22" s="583"/>
      <c r="AW22" s="583"/>
      <c r="AX22" s="584"/>
    </row>
    <row r="23" spans="1:50" ht="13">
      <c r="A23" s="507" t="s">
        <v>1034</v>
      </c>
      <c r="B23" s="496"/>
      <c r="C23" s="548">
        <v>109.19753396567816</v>
      </c>
      <c r="D23" s="39">
        <v>126.30309559223538</v>
      </c>
      <c r="E23" s="39">
        <v>166.58768922330287</v>
      </c>
      <c r="F23" s="39">
        <v>183.80887997741308</v>
      </c>
      <c r="G23" s="39">
        <v>211.34275398297441</v>
      </c>
      <c r="H23" s="39">
        <v>182.48121196689812</v>
      </c>
      <c r="I23" s="39">
        <v>215.4784613774423</v>
      </c>
      <c r="J23" s="39">
        <v>228.84753025425752</v>
      </c>
      <c r="K23" s="39">
        <v>237.70073714286895</v>
      </c>
      <c r="L23" s="39">
        <v>330.16343292302469</v>
      </c>
      <c r="M23" s="39">
        <v>303.34779050072365</v>
      </c>
      <c r="N23" s="39">
        <v>381.74336787024794</v>
      </c>
      <c r="O23" s="39">
        <v>369.70939200711297</v>
      </c>
      <c r="P23" s="39">
        <v>409.37579658405065</v>
      </c>
      <c r="Q23" s="39">
        <v>442.29835482719051</v>
      </c>
      <c r="R23" s="39">
        <v>448.34535624053115</v>
      </c>
      <c r="S23" s="39">
        <v>636.4260546200029</v>
      </c>
      <c r="T23" s="39">
        <v>767.8736989034611</v>
      </c>
      <c r="U23" s="39">
        <v>870.60536822354754</v>
      </c>
      <c r="V23" s="39">
        <v>1127.3450452993484</v>
      </c>
      <c r="W23" s="39">
        <v>1198.8705126530165</v>
      </c>
      <c r="X23" s="39">
        <v>1559.1071966099157</v>
      </c>
      <c r="Y23" s="39">
        <v>1892.5268425604636</v>
      </c>
      <c r="Z23" s="39">
        <v>2205.4137251296784</v>
      </c>
      <c r="AA23" s="39">
        <v>2976.7450729328675</v>
      </c>
      <c r="AB23" s="39">
        <v>5199.2533360809603</v>
      </c>
      <c r="AC23" s="39">
        <v>5497.4841240977885</v>
      </c>
      <c r="AD23" s="39">
        <v>4644.946597829281</v>
      </c>
      <c r="AE23" s="39">
        <v>5146.1233192656327</v>
      </c>
      <c r="AF23" s="39">
        <v>7846.6990693987236</v>
      </c>
      <c r="AG23" s="39">
        <v>9973.9418579706889</v>
      </c>
      <c r="AH23" s="39">
        <v>16271.387457303057</v>
      </c>
      <c r="AI23" s="39">
        <v>23393.070293923331</v>
      </c>
      <c r="AJ23" s="39">
        <v>22008.000728366176</v>
      </c>
      <c r="AK23" s="39">
        <v>29950.617721929866</v>
      </c>
      <c r="AL23" s="39">
        <v>48162.117358497424</v>
      </c>
      <c r="AM23" s="39">
        <v>87238.452162392234</v>
      </c>
      <c r="AN23" s="39">
        <v>102362.09665881284</v>
      </c>
      <c r="AO23" s="39">
        <v>122226.36018894307</v>
      </c>
      <c r="AP23" s="39">
        <v>158231.3835557265</v>
      </c>
      <c r="AQ23" s="39">
        <v>198640.53661285064</v>
      </c>
      <c r="AR23" s="39">
        <v>288205.2261835371</v>
      </c>
      <c r="AS23" s="39">
        <v>335292.63830090727</v>
      </c>
      <c r="AT23" s="39">
        <v>333596.73689350788</v>
      </c>
      <c r="AU23" s="39">
        <v>367959.33506311424</v>
      </c>
      <c r="AV23" s="39">
        <v>338839.99698545848</v>
      </c>
      <c r="AW23" s="39">
        <v>440886.15006894094</v>
      </c>
      <c r="AX23" s="42">
        <v>582758.92409095727</v>
      </c>
    </row>
    <row r="24" spans="1:50" ht="13">
      <c r="A24" s="507" t="s">
        <v>1035</v>
      </c>
      <c r="B24" s="496"/>
      <c r="C24" s="548">
        <v>45.169146334349392</v>
      </c>
      <c r="D24" s="39">
        <v>49.725316485629222</v>
      </c>
      <c r="E24" s="39">
        <v>56.475622452865309</v>
      </c>
      <c r="F24" s="39">
        <v>71.039345928524099</v>
      </c>
      <c r="G24" s="39">
        <v>100.48767350680352</v>
      </c>
      <c r="H24" s="39">
        <v>67.724204451487267</v>
      </c>
      <c r="I24" s="39">
        <v>98.629660117624326</v>
      </c>
      <c r="J24" s="39">
        <v>79.690068067524436</v>
      </c>
      <c r="K24" s="39">
        <v>86.782470481957759</v>
      </c>
      <c r="L24" s="39">
        <v>116.15697521307804</v>
      </c>
      <c r="M24" s="39">
        <v>115.5708599223437</v>
      </c>
      <c r="N24" s="39">
        <v>137.81530541015053</v>
      </c>
      <c r="O24" s="39">
        <v>133.9352861812047</v>
      </c>
      <c r="P24" s="39">
        <v>147.33100076567075</v>
      </c>
      <c r="Q24" s="39">
        <v>222.37873117843631</v>
      </c>
      <c r="R24" s="39">
        <v>194.04096144657302</v>
      </c>
      <c r="S24" s="39">
        <v>322.14185379819332</v>
      </c>
      <c r="T24" s="39">
        <v>374.43582483262111</v>
      </c>
      <c r="U24" s="39">
        <v>416.28289856069404</v>
      </c>
      <c r="V24" s="39">
        <v>540.55577030971745</v>
      </c>
      <c r="W24" s="39">
        <v>596.96180830356104</v>
      </c>
      <c r="X24" s="39">
        <v>833.71193482288163</v>
      </c>
      <c r="Y24" s="39">
        <v>894.95718815875625</v>
      </c>
      <c r="Z24" s="39">
        <v>1288.4211067921642</v>
      </c>
      <c r="AA24" s="39">
        <v>2097.9197291348396</v>
      </c>
      <c r="AB24" s="39">
        <v>3501.810972129987</v>
      </c>
      <c r="AC24" s="39">
        <v>3320.3260318075359</v>
      </c>
      <c r="AD24" s="39">
        <v>3109.7510793645456</v>
      </c>
      <c r="AE24" s="39">
        <v>2918.1216199098217</v>
      </c>
      <c r="AF24" s="39">
        <v>4683.5137656588613</v>
      </c>
      <c r="AG24" s="39">
        <v>5015.894309400288</v>
      </c>
      <c r="AH24" s="39">
        <v>8642.8292553306783</v>
      </c>
      <c r="AI24" s="39">
        <v>9990.8947658858779</v>
      </c>
      <c r="AJ24" s="39">
        <v>11614.708590086342</v>
      </c>
      <c r="AK24" s="39">
        <v>14486.736548287854</v>
      </c>
      <c r="AL24" s="39">
        <v>23064.585784972067</v>
      </c>
      <c r="AM24" s="39">
        <v>38304.228986830225</v>
      </c>
      <c r="AN24" s="39">
        <v>48325.510127157948</v>
      </c>
      <c r="AO24" s="39">
        <v>52737.105906848214</v>
      </c>
      <c r="AP24" s="39">
        <v>67045.335681190554</v>
      </c>
      <c r="AQ24" s="39">
        <v>93323.59905660378</v>
      </c>
      <c r="AR24" s="39">
        <v>125703.25735294117</v>
      </c>
      <c r="AS24" s="39">
        <v>164213.6667504349</v>
      </c>
      <c r="AT24" s="39">
        <v>173658.52852852855</v>
      </c>
      <c r="AU24" s="39">
        <v>177886.54432989692</v>
      </c>
      <c r="AV24" s="39">
        <v>146433.34038461538</v>
      </c>
      <c r="AW24" s="39">
        <v>212126.96248766044</v>
      </c>
      <c r="AX24" s="42">
        <v>282149.89275074482</v>
      </c>
    </row>
    <row r="25" spans="1:50" ht="13">
      <c r="A25" s="507" t="s">
        <v>1036</v>
      </c>
      <c r="B25" s="496"/>
      <c r="C25" s="548">
        <v>28.547369794452969</v>
      </c>
      <c r="D25" s="39">
        <v>46.699658909173699</v>
      </c>
      <c r="E25" s="39">
        <v>76.822074019374412</v>
      </c>
      <c r="F25" s="39">
        <v>72.522686147884485</v>
      </c>
      <c r="G25" s="39">
        <v>74.953951111562432</v>
      </c>
      <c r="H25" s="39">
        <v>79.187247180144539</v>
      </c>
      <c r="I25" s="39">
        <v>82.39705206887507</v>
      </c>
      <c r="J25" s="39">
        <v>110.33521782486129</v>
      </c>
      <c r="K25" s="39">
        <v>101.39274634559487</v>
      </c>
      <c r="L25" s="39">
        <v>147.54149017739698</v>
      </c>
      <c r="M25" s="39">
        <v>120.10166773595</v>
      </c>
      <c r="N25" s="39">
        <v>185.38240960743212</v>
      </c>
      <c r="O25" s="39">
        <v>179.10791625641826</v>
      </c>
      <c r="P25" s="39">
        <v>201.70762318178328</v>
      </c>
      <c r="Q25" s="39">
        <v>152.27730277723873</v>
      </c>
      <c r="R25" s="39">
        <v>181.07954093326617</v>
      </c>
      <c r="S25" s="39">
        <v>197.2382533673327</v>
      </c>
      <c r="T25" s="39">
        <v>248.44478369487754</v>
      </c>
      <c r="U25" s="39">
        <v>325.04198253406253</v>
      </c>
      <c r="V25" s="39">
        <v>442.2957804010677</v>
      </c>
      <c r="W25" s="39">
        <v>337.44055962779396</v>
      </c>
      <c r="X25" s="39">
        <v>364.8264989234317</v>
      </c>
      <c r="Y25" s="39">
        <v>521.22281666599542</v>
      </c>
      <c r="Z25" s="39">
        <v>580.73369010106103</v>
      </c>
      <c r="AA25" s="39">
        <v>716.83625750526573</v>
      </c>
      <c r="AB25" s="39">
        <v>1307.7029871421969</v>
      </c>
      <c r="AC25" s="39">
        <v>1364.5977461172788</v>
      </c>
      <c r="AD25" s="39">
        <v>945.18533400389958</v>
      </c>
      <c r="AE25" s="39">
        <v>1309.2749491140771</v>
      </c>
      <c r="AF25" s="39">
        <v>2186.8803618398674</v>
      </c>
      <c r="AG25" s="39">
        <v>3340.5572426208114</v>
      </c>
      <c r="AH25" s="39">
        <v>5952.5758416059189</v>
      </c>
      <c r="AI25" s="39">
        <v>9515.6689017188964</v>
      </c>
      <c r="AJ25" s="39">
        <v>4853.3386783868546</v>
      </c>
      <c r="AK25" s="39">
        <v>10599.141638702375</v>
      </c>
      <c r="AL25" s="39">
        <v>18073.193187708919</v>
      </c>
      <c r="AM25" s="39">
        <v>32930.337738374357</v>
      </c>
      <c r="AN25" s="39">
        <v>42015.533002415301</v>
      </c>
      <c r="AO25" s="39">
        <v>54368.234900759977</v>
      </c>
      <c r="AP25" s="39">
        <v>72319.530673122179</v>
      </c>
      <c r="AQ25" s="39">
        <v>93391.348788130941</v>
      </c>
      <c r="AR25" s="39">
        <v>147844.88728937731</v>
      </c>
      <c r="AS25" s="39">
        <v>151917.81223109359</v>
      </c>
      <c r="AT25" s="39">
        <v>139412.45910828951</v>
      </c>
      <c r="AU25" s="39">
        <v>161839.7524309399</v>
      </c>
      <c r="AV25" s="39">
        <v>159636.96977939137</v>
      </c>
      <c r="AW25" s="39">
        <v>196945.53063185266</v>
      </c>
      <c r="AX25" s="42">
        <v>250721.52143769129</v>
      </c>
    </row>
    <row r="26" spans="1:50" ht="13">
      <c r="A26" s="507" t="s">
        <v>1037</v>
      </c>
      <c r="B26" s="496"/>
      <c r="C26" s="548">
        <v>35.481017836875814</v>
      </c>
      <c r="D26" s="39">
        <v>29.87812019743243</v>
      </c>
      <c r="E26" s="39">
        <v>33.289992751063131</v>
      </c>
      <c r="F26" s="39">
        <v>40.246847901004486</v>
      </c>
      <c r="G26" s="39">
        <v>35.901129364608451</v>
      </c>
      <c r="H26" s="39">
        <v>35.569760335266317</v>
      </c>
      <c r="I26" s="39">
        <v>34.45174919094287</v>
      </c>
      <c r="J26" s="39">
        <v>38.822244361871796</v>
      </c>
      <c r="K26" s="39">
        <v>49.525520315316328</v>
      </c>
      <c r="L26" s="39">
        <v>66.464967532549693</v>
      </c>
      <c r="M26" s="39">
        <v>67.675262842429916</v>
      </c>
      <c r="N26" s="39">
        <v>58.545652852665263</v>
      </c>
      <c r="O26" s="39">
        <v>56.66618956948998</v>
      </c>
      <c r="P26" s="39">
        <v>60.337172636596577</v>
      </c>
      <c r="Q26" s="39">
        <v>67.642320871515466</v>
      </c>
      <c r="R26" s="39">
        <v>73.224853860691937</v>
      </c>
      <c r="S26" s="39">
        <v>117.04594745447682</v>
      </c>
      <c r="T26" s="39">
        <v>144.99309037596242</v>
      </c>
      <c r="U26" s="39">
        <v>129.28048712879104</v>
      </c>
      <c r="V26" s="39">
        <v>144.49349458856352</v>
      </c>
      <c r="W26" s="39">
        <v>264.46814472166147</v>
      </c>
      <c r="X26" s="39">
        <v>360.56876286360239</v>
      </c>
      <c r="Y26" s="39">
        <v>476.34683773571197</v>
      </c>
      <c r="Z26" s="39">
        <v>336.25892823645376</v>
      </c>
      <c r="AA26" s="39">
        <v>161.98908629276218</v>
      </c>
      <c r="AB26" s="39">
        <v>389.73937680877623</v>
      </c>
      <c r="AC26" s="39">
        <v>812.56034617297371</v>
      </c>
      <c r="AD26" s="39">
        <v>590.01018446083583</v>
      </c>
      <c r="AE26" s="39">
        <v>918.72675024173475</v>
      </c>
      <c r="AF26" s="39">
        <v>976.30494189999501</v>
      </c>
      <c r="AG26" s="39">
        <v>1617.4903059495909</v>
      </c>
      <c r="AH26" s="39">
        <v>1675.9823603664595</v>
      </c>
      <c r="AI26" s="39">
        <v>3886.5066263185577</v>
      </c>
      <c r="AJ26" s="39">
        <v>5539.9534598929831</v>
      </c>
      <c r="AK26" s="39">
        <v>4864.7395349396411</v>
      </c>
      <c r="AL26" s="39">
        <v>7024.338385816437</v>
      </c>
      <c r="AM26" s="39">
        <v>16003.885437187651</v>
      </c>
      <c r="AN26" s="39">
        <v>12021.053529239583</v>
      </c>
      <c r="AO26" s="39">
        <v>15121.0193813349</v>
      </c>
      <c r="AP26" s="39">
        <v>18866.51720141371</v>
      </c>
      <c r="AQ26" s="39">
        <v>11925.588768115942</v>
      </c>
      <c r="AR26" s="39">
        <v>14657.081541218637</v>
      </c>
      <c r="AS26" s="39">
        <v>19161.159319378723</v>
      </c>
      <c r="AT26" s="39">
        <v>20525.749256689793</v>
      </c>
      <c r="AU26" s="39">
        <v>28233.038302277433</v>
      </c>
      <c r="AV26" s="39">
        <v>32769.686821451716</v>
      </c>
      <c r="AW26" s="39">
        <v>31813.656949427856</v>
      </c>
      <c r="AX26" s="42">
        <v>49887.509902521226</v>
      </c>
    </row>
    <row r="27" spans="1:50" ht="13">
      <c r="A27" s="507"/>
      <c r="B27" s="496"/>
      <c r="C27" s="577"/>
      <c r="D27" s="583"/>
      <c r="E27" s="583"/>
      <c r="F27" s="583"/>
      <c r="G27" s="583"/>
      <c r="H27" s="583"/>
      <c r="I27" s="583"/>
      <c r="J27" s="583"/>
      <c r="K27" s="583"/>
      <c r="L27" s="583"/>
      <c r="M27" s="583"/>
      <c r="N27" s="583"/>
      <c r="O27" s="583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583"/>
      <c r="AD27" s="583"/>
      <c r="AE27" s="583"/>
      <c r="AF27" s="583"/>
      <c r="AG27" s="583"/>
      <c r="AH27" s="583"/>
      <c r="AI27" s="583"/>
      <c r="AJ27" s="583"/>
      <c r="AK27" s="583"/>
      <c r="AL27" s="583"/>
      <c r="AM27" s="583"/>
      <c r="AN27" s="583"/>
      <c r="AO27" s="583"/>
      <c r="AP27" s="583"/>
      <c r="AQ27" s="583"/>
      <c r="AR27" s="583"/>
      <c r="AS27" s="583"/>
      <c r="AT27" s="583"/>
      <c r="AU27" s="583"/>
      <c r="AV27" s="583"/>
      <c r="AW27" s="583"/>
      <c r="AX27" s="584"/>
    </row>
    <row r="28" spans="1:50" ht="13">
      <c r="A28" s="507" t="s">
        <v>1038</v>
      </c>
      <c r="B28" s="496"/>
      <c r="C28" s="548">
        <v>2431.1100449906562</v>
      </c>
      <c r="D28" s="39">
        <v>2280.672635158367</v>
      </c>
      <c r="E28" s="39">
        <v>3248.1802473411158</v>
      </c>
      <c r="F28" s="39">
        <v>4104.5322734321726</v>
      </c>
      <c r="G28" s="39">
        <v>4173.6180768254999</v>
      </c>
      <c r="H28" s="39">
        <v>4274.809174703646</v>
      </c>
      <c r="I28" s="39">
        <v>4525.6202089532471</v>
      </c>
      <c r="J28" s="39">
        <v>4575.5126089220566</v>
      </c>
      <c r="K28" s="39">
        <v>5123.7834278407909</v>
      </c>
      <c r="L28" s="39">
        <v>4947.8921402467204</v>
      </c>
      <c r="M28" s="39">
        <v>4630.1994246965041</v>
      </c>
      <c r="N28" s="39">
        <v>4628.6252591918292</v>
      </c>
      <c r="O28" s="39">
        <v>5416.134669895695</v>
      </c>
      <c r="P28" s="39">
        <v>5478.658174959508</v>
      </c>
      <c r="Q28" s="39">
        <v>6739.8519589798598</v>
      </c>
      <c r="R28" s="39">
        <v>6995.1952457707503</v>
      </c>
      <c r="S28" s="39">
        <v>8595.3585214953837</v>
      </c>
      <c r="T28" s="39">
        <v>9191.9036895331574</v>
      </c>
      <c r="U28" s="39">
        <v>10313.827377770041</v>
      </c>
      <c r="V28" s="39">
        <v>11005.891094598042</v>
      </c>
      <c r="W28" s="39">
        <v>11862.671273314374</v>
      </c>
      <c r="X28" s="39">
        <v>13486.404958159666</v>
      </c>
      <c r="Y28" s="39">
        <v>13942.429136869347</v>
      </c>
      <c r="Z28" s="39">
        <v>14457.696851103252</v>
      </c>
      <c r="AA28" s="39">
        <v>16789.688681321983</v>
      </c>
      <c r="AB28" s="39">
        <v>18847.458810753527</v>
      </c>
      <c r="AC28" s="39">
        <v>20459.170817017857</v>
      </c>
      <c r="AD28" s="39">
        <v>23859.089176700407</v>
      </c>
      <c r="AE28" s="39">
        <v>24989.964862489112</v>
      </c>
      <c r="AF28" s="39">
        <v>25504.806350650713</v>
      </c>
      <c r="AG28" s="39">
        <v>38245.907579810046</v>
      </c>
      <c r="AH28" s="39">
        <v>59322.404164811516</v>
      </c>
      <c r="AI28" s="39">
        <v>78640.556468632538</v>
      </c>
      <c r="AJ28" s="39">
        <v>92426.32300283802</v>
      </c>
      <c r="AK28" s="39">
        <v>123955.58033316529</v>
      </c>
      <c r="AL28" s="39">
        <v>167802.08730928009</v>
      </c>
      <c r="AM28" s="39">
        <v>232022.49513513476</v>
      </c>
      <c r="AN28" s="39">
        <v>345219.01405848528</v>
      </c>
      <c r="AO28" s="39">
        <v>387827.58327157516</v>
      </c>
      <c r="AP28" s="39">
        <v>406232.82376537757</v>
      </c>
      <c r="AQ28" s="39">
        <v>484976.61618798954</v>
      </c>
      <c r="AR28" s="39">
        <v>629215.7726051925</v>
      </c>
      <c r="AS28" s="39">
        <v>794008.31919196714</v>
      </c>
      <c r="AT28" s="39">
        <v>802050.9777070065</v>
      </c>
      <c r="AU28" s="39">
        <v>794418.18002081173</v>
      </c>
      <c r="AV28" s="39">
        <v>823651.98573316063</v>
      </c>
      <c r="AW28" s="39">
        <v>939860.50665788224</v>
      </c>
      <c r="AX28" s="42">
        <v>1084848.1587623465</v>
      </c>
    </row>
    <row r="29" spans="1:50" ht="13">
      <c r="A29" s="507"/>
      <c r="B29" s="496"/>
      <c r="C29" s="585"/>
      <c r="D29" s="586"/>
      <c r="E29" s="586"/>
      <c r="F29" s="586"/>
      <c r="G29" s="586"/>
      <c r="H29" s="586"/>
      <c r="I29" s="586"/>
      <c r="J29" s="586"/>
      <c r="K29" s="586"/>
      <c r="L29" s="586"/>
      <c r="M29" s="586"/>
      <c r="N29" s="586"/>
      <c r="O29" s="586"/>
      <c r="P29" s="586"/>
      <c r="Q29" s="586"/>
      <c r="R29" s="586"/>
      <c r="S29" s="586"/>
      <c r="T29" s="586"/>
      <c r="U29" s="586"/>
      <c r="V29" s="586"/>
      <c r="W29" s="586"/>
      <c r="X29" s="586"/>
      <c r="Y29" s="586"/>
      <c r="Z29" s="586"/>
      <c r="AA29" s="586"/>
      <c r="AB29" s="586"/>
      <c r="AC29" s="586"/>
      <c r="AD29" s="586"/>
      <c r="AE29" s="586"/>
      <c r="AF29" s="586"/>
      <c r="AG29" s="586"/>
      <c r="AH29" s="586"/>
      <c r="AI29" s="586"/>
      <c r="AJ29" s="586"/>
      <c r="AK29" s="586"/>
      <c r="AL29" s="586"/>
      <c r="AM29" s="586"/>
      <c r="AN29" s="586"/>
      <c r="AO29" s="586"/>
      <c r="AP29" s="586"/>
      <c r="AQ29" s="586"/>
      <c r="AR29" s="586"/>
      <c r="AS29" s="586"/>
      <c r="AT29" s="586"/>
      <c r="AU29" s="586"/>
      <c r="AV29" s="586"/>
      <c r="AW29" s="586"/>
      <c r="AX29" s="587"/>
    </row>
    <row r="30" spans="1:50" ht="13">
      <c r="A30" s="507" t="s">
        <v>1039</v>
      </c>
      <c r="B30" s="496"/>
      <c r="C30" s="548">
        <v>24.795732990067538</v>
      </c>
      <c r="D30" s="39">
        <v>15.414823008015848</v>
      </c>
      <c r="E30" s="39">
        <v>10.820719677523968</v>
      </c>
      <c r="F30" s="39">
        <v>11.536642792578538</v>
      </c>
      <c r="G30" s="39">
        <v>66.673333642192546</v>
      </c>
      <c r="H30" s="39">
        <v>10.026768532854692</v>
      </c>
      <c r="I30" s="39">
        <v>298.41864583475814</v>
      </c>
      <c r="J30" s="39">
        <v>232.00934407249207</v>
      </c>
      <c r="K30" s="39">
        <v>231.05171036128033</v>
      </c>
      <c r="L30" s="39">
        <v>225.60865035525308</v>
      </c>
      <c r="M30" s="39">
        <v>427.36061491444212</v>
      </c>
      <c r="N30" s="39">
        <v>342.66602884358502</v>
      </c>
      <c r="O30" s="39">
        <v>312.78517498482563</v>
      </c>
      <c r="P30" s="39">
        <v>254.12289331125638</v>
      </c>
      <c r="Q30" s="39">
        <v>163.73207222521597</v>
      </c>
      <c r="R30" s="39">
        <v>230.82349402625906</v>
      </c>
      <c r="S30" s="39">
        <v>287.53263385050872</v>
      </c>
      <c r="T30" s="39">
        <v>246.58506252930059</v>
      </c>
      <c r="U30" s="39">
        <v>290.19530255976991</v>
      </c>
      <c r="V30" s="39">
        <v>270.5276145093643</v>
      </c>
      <c r="W30" s="39">
        <v>250.9937644005395</v>
      </c>
      <c r="X30" s="39">
        <v>276.43199892711385</v>
      </c>
      <c r="Y30" s="39">
        <v>703.72963783177613</v>
      </c>
      <c r="Z30" s="39">
        <v>726.03432615812085</v>
      </c>
      <c r="AA30" s="39">
        <v>603.23895508853536</v>
      </c>
      <c r="AB30" s="39">
        <v>531.9594367724452</v>
      </c>
      <c r="AC30" s="39">
        <v>781.69551362141056</v>
      </c>
      <c r="AD30" s="39">
        <v>834.17503771591907</v>
      </c>
      <c r="AE30" s="39">
        <v>1027.1606190793605</v>
      </c>
      <c r="AF30" s="39">
        <v>1105.4774678753652</v>
      </c>
      <c r="AG30" s="39">
        <v>1608.9809223908489</v>
      </c>
      <c r="AH30" s="39">
        <v>4199.3132949120445</v>
      </c>
      <c r="AI30" s="39">
        <v>7877.8136564015695</v>
      </c>
      <c r="AJ30" s="39">
        <v>12337.809330743732</v>
      </c>
      <c r="AK30" s="39">
        <v>11392.972252124317</v>
      </c>
      <c r="AL30" s="39">
        <v>25061.735691440641</v>
      </c>
      <c r="AM30" s="39">
        <v>20651.943074257131</v>
      </c>
      <c r="AN30" s="39">
        <v>35414.459090178185</v>
      </c>
      <c r="AO30" s="39">
        <v>53140.124963518283</v>
      </c>
      <c r="AP30" s="39">
        <v>24422.484026266033</v>
      </c>
      <c r="AQ30" s="39">
        <v>38917.165156092655</v>
      </c>
      <c r="AR30" s="39">
        <v>56418.271835132487</v>
      </c>
      <c r="AS30" s="39">
        <v>62001.580230850843</v>
      </c>
      <c r="AT30" s="39">
        <v>55888.720739219709</v>
      </c>
      <c r="AU30" s="39">
        <v>81125.390036452009</v>
      </c>
      <c r="AV30" s="39">
        <v>71439.5361794848</v>
      </c>
      <c r="AW30" s="39">
        <v>120699.72290144555</v>
      </c>
      <c r="AX30" s="42">
        <v>106983.11128737261</v>
      </c>
    </row>
    <row r="31" spans="1:50" ht="13">
      <c r="A31" s="507"/>
      <c r="B31" s="496"/>
      <c r="C31" s="585"/>
      <c r="D31" s="586"/>
      <c r="E31" s="586"/>
      <c r="F31" s="586"/>
      <c r="G31" s="586"/>
      <c r="H31" s="586"/>
      <c r="I31" s="586"/>
      <c r="J31" s="586"/>
      <c r="K31" s="586"/>
      <c r="L31" s="586"/>
      <c r="M31" s="586"/>
      <c r="N31" s="586"/>
      <c r="O31" s="586"/>
      <c r="P31" s="586"/>
      <c r="Q31" s="586"/>
      <c r="R31" s="586"/>
      <c r="S31" s="586"/>
      <c r="T31" s="586"/>
      <c r="U31" s="586"/>
      <c r="V31" s="586"/>
      <c r="W31" s="586"/>
      <c r="X31" s="586"/>
      <c r="Y31" s="586"/>
      <c r="Z31" s="586"/>
      <c r="AA31" s="586"/>
      <c r="AB31" s="586"/>
      <c r="AC31" s="586"/>
      <c r="AD31" s="586"/>
      <c r="AE31" s="586"/>
      <c r="AF31" s="586"/>
      <c r="AG31" s="586"/>
      <c r="AH31" s="586"/>
      <c r="AI31" s="586"/>
      <c r="AJ31" s="586"/>
      <c r="AK31" s="586"/>
      <c r="AL31" s="586"/>
      <c r="AM31" s="586"/>
      <c r="AN31" s="586"/>
      <c r="AO31" s="586"/>
      <c r="AP31" s="586"/>
      <c r="AQ31" s="586"/>
      <c r="AR31" s="586"/>
      <c r="AS31" s="586"/>
      <c r="AT31" s="586"/>
      <c r="AU31" s="586"/>
      <c r="AV31" s="586"/>
      <c r="AW31" s="586"/>
      <c r="AX31" s="587"/>
    </row>
    <row r="32" spans="1:50" ht="13">
      <c r="A32" s="507" t="s">
        <v>1040</v>
      </c>
      <c r="B32" s="496"/>
      <c r="C32" s="548">
        <v>33.015491018040059</v>
      </c>
      <c r="D32" s="39">
        <v>29.785735406159855</v>
      </c>
      <c r="E32" s="39">
        <v>39.015095024625936</v>
      </c>
      <c r="F32" s="39">
        <v>43.651037028694972</v>
      </c>
      <c r="G32" s="39">
        <v>44.214268378134797</v>
      </c>
      <c r="H32" s="39">
        <v>54.721415620299211</v>
      </c>
      <c r="I32" s="39">
        <v>47.327204481055524</v>
      </c>
      <c r="J32" s="39">
        <v>47.312405251873692</v>
      </c>
      <c r="K32" s="39">
        <v>54.233584043661132</v>
      </c>
      <c r="L32" s="39">
        <v>41.521822893250651</v>
      </c>
      <c r="M32" s="39">
        <v>36.016613288551255</v>
      </c>
      <c r="N32" s="39">
        <v>55.852676202583986</v>
      </c>
      <c r="O32" s="39">
        <v>67.690735074425319</v>
      </c>
      <c r="P32" s="39">
        <v>68.82393937446848</v>
      </c>
      <c r="Q32" s="39">
        <v>46.08935135785044</v>
      </c>
      <c r="R32" s="39">
        <v>93.761978671123302</v>
      </c>
      <c r="S32" s="39">
        <v>139.12435126071369</v>
      </c>
      <c r="T32" s="39">
        <v>154.74793892526981</v>
      </c>
      <c r="U32" s="39">
        <v>209.5950083097047</v>
      </c>
      <c r="V32" s="39">
        <v>262.72055609567633</v>
      </c>
      <c r="W32" s="39">
        <v>292.0459656494599</v>
      </c>
      <c r="X32" s="39">
        <v>345.42092023677912</v>
      </c>
      <c r="Y32" s="39">
        <v>375.81323864739949</v>
      </c>
      <c r="Z32" s="39">
        <v>350.47225910556585</v>
      </c>
      <c r="AA32" s="39">
        <v>261.97757230784885</v>
      </c>
      <c r="AB32" s="39">
        <v>335.34538233461825</v>
      </c>
      <c r="AC32" s="39">
        <v>229.067299142937</v>
      </c>
      <c r="AD32" s="39">
        <v>388.41514714896084</v>
      </c>
      <c r="AE32" s="39">
        <v>970.80372858110456</v>
      </c>
      <c r="AF32" s="39">
        <v>1126.6862207891263</v>
      </c>
      <c r="AG32" s="39">
        <v>2185.286391724816</v>
      </c>
      <c r="AH32" s="39">
        <v>2928.0938129658211</v>
      </c>
      <c r="AI32" s="39">
        <v>3175.3003524104006</v>
      </c>
      <c r="AJ32" s="39">
        <v>3451.4117431762784</v>
      </c>
      <c r="AK32" s="39">
        <v>6478.621527113809</v>
      </c>
      <c r="AL32" s="39">
        <v>12972.532570891386</v>
      </c>
      <c r="AM32" s="39">
        <v>9586.9151717706845</v>
      </c>
      <c r="AN32" s="39">
        <v>18319.003315843558</v>
      </c>
      <c r="AO32" s="39">
        <v>14273.347765407334</v>
      </c>
      <c r="AP32" s="39">
        <v>10353.692047987273</v>
      </c>
      <c r="AQ32" s="39">
        <v>9224.0973241595111</v>
      </c>
      <c r="AR32" s="39">
        <v>11237.189139321921</v>
      </c>
      <c r="AS32" s="39">
        <v>10488.803420336175</v>
      </c>
      <c r="AT32" s="39">
        <v>12991.747348858406</v>
      </c>
      <c r="AU32" s="39">
        <v>12856.940476601854</v>
      </c>
      <c r="AV32" s="39">
        <v>16320.716903745997</v>
      </c>
      <c r="AW32" s="39">
        <v>12994.934362100224</v>
      </c>
      <c r="AX32" s="42">
        <v>16281.65370319767</v>
      </c>
    </row>
    <row r="33" spans="1:50" ht="13">
      <c r="A33" s="507"/>
      <c r="B33" s="496"/>
      <c r="C33" s="585"/>
      <c r="D33" s="586"/>
      <c r="E33" s="586"/>
      <c r="F33" s="586"/>
      <c r="G33" s="586"/>
      <c r="H33" s="586"/>
      <c r="I33" s="586"/>
      <c r="J33" s="586"/>
      <c r="K33" s="586"/>
      <c r="L33" s="586"/>
      <c r="M33" s="586"/>
      <c r="N33" s="586"/>
      <c r="O33" s="586"/>
      <c r="P33" s="586"/>
      <c r="Q33" s="586"/>
      <c r="R33" s="586"/>
      <c r="S33" s="586"/>
      <c r="T33" s="586"/>
      <c r="U33" s="586"/>
      <c r="V33" s="586"/>
      <c r="W33" s="586"/>
      <c r="X33" s="586"/>
      <c r="Y33" s="586"/>
      <c r="Z33" s="586"/>
      <c r="AA33" s="586"/>
      <c r="AB33" s="586"/>
      <c r="AC33" s="586"/>
      <c r="AD33" s="586"/>
      <c r="AE33" s="586"/>
      <c r="AF33" s="586"/>
      <c r="AG33" s="586"/>
      <c r="AH33" s="586"/>
      <c r="AI33" s="586"/>
      <c r="AJ33" s="586"/>
      <c r="AK33" s="586"/>
      <c r="AL33" s="586"/>
      <c r="AM33" s="586"/>
      <c r="AN33" s="586"/>
      <c r="AO33" s="586"/>
      <c r="AP33" s="586"/>
      <c r="AQ33" s="586"/>
      <c r="AR33" s="586"/>
      <c r="AS33" s="586"/>
      <c r="AT33" s="586"/>
      <c r="AU33" s="586"/>
      <c r="AV33" s="586"/>
      <c r="AW33" s="586"/>
      <c r="AX33" s="587"/>
    </row>
    <row r="34" spans="1:50" ht="13.5" thickBot="1">
      <c r="A34" s="508" t="s">
        <v>1041</v>
      </c>
      <c r="B34" s="501"/>
      <c r="C34" s="549">
        <v>4535.9524701303089</v>
      </c>
      <c r="D34" s="56">
        <v>4113.9693356677381</v>
      </c>
      <c r="E34" s="56">
        <v>5370.6710664231578</v>
      </c>
      <c r="F34" s="56">
        <v>6587.9150085517849</v>
      </c>
      <c r="G34" s="56">
        <v>6839.0425593964364</v>
      </c>
      <c r="H34" s="56">
        <v>6879.0723903030503</v>
      </c>
      <c r="I34" s="56">
        <v>7712.5126424757873</v>
      </c>
      <c r="J34" s="56">
        <v>8141.8019377379751</v>
      </c>
      <c r="K34" s="56">
        <v>8557.8060028332293</v>
      </c>
      <c r="L34" s="56">
        <v>8645.2856214010153</v>
      </c>
      <c r="M34" s="56">
        <v>8794.4913859039643</v>
      </c>
      <c r="N34" s="56">
        <v>8749.8745375215531</v>
      </c>
      <c r="O34" s="56">
        <v>9092.2606918873571</v>
      </c>
      <c r="P34" s="56">
        <v>9594.3799963421552</v>
      </c>
      <c r="Q34" s="56">
        <v>11241.634060639135</v>
      </c>
      <c r="R34" s="56">
        <v>11959.286772667809</v>
      </c>
      <c r="S34" s="56">
        <v>14581.748506318914</v>
      </c>
      <c r="T34" s="56">
        <v>16312.367318997271</v>
      </c>
      <c r="U34" s="56">
        <v>18059.407564489822</v>
      </c>
      <c r="V34" s="56">
        <v>20189.797984367611</v>
      </c>
      <c r="W34" s="56">
        <v>22428.255100469931</v>
      </c>
      <c r="X34" s="56">
        <v>24887.958404293233</v>
      </c>
      <c r="Y34" s="56">
        <v>26810.789638619786</v>
      </c>
      <c r="Z34" s="56">
        <v>28788.727687621031</v>
      </c>
      <c r="AA34" s="56">
        <v>33592.970370114737</v>
      </c>
      <c r="AB34" s="56">
        <v>40830.826211095831</v>
      </c>
      <c r="AC34" s="56">
        <v>43016.984104837524</v>
      </c>
      <c r="AD34" s="56">
        <v>48858.122364972216</v>
      </c>
      <c r="AE34" s="56">
        <v>51781.87792380419</v>
      </c>
      <c r="AF34" s="56">
        <v>57766.499966573007</v>
      </c>
      <c r="AG34" s="56">
        <v>87467.112311969831</v>
      </c>
      <c r="AH34" s="56">
        <v>138193.97855954539</v>
      </c>
      <c r="AI34" s="56">
        <v>190726.02620477532</v>
      </c>
      <c r="AJ34" s="56">
        <v>225687.80606107315</v>
      </c>
      <c r="AK34" s="56">
        <v>286992.84903325321</v>
      </c>
      <c r="AL34" s="56">
        <v>414424.18959570827</v>
      </c>
      <c r="AM34" s="56">
        <v>594795.28941842238</v>
      </c>
      <c r="AN34" s="56">
        <v>842262.27679700695</v>
      </c>
      <c r="AO34" s="56">
        <v>1047477.2750323714</v>
      </c>
      <c r="AP34" s="56">
        <v>1201481.7050679962</v>
      </c>
      <c r="AQ34" s="56">
        <v>1446992.1696437569</v>
      </c>
      <c r="AR34" s="56">
        <v>1900638.8522899121</v>
      </c>
      <c r="AS34" s="56">
        <v>2269640.2387908292</v>
      </c>
      <c r="AT34" s="56">
        <v>2371442.3022886598</v>
      </c>
      <c r="AU34" s="56">
        <v>2535832.1069973665</v>
      </c>
      <c r="AV34" s="56">
        <v>2518487.0683031497</v>
      </c>
      <c r="AW34" s="56">
        <v>2944292.2816872685</v>
      </c>
      <c r="AX34" s="57">
        <v>3479591.6832186533</v>
      </c>
    </row>
    <row r="35" spans="1:50">
      <c r="AU35" s="542"/>
      <c r="AV35" s="542"/>
      <c r="AW35" s="542"/>
      <c r="AX35" s="542"/>
    </row>
  </sheetData>
  <pageMargins left="0.75" right="0.75" top="1" bottom="1" header="0.5" footer="0.5"/>
  <pageSetup paperSize="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F345-012E-40A0-9C8C-0E4E2E6234BE}">
  <sheetPr>
    <pageSetUpPr fitToPage="1"/>
  </sheetPr>
  <dimension ref="A1:AX36"/>
  <sheetViews>
    <sheetView showGridLines="0" workbookViewId="0">
      <pane xSplit="1" ySplit="6" topLeftCell="AD7" activePane="bottomRight" state="frozen"/>
      <selection pane="topRight" activeCell="B1" sqref="B1"/>
      <selection pane="bottomLeft" activeCell="A7" sqref="A7"/>
      <selection pane="bottomRight" activeCell="AD23" sqref="AD23"/>
    </sheetView>
  </sheetViews>
  <sheetFormatPr defaultRowHeight="12.5"/>
  <cols>
    <col min="1" max="1" width="48.453125" style="485" customWidth="1"/>
    <col min="2" max="256" width="8.7265625" style="485"/>
    <col min="257" max="257" width="48.453125" style="485" customWidth="1"/>
    <col min="258" max="512" width="8.7265625" style="485"/>
    <col min="513" max="513" width="48.453125" style="485" customWidth="1"/>
    <col min="514" max="768" width="8.7265625" style="485"/>
    <col min="769" max="769" width="48.453125" style="485" customWidth="1"/>
    <col min="770" max="1024" width="8.7265625" style="485"/>
    <col min="1025" max="1025" width="48.453125" style="485" customWidth="1"/>
    <col min="1026" max="1280" width="8.7265625" style="485"/>
    <col min="1281" max="1281" width="48.453125" style="485" customWidth="1"/>
    <col min="1282" max="1536" width="8.7265625" style="485"/>
    <col min="1537" max="1537" width="48.453125" style="485" customWidth="1"/>
    <col min="1538" max="1792" width="8.7265625" style="485"/>
    <col min="1793" max="1793" width="48.453125" style="485" customWidth="1"/>
    <col min="1794" max="2048" width="8.7265625" style="485"/>
    <col min="2049" max="2049" width="48.453125" style="485" customWidth="1"/>
    <col min="2050" max="2304" width="8.7265625" style="485"/>
    <col min="2305" max="2305" width="48.453125" style="485" customWidth="1"/>
    <col min="2306" max="2560" width="8.7265625" style="485"/>
    <col min="2561" max="2561" width="48.453125" style="485" customWidth="1"/>
    <col min="2562" max="2816" width="8.7265625" style="485"/>
    <col min="2817" max="2817" width="48.453125" style="485" customWidth="1"/>
    <col min="2818" max="3072" width="8.7265625" style="485"/>
    <col min="3073" max="3073" width="48.453125" style="485" customWidth="1"/>
    <col min="3074" max="3328" width="8.7265625" style="485"/>
    <col min="3329" max="3329" width="48.453125" style="485" customWidth="1"/>
    <col min="3330" max="3584" width="8.7265625" style="485"/>
    <col min="3585" max="3585" width="48.453125" style="485" customWidth="1"/>
    <col min="3586" max="3840" width="8.7265625" style="485"/>
    <col min="3841" max="3841" width="48.453125" style="485" customWidth="1"/>
    <col min="3842" max="4096" width="8.7265625" style="485"/>
    <col min="4097" max="4097" width="48.453125" style="485" customWidth="1"/>
    <col min="4098" max="4352" width="8.7265625" style="485"/>
    <col min="4353" max="4353" width="48.453125" style="485" customWidth="1"/>
    <col min="4354" max="4608" width="8.7265625" style="485"/>
    <col min="4609" max="4609" width="48.453125" style="485" customWidth="1"/>
    <col min="4610" max="4864" width="8.7265625" style="485"/>
    <col min="4865" max="4865" width="48.453125" style="485" customWidth="1"/>
    <col min="4866" max="5120" width="8.7265625" style="485"/>
    <col min="5121" max="5121" width="48.453125" style="485" customWidth="1"/>
    <col min="5122" max="5376" width="8.7265625" style="485"/>
    <col min="5377" max="5377" width="48.453125" style="485" customWidth="1"/>
    <col min="5378" max="5632" width="8.7265625" style="485"/>
    <col min="5633" max="5633" width="48.453125" style="485" customWidth="1"/>
    <col min="5634" max="5888" width="8.7265625" style="485"/>
    <col min="5889" max="5889" width="48.453125" style="485" customWidth="1"/>
    <col min="5890" max="6144" width="8.7265625" style="485"/>
    <col min="6145" max="6145" width="48.453125" style="485" customWidth="1"/>
    <col min="6146" max="6400" width="8.7265625" style="485"/>
    <col min="6401" max="6401" width="48.453125" style="485" customWidth="1"/>
    <col min="6402" max="6656" width="8.7265625" style="485"/>
    <col min="6657" max="6657" width="48.453125" style="485" customWidth="1"/>
    <col min="6658" max="6912" width="8.7265625" style="485"/>
    <col min="6913" max="6913" width="48.453125" style="485" customWidth="1"/>
    <col min="6914" max="7168" width="8.7265625" style="485"/>
    <col min="7169" max="7169" width="48.453125" style="485" customWidth="1"/>
    <col min="7170" max="7424" width="8.7265625" style="485"/>
    <col min="7425" max="7425" width="48.453125" style="485" customWidth="1"/>
    <col min="7426" max="7680" width="8.7265625" style="485"/>
    <col min="7681" max="7681" width="48.453125" style="485" customWidth="1"/>
    <col min="7682" max="7936" width="8.7265625" style="485"/>
    <col min="7937" max="7937" width="48.453125" style="485" customWidth="1"/>
    <col min="7938" max="8192" width="8.7265625" style="485"/>
    <col min="8193" max="8193" width="48.453125" style="485" customWidth="1"/>
    <col min="8194" max="8448" width="8.7265625" style="485"/>
    <col min="8449" max="8449" width="48.453125" style="485" customWidth="1"/>
    <col min="8450" max="8704" width="8.7265625" style="485"/>
    <col min="8705" max="8705" width="48.453125" style="485" customWidth="1"/>
    <col min="8706" max="8960" width="8.7265625" style="485"/>
    <col min="8961" max="8961" width="48.453125" style="485" customWidth="1"/>
    <col min="8962" max="9216" width="8.7265625" style="485"/>
    <col min="9217" max="9217" width="48.453125" style="485" customWidth="1"/>
    <col min="9218" max="9472" width="8.7265625" style="485"/>
    <col min="9473" max="9473" width="48.453125" style="485" customWidth="1"/>
    <col min="9474" max="9728" width="8.7265625" style="485"/>
    <col min="9729" max="9729" width="48.453125" style="485" customWidth="1"/>
    <col min="9730" max="9984" width="8.7265625" style="485"/>
    <col min="9985" max="9985" width="48.453125" style="485" customWidth="1"/>
    <col min="9986" max="10240" width="8.7265625" style="485"/>
    <col min="10241" max="10241" width="48.453125" style="485" customWidth="1"/>
    <col min="10242" max="10496" width="8.7265625" style="485"/>
    <col min="10497" max="10497" width="48.453125" style="485" customWidth="1"/>
    <col min="10498" max="10752" width="8.7265625" style="485"/>
    <col min="10753" max="10753" width="48.453125" style="485" customWidth="1"/>
    <col min="10754" max="11008" width="8.7265625" style="485"/>
    <col min="11009" max="11009" width="48.453125" style="485" customWidth="1"/>
    <col min="11010" max="11264" width="8.7265625" style="485"/>
    <col min="11265" max="11265" width="48.453125" style="485" customWidth="1"/>
    <col min="11266" max="11520" width="8.7265625" style="485"/>
    <col min="11521" max="11521" width="48.453125" style="485" customWidth="1"/>
    <col min="11522" max="11776" width="8.7265625" style="485"/>
    <col min="11777" max="11777" width="48.453125" style="485" customWidth="1"/>
    <col min="11778" max="12032" width="8.7265625" style="485"/>
    <col min="12033" max="12033" width="48.453125" style="485" customWidth="1"/>
    <col min="12034" max="12288" width="8.7265625" style="485"/>
    <col min="12289" max="12289" width="48.453125" style="485" customWidth="1"/>
    <col min="12290" max="12544" width="8.7265625" style="485"/>
    <col min="12545" max="12545" width="48.453125" style="485" customWidth="1"/>
    <col min="12546" max="12800" width="8.7265625" style="485"/>
    <col min="12801" max="12801" width="48.453125" style="485" customWidth="1"/>
    <col min="12802" max="13056" width="8.7265625" style="485"/>
    <col min="13057" max="13057" width="48.453125" style="485" customWidth="1"/>
    <col min="13058" max="13312" width="8.7265625" style="485"/>
    <col min="13313" max="13313" width="48.453125" style="485" customWidth="1"/>
    <col min="13314" max="13568" width="8.7265625" style="485"/>
    <col min="13569" max="13569" width="48.453125" style="485" customWidth="1"/>
    <col min="13570" max="13824" width="8.7265625" style="485"/>
    <col min="13825" max="13825" width="48.453125" style="485" customWidth="1"/>
    <col min="13826" max="14080" width="8.7265625" style="485"/>
    <col min="14081" max="14081" width="48.453125" style="485" customWidth="1"/>
    <col min="14082" max="14336" width="8.7265625" style="485"/>
    <col min="14337" max="14337" width="48.453125" style="485" customWidth="1"/>
    <col min="14338" max="14592" width="8.7265625" style="485"/>
    <col min="14593" max="14593" width="48.453125" style="485" customWidth="1"/>
    <col min="14594" max="14848" width="8.7265625" style="485"/>
    <col min="14849" max="14849" width="48.453125" style="485" customWidth="1"/>
    <col min="14850" max="15104" width="8.7265625" style="485"/>
    <col min="15105" max="15105" width="48.453125" style="485" customWidth="1"/>
    <col min="15106" max="15360" width="8.7265625" style="485"/>
    <col min="15361" max="15361" width="48.453125" style="485" customWidth="1"/>
    <col min="15362" max="15616" width="8.7265625" style="485"/>
    <col min="15617" max="15617" width="48.453125" style="485" customWidth="1"/>
    <col min="15618" max="15872" width="8.7265625" style="485"/>
    <col min="15873" max="15873" width="48.453125" style="485" customWidth="1"/>
    <col min="15874" max="16128" width="8.7265625" style="485"/>
    <col min="16129" max="16129" width="48.453125" style="485" customWidth="1"/>
    <col min="16130" max="16384" width="8.7265625" style="485"/>
  </cols>
  <sheetData>
    <row r="1" spans="1:50" ht="13">
      <c r="A1" s="322" t="s">
        <v>1042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  <c r="AR1" s="323"/>
      <c r="AS1" s="323"/>
      <c r="AT1" s="323"/>
      <c r="AU1" s="323"/>
      <c r="AV1" s="323"/>
    </row>
    <row r="2" spans="1:50" ht="13">
      <c r="A2" s="322" t="s">
        <v>1002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</row>
    <row r="3" spans="1:50" ht="13">
      <c r="A3" s="323" t="s">
        <v>931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  <c r="AQ3" s="323"/>
      <c r="AR3" s="323"/>
      <c r="AS3" s="323"/>
      <c r="AT3" s="323"/>
      <c r="AU3" s="323"/>
      <c r="AV3" s="323"/>
    </row>
    <row r="4" spans="1:50" ht="13.5" thickBot="1">
      <c r="A4" s="323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</row>
    <row r="5" spans="1:50" ht="13">
      <c r="A5" s="588"/>
      <c r="B5" s="543">
        <v>1947</v>
      </c>
      <c r="C5" s="543">
        <v>1948</v>
      </c>
      <c r="D5" s="543">
        <v>1949</v>
      </c>
      <c r="E5" s="543">
        <v>1950</v>
      </c>
      <c r="F5" s="543">
        <v>1951</v>
      </c>
      <c r="G5" s="543">
        <v>1952</v>
      </c>
      <c r="H5" s="543">
        <v>1953</v>
      </c>
      <c r="I5" s="543">
        <v>1954</v>
      </c>
      <c r="J5" s="543">
        <v>1955</v>
      </c>
      <c r="K5" s="543">
        <v>1956</v>
      </c>
      <c r="L5" s="543">
        <v>1957</v>
      </c>
      <c r="M5" s="543">
        <v>1958</v>
      </c>
      <c r="N5" s="543">
        <v>1959</v>
      </c>
      <c r="O5" s="543">
        <v>1960</v>
      </c>
      <c r="P5" s="543">
        <v>1961</v>
      </c>
      <c r="Q5" s="543">
        <v>1962</v>
      </c>
      <c r="R5" s="543">
        <v>1963</v>
      </c>
      <c r="S5" s="543">
        <v>1964</v>
      </c>
      <c r="T5" s="543">
        <v>1965</v>
      </c>
      <c r="U5" s="543">
        <v>1966</v>
      </c>
      <c r="V5" s="543">
        <v>1967</v>
      </c>
      <c r="W5" s="543">
        <v>1968</v>
      </c>
      <c r="X5" s="543">
        <v>1969</v>
      </c>
      <c r="Y5" s="543">
        <v>1970</v>
      </c>
      <c r="Z5" s="543">
        <v>1971</v>
      </c>
      <c r="AA5" s="543">
        <v>1972</v>
      </c>
      <c r="AB5" s="543">
        <v>1973</v>
      </c>
      <c r="AC5" s="543">
        <v>1974</v>
      </c>
      <c r="AD5" s="543">
        <v>1975</v>
      </c>
      <c r="AE5" s="543">
        <v>1976</v>
      </c>
      <c r="AF5" s="543">
        <v>1977</v>
      </c>
      <c r="AG5" s="543">
        <v>1978</v>
      </c>
      <c r="AH5" s="543">
        <v>1979</v>
      </c>
      <c r="AI5" s="543">
        <v>1980</v>
      </c>
      <c r="AJ5" s="543">
        <v>1981</v>
      </c>
      <c r="AK5" s="543">
        <v>1982</v>
      </c>
      <c r="AL5" s="543">
        <v>1983</v>
      </c>
      <c r="AM5" s="543">
        <v>1984</v>
      </c>
      <c r="AN5" s="543">
        <v>1985</v>
      </c>
      <c r="AO5" s="543">
        <v>1986</v>
      </c>
      <c r="AP5" s="543">
        <v>1987</v>
      </c>
      <c r="AQ5" s="543">
        <v>1988</v>
      </c>
      <c r="AR5" s="543">
        <v>1989</v>
      </c>
      <c r="AS5" s="543">
        <v>1990</v>
      </c>
      <c r="AT5" s="543">
        <v>1991</v>
      </c>
      <c r="AU5" s="543">
        <v>1992</v>
      </c>
      <c r="AV5" s="543">
        <v>1993</v>
      </c>
      <c r="AW5" s="543">
        <v>1994</v>
      </c>
      <c r="AX5" s="342">
        <v>1995</v>
      </c>
    </row>
    <row r="6" spans="1:50" ht="13.5" thickBot="1">
      <c r="A6" s="334"/>
      <c r="B6" s="545"/>
      <c r="C6" s="545"/>
      <c r="D6" s="545"/>
      <c r="E6" s="545"/>
      <c r="F6" s="545"/>
      <c r="G6" s="545"/>
      <c r="H6" s="545"/>
      <c r="I6" s="545"/>
      <c r="J6" s="545"/>
      <c r="K6" s="545"/>
      <c r="L6" s="545"/>
      <c r="M6" s="545"/>
      <c r="N6" s="545"/>
      <c r="O6" s="545"/>
      <c r="P6" s="545"/>
      <c r="Q6" s="545"/>
      <c r="R6" s="545"/>
      <c r="S6" s="545"/>
      <c r="T6" s="545"/>
      <c r="U6" s="545"/>
      <c r="V6" s="545"/>
      <c r="W6" s="545"/>
      <c r="X6" s="545"/>
      <c r="Y6" s="545"/>
      <c r="Z6" s="545"/>
      <c r="AA6" s="545"/>
      <c r="AB6" s="545"/>
      <c r="AC6" s="545"/>
      <c r="AD6" s="545"/>
      <c r="AE6" s="545"/>
      <c r="AF6" s="545"/>
      <c r="AG6" s="545"/>
      <c r="AH6" s="545"/>
      <c r="AI6" s="545"/>
      <c r="AJ6" s="545"/>
      <c r="AK6" s="545"/>
      <c r="AL6" s="545"/>
      <c r="AM6" s="545"/>
      <c r="AN6" s="545"/>
      <c r="AO6" s="545"/>
      <c r="AP6" s="545"/>
      <c r="AQ6" s="545"/>
      <c r="AR6" s="545"/>
      <c r="AS6" s="545"/>
      <c r="AT6" s="545"/>
      <c r="AU6" s="545"/>
      <c r="AV6" s="545"/>
      <c r="AW6" s="545"/>
      <c r="AX6" s="501"/>
    </row>
    <row r="7" spans="1:50" ht="13">
      <c r="A7" s="327" t="s">
        <v>1020</v>
      </c>
      <c r="B7" s="548">
        <v>2038.83674</v>
      </c>
      <c r="C7" s="548">
        <v>1387.7161380000002</v>
      </c>
      <c r="D7" s="548">
        <v>1213.5113140000001</v>
      </c>
      <c r="E7" s="548">
        <v>1127.50901</v>
      </c>
      <c r="F7" s="548">
        <v>1188.5756899999999</v>
      </c>
      <c r="G7" s="548">
        <v>1013.5915799999999</v>
      </c>
      <c r="H7" s="548">
        <v>1098.7858100000001</v>
      </c>
      <c r="I7" s="548">
        <v>1196.531029</v>
      </c>
      <c r="J7" s="548">
        <v>1418.6399199999998</v>
      </c>
      <c r="K7" s="548">
        <v>1980.8183370000002</v>
      </c>
      <c r="L7" s="548">
        <v>1860.2804199999998</v>
      </c>
      <c r="M7" s="548">
        <v>1982.9442099999999</v>
      </c>
      <c r="N7" s="548">
        <v>2188.5660430000007</v>
      </c>
      <c r="O7" s="548">
        <v>2378.0059999999999</v>
      </c>
      <c r="P7" s="548">
        <v>2535.3110000000001</v>
      </c>
      <c r="Q7" s="548">
        <v>2157.9110000000001</v>
      </c>
      <c r="R7" s="548">
        <v>2625.7289999999998</v>
      </c>
      <c r="S7" s="548">
        <v>3146.2040000000002</v>
      </c>
      <c r="T7" s="548">
        <v>4255.5479999999998</v>
      </c>
      <c r="U7" s="548">
        <v>4543</v>
      </c>
      <c r="V7" s="548">
        <v>5552</v>
      </c>
      <c r="W7" s="548">
        <v>5500</v>
      </c>
      <c r="X7" s="548">
        <v>6358</v>
      </c>
      <c r="Y7" s="548">
        <v>7645</v>
      </c>
      <c r="Z7" s="548">
        <v>10079</v>
      </c>
      <c r="AA7" s="548">
        <v>12543</v>
      </c>
      <c r="AB7" s="548">
        <v>14277</v>
      </c>
      <c r="AC7" s="548">
        <v>20995</v>
      </c>
      <c r="AD7" s="548">
        <v>15611</v>
      </c>
      <c r="AE7" s="548">
        <v>19942.431</v>
      </c>
      <c r="AF7" s="548">
        <v>20438.758000000002</v>
      </c>
      <c r="AG7" s="548">
        <v>21558.699000000001</v>
      </c>
      <c r="AH7" s="548">
        <v>30958.386999999999</v>
      </c>
      <c r="AI7" s="548">
        <v>38457.911999999997</v>
      </c>
      <c r="AJ7" s="548">
        <v>59099.904000000002</v>
      </c>
      <c r="AK7" s="548">
        <v>79501.959000000003</v>
      </c>
      <c r="AL7" s="548">
        <v>90434.270999999993</v>
      </c>
      <c r="AM7" s="548">
        <v>110657.946</v>
      </c>
      <c r="AN7" s="548">
        <v>159025.02499999999</v>
      </c>
      <c r="AO7" s="548">
        <v>217042.182</v>
      </c>
      <c r="AP7" s="548">
        <v>349676.88400000002</v>
      </c>
      <c r="AQ7" s="548">
        <v>523969.614</v>
      </c>
      <c r="AR7" s="548">
        <v>599247.09499999997</v>
      </c>
      <c r="AS7" s="548">
        <v>799640.04500000004</v>
      </c>
      <c r="AT7" s="548">
        <v>985000.08600000001</v>
      </c>
      <c r="AU7" s="548">
        <v>1155841.933</v>
      </c>
      <c r="AV7" s="548">
        <v>1230471.1700422342</v>
      </c>
      <c r="AW7" s="548">
        <v>1363351.1143930713</v>
      </c>
      <c r="AX7" s="58">
        <v>1446991.4334469642</v>
      </c>
    </row>
    <row r="8" spans="1:50" ht="13">
      <c r="A8" s="327" t="s">
        <v>1021</v>
      </c>
      <c r="B8" s="548">
        <v>1343.596</v>
      </c>
      <c r="C8" s="548">
        <v>821.67763800000012</v>
      </c>
      <c r="D8" s="548">
        <v>845.17259999999999</v>
      </c>
      <c r="E8" s="548">
        <v>776.03150000000005</v>
      </c>
      <c r="F8" s="548">
        <v>771.41150000000005</v>
      </c>
      <c r="G8" s="548">
        <v>539.98469999999998</v>
      </c>
      <c r="H8" s="548">
        <v>609.37950000000001</v>
      </c>
      <c r="I8" s="548">
        <v>565.22259999999994</v>
      </c>
      <c r="J8" s="548">
        <v>661.57104499999991</v>
      </c>
      <c r="K8" s="548">
        <v>1175.4715000000001</v>
      </c>
      <c r="L8" s="548">
        <v>967.18100000000004</v>
      </c>
      <c r="M8" s="548">
        <v>946.03579999999999</v>
      </c>
      <c r="N8" s="548">
        <v>1000.8396840000008</v>
      </c>
      <c r="O8" s="548">
        <v>1264.9760000000001</v>
      </c>
      <c r="P8" s="548">
        <v>1353.4369999999999</v>
      </c>
      <c r="Q8" s="548">
        <v>1165.374</v>
      </c>
      <c r="R8" s="548">
        <v>1457.61</v>
      </c>
      <c r="S8" s="548">
        <v>1896.2809999999999</v>
      </c>
      <c r="T8" s="548">
        <v>2423.6239999999998</v>
      </c>
      <c r="U8" s="548">
        <v>2562</v>
      </c>
      <c r="V8" s="548">
        <v>3421</v>
      </c>
      <c r="W8" s="548">
        <v>3007</v>
      </c>
      <c r="X8" s="548">
        <v>3290</v>
      </c>
      <c r="Y8" s="548">
        <v>4094</v>
      </c>
      <c r="Z8" s="548">
        <v>5893</v>
      </c>
      <c r="AA8" s="548">
        <v>7815</v>
      </c>
      <c r="AB8" s="548">
        <v>8768</v>
      </c>
      <c r="AC8" s="548">
        <v>13585</v>
      </c>
      <c r="AD8" s="548">
        <v>9891</v>
      </c>
      <c r="AE8" s="548">
        <v>13868.789000000001</v>
      </c>
      <c r="AF8" s="548">
        <v>15856.157999999999</v>
      </c>
      <c r="AG8" s="548">
        <v>14959.37</v>
      </c>
      <c r="AH8" s="548">
        <v>20013.815999999999</v>
      </c>
      <c r="AI8" s="548">
        <v>22271.692999999999</v>
      </c>
      <c r="AJ8" s="548">
        <v>32580.245999999999</v>
      </c>
      <c r="AK8" s="548">
        <v>45299.374000000003</v>
      </c>
      <c r="AL8" s="548">
        <v>47976.552000000003</v>
      </c>
      <c r="AM8" s="548">
        <v>60382.796999999999</v>
      </c>
      <c r="AN8" s="548">
        <v>87508.96</v>
      </c>
      <c r="AO8" s="548">
        <v>128940.587</v>
      </c>
      <c r="AP8" s="548">
        <v>210128.82500000001</v>
      </c>
      <c r="AQ8" s="548">
        <v>281766.72499999998</v>
      </c>
      <c r="AR8" s="548">
        <v>341908.08</v>
      </c>
      <c r="AS8" s="548">
        <v>462662.40500000003</v>
      </c>
      <c r="AT8" s="548">
        <v>580772.92299999995</v>
      </c>
      <c r="AU8" s="548">
        <v>652141.72499999998</v>
      </c>
      <c r="AV8" s="548">
        <v>733926.02605628152</v>
      </c>
      <c r="AW8" s="548">
        <v>859636.62754146627</v>
      </c>
      <c r="AX8" s="58">
        <v>945376.92639453989</v>
      </c>
    </row>
    <row r="9" spans="1:50" ht="13">
      <c r="A9" s="327" t="s">
        <v>1022</v>
      </c>
      <c r="B9" s="548">
        <v>1077.6780000000001</v>
      </c>
      <c r="C9" s="548">
        <v>585.69819999999993</v>
      </c>
      <c r="D9" s="548">
        <v>628.30740000000003</v>
      </c>
      <c r="E9" s="548">
        <v>563.64280000000008</v>
      </c>
      <c r="F9" s="548">
        <v>528.23779999999999</v>
      </c>
      <c r="G9" s="548">
        <v>275.43150000000003</v>
      </c>
      <c r="H9" s="548">
        <v>348.61950000000002</v>
      </c>
      <c r="I9" s="548">
        <v>264.75420000000003</v>
      </c>
      <c r="J9" s="548">
        <v>312.51914500000004</v>
      </c>
      <c r="K9" s="548">
        <v>789.33100000000002</v>
      </c>
      <c r="L9" s="548">
        <v>543.91800000000001</v>
      </c>
      <c r="M9" s="548">
        <v>511.28579999999999</v>
      </c>
      <c r="N9" s="548">
        <v>500.25732099999988</v>
      </c>
      <c r="O9" s="548">
        <v>671.71500000000003</v>
      </c>
      <c r="P9" s="548">
        <v>739.63300000000004</v>
      </c>
      <c r="Q9" s="548">
        <v>547.04300000000001</v>
      </c>
      <c r="R9" s="548">
        <v>768.15200000000004</v>
      </c>
      <c r="S9" s="548">
        <v>1039.049</v>
      </c>
      <c r="T9" s="548">
        <v>1355.904</v>
      </c>
      <c r="U9" s="548">
        <v>1320.76</v>
      </c>
      <c r="V9" s="548">
        <v>2058.5169999999998</v>
      </c>
      <c r="W9" s="548">
        <v>1401.0719999999999</v>
      </c>
      <c r="X9" s="548">
        <v>1389.039</v>
      </c>
      <c r="Y9" s="548">
        <v>1801.992</v>
      </c>
      <c r="Z9" s="548">
        <v>3218.3510000000001</v>
      </c>
      <c r="AA9" s="548">
        <v>4708.1549999999997</v>
      </c>
      <c r="AB9" s="548">
        <v>4603.9549999999999</v>
      </c>
      <c r="AC9" s="548">
        <v>7998.94</v>
      </c>
      <c r="AD9" s="548">
        <v>5547.0010000000002</v>
      </c>
      <c r="AE9" s="548">
        <v>8430.94</v>
      </c>
      <c r="AF9" s="548">
        <v>9509.1010000000006</v>
      </c>
      <c r="AG9" s="548">
        <v>6823.09</v>
      </c>
      <c r="AH9" s="548">
        <v>9867.9599999999991</v>
      </c>
      <c r="AI9" s="548">
        <v>9844.0939999999991</v>
      </c>
      <c r="AJ9" s="548">
        <v>16220.473</v>
      </c>
      <c r="AK9" s="548">
        <v>25730.306</v>
      </c>
      <c r="AL9" s="548">
        <v>24195.010999999999</v>
      </c>
      <c r="AM9" s="548">
        <v>32229.343000000001</v>
      </c>
      <c r="AN9" s="548">
        <v>51226.853999999999</v>
      </c>
      <c r="AO9" s="548">
        <v>64605.974000000002</v>
      </c>
      <c r="AP9" s="548">
        <v>109263.882</v>
      </c>
      <c r="AQ9" s="548">
        <v>142239.75700000001</v>
      </c>
      <c r="AR9" s="548">
        <v>170908.14199999999</v>
      </c>
      <c r="AS9" s="548">
        <v>219676.47899999999</v>
      </c>
      <c r="AT9" s="548">
        <v>269544.63099999999</v>
      </c>
      <c r="AU9" s="548">
        <v>274721.592</v>
      </c>
      <c r="AV9" s="548">
        <v>318557.26615403948</v>
      </c>
      <c r="AW9" s="548">
        <v>413743.46449252329</v>
      </c>
      <c r="AX9" s="58">
        <v>443815.82828286872</v>
      </c>
    </row>
    <row r="10" spans="1:50" ht="13">
      <c r="A10" s="327" t="s">
        <v>1023</v>
      </c>
      <c r="B10" s="548">
        <v>1046.8689999999999</v>
      </c>
      <c r="C10" s="548">
        <v>570.56319999999994</v>
      </c>
      <c r="D10" s="548">
        <v>617.60040000000004</v>
      </c>
      <c r="E10" s="548">
        <v>552.33780000000002</v>
      </c>
      <c r="F10" s="548">
        <v>519.27980000000002</v>
      </c>
      <c r="G10" s="548">
        <v>264.76749999999998</v>
      </c>
      <c r="H10" s="548">
        <v>318.82350000000002</v>
      </c>
      <c r="I10" s="548">
        <v>252.8922</v>
      </c>
      <c r="J10" s="548">
        <v>296.63914500000004</v>
      </c>
      <c r="K10" s="548">
        <v>775.81</v>
      </c>
      <c r="L10" s="548">
        <v>528.01700000000005</v>
      </c>
      <c r="M10" s="548">
        <v>494.8288</v>
      </c>
      <c r="N10" s="548">
        <v>483.71414299999992</v>
      </c>
      <c r="O10" s="548">
        <v>646.95299999999997</v>
      </c>
      <c r="P10" s="548">
        <v>712.45399999999995</v>
      </c>
      <c r="Q10" s="548">
        <v>520.88499999999999</v>
      </c>
      <c r="R10" s="548">
        <v>742.452</v>
      </c>
      <c r="S10" s="548">
        <v>1006.568</v>
      </c>
      <c r="T10" s="548">
        <v>1318.145</v>
      </c>
      <c r="U10" s="548">
        <v>1276.25</v>
      </c>
      <c r="V10" s="548">
        <v>2007.7270000000001</v>
      </c>
      <c r="W10" s="548">
        <v>1344.2260000000001</v>
      </c>
      <c r="X10" s="548">
        <v>1330.1010000000001</v>
      </c>
      <c r="Y10" s="548">
        <v>1725.268</v>
      </c>
      <c r="Z10" s="548">
        <v>3131.192</v>
      </c>
      <c r="AA10" s="548">
        <v>4610.4359999999997</v>
      </c>
      <c r="AB10" s="548">
        <v>4269.4459999999999</v>
      </c>
      <c r="AC10" s="548">
        <v>7518.9560000000001</v>
      </c>
      <c r="AD10" s="548">
        <v>5441.7539999999999</v>
      </c>
      <c r="AE10" s="548">
        <v>8280.2540000000008</v>
      </c>
      <c r="AF10" s="548">
        <v>9322.7780000000002</v>
      </c>
      <c r="AG10" s="548">
        <v>6109.826</v>
      </c>
      <c r="AH10" s="548">
        <v>8141.5559999999996</v>
      </c>
      <c r="AI10" s="548">
        <v>9358.1149999999998</v>
      </c>
      <c r="AJ10" s="548">
        <v>15279.112999999999</v>
      </c>
      <c r="AK10" s="548">
        <v>24071.157999999999</v>
      </c>
      <c r="AL10" s="548">
        <v>23430.117999999999</v>
      </c>
      <c r="AM10" s="548">
        <v>31369.215</v>
      </c>
      <c r="AN10" s="548">
        <v>50119.43</v>
      </c>
      <c r="AO10" s="548">
        <v>60773.771000000001</v>
      </c>
      <c r="AP10" s="548">
        <v>102825.829</v>
      </c>
      <c r="AQ10" s="548">
        <v>132074.065</v>
      </c>
      <c r="AR10" s="548">
        <v>146270.54999999999</v>
      </c>
      <c r="AS10" s="548">
        <v>198747.04500000001</v>
      </c>
      <c r="AT10" s="548">
        <v>247704.524</v>
      </c>
      <c r="AU10" s="548">
        <v>248296.204</v>
      </c>
      <c r="AV10" s="548">
        <v>289276.01815403951</v>
      </c>
      <c r="AW10" s="548">
        <v>368137.80649252329</v>
      </c>
      <c r="AX10" s="58">
        <v>397026.57228286873</v>
      </c>
    </row>
    <row r="11" spans="1:50" ht="13">
      <c r="A11" s="327" t="s">
        <v>1024</v>
      </c>
      <c r="B11" s="548">
        <v>18.928999999999998</v>
      </c>
      <c r="C11" s="548">
        <v>5.4640000000000004</v>
      </c>
      <c r="D11" s="548">
        <v>5.9260000000000002</v>
      </c>
      <c r="E11" s="548">
        <v>3.8149999999999999</v>
      </c>
      <c r="F11" s="548">
        <v>3.774</v>
      </c>
      <c r="G11" s="548">
        <v>4.58</v>
      </c>
      <c r="H11" s="548">
        <v>23.314</v>
      </c>
      <c r="I11" s="548">
        <v>5.8239999999999998</v>
      </c>
      <c r="J11" s="548">
        <v>8.5419999999999998</v>
      </c>
      <c r="K11" s="548">
        <v>5.9610000000000003</v>
      </c>
      <c r="L11" s="548">
        <v>6.9539999999999997</v>
      </c>
      <c r="M11" s="548">
        <v>7.9450000000000003</v>
      </c>
      <c r="N11" s="548">
        <v>8.7895779999999988</v>
      </c>
      <c r="O11" s="548">
        <v>13.798999999999999</v>
      </c>
      <c r="P11" s="548">
        <v>15.647</v>
      </c>
      <c r="Q11" s="548">
        <v>13.009</v>
      </c>
      <c r="R11" s="548">
        <v>12.731</v>
      </c>
      <c r="S11" s="548">
        <v>15.863</v>
      </c>
      <c r="T11" s="548">
        <v>19.443999999999999</v>
      </c>
      <c r="U11" s="548">
        <v>23.75</v>
      </c>
      <c r="V11" s="548">
        <v>28.273</v>
      </c>
      <c r="W11" s="548">
        <v>33.774000000000001</v>
      </c>
      <c r="X11" s="548">
        <v>36.899000000000001</v>
      </c>
      <c r="Y11" s="548">
        <v>51.731999999999999</v>
      </c>
      <c r="Z11" s="548">
        <v>59.808</v>
      </c>
      <c r="AA11" s="548">
        <v>68.563999999999993</v>
      </c>
      <c r="AB11" s="548">
        <v>298.55399999999997</v>
      </c>
      <c r="AC11" s="548">
        <v>441.04399999999998</v>
      </c>
      <c r="AD11" s="548">
        <v>72.245999999999995</v>
      </c>
      <c r="AE11" s="548">
        <v>126.077</v>
      </c>
      <c r="AF11" s="548">
        <v>165.797</v>
      </c>
      <c r="AG11" s="548">
        <v>690.76800000000003</v>
      </c>
      <c r="AH11" s="548">
        <v>1699.09</v>
      </c>
      <c r="AI11" s="548">
        <v>443.74</v>
      </c>
      <c r="AJ11" s="548">
        <v>895.15099999999995</v>
      </c>
      <c r="AK11" s="548">
        <v>1530.7560000000001</v>
      </c>
      <c r="AL11" s="548">
        <v>715.66499999999996</v>
      </c>
      <c r="AM11" s="548">
        <v>827.654</v>
      </c>
      <c r="AN11" s="548">
        <v>1069.5329999999999</v>
      </c>
      <c r="AO11" s="548">
        <v>3703.105</v>
      </c>
      <c r="AP11" s="548">
        <v>6284.5169999999998</v>
      </c>
      <c r="AQ11" s="548">
        <v>10021.191999999999</v>
      </c>
      <c r="AR11" s="548">
        <v>24412.151999999998</v>
      </c>
      <c r="AS11" s="548">
        <v>20584.561000000002</v>
      </c>
      <c r="AT11" s="548">
        <v>20829.556</v>
      </c>
      <c r="AU11" s="548">
        <v>24106.773000000001</v>
      </c>
      <c r="AV11" s="548">
        <v>25291.8</v>
      </c>
      <c r="AW11" s="548">
        <v>40333.464999999997</v>
      </c>
      <c r="AX11" s="58">
        <v>39215.302000000003</v>
      </c>
    </row>
    <row r="12" spans="1:50" ht="13">
      <c r="A12" s="327" t="s">
        <v>1025</v>
      </c>
      <c r="B12" s="548">
        <v>11.88</v>
      </c>
      <c r="C12" s="548">
        <v>9.6709999999999994</v>
      </c>
      <c r="D12" s="548">
        <v>4.7809999999999997</v>
      </c>
      <c r="E12" s="548">
        <v>7.49</v>
      </c>
      <c r="F12" s="548">
        <v>5.1840000000000002</v>
      </c>
      <c r="G12" s="548">
        <v>6.0839999999999996</v>
      </c>
      <c r="H12" s="548">
        <v>6.4820000000000002</v>
      </c>
      <c r="I12" s="548">
        <v>6.0380000000000003</v>
      </c>
      <c r="J12" s="548">
        <v>7.3380000000000001</v>
      </c>
      <c r="K12" s="548">
        <v>7.56</v>
      </c>
      <c r="L12" s="548">
        <v>8.9469999999999992</v>
      </c>
      <c r="M12" s="548">
        <v>8.5120000000000005</v>
      </c>
      <c r="N12" s="548">
        <v>7.7536000000000005</v>
      </c>
      <c r="O12" s="548">
        <v>10.962999999999999</v>
      </c>
      <c r="P12" s="548">
        <v>11.532</v>
      </c>
      <c r="Q12" s="548">
        <v>13.148999999999999</v>
      </c>
      <c r="R12" s="548">
        <v>12.968999999999999</v>
      </c>
      <c r="S12" s="548">
        <v>16.617999999999999</v>
      </c>
      <c r="T12" s="548">
        <v>18.315000000000001</v>
      </c>
      <c r="U12" s="548">
        <v>20.76</v>
      </c>
      <c r="V12" s="548">
        <v>22.516999999999999</v>
      </c>
      <c r="W12" s="548">
        <v>23.071999999999999</v>
      </c>
      <c r="X12" s="548">
        <v>22.039000000000001</v>
      </c>
      <c r="Y12" s="548">
        <v>24.992000000000001</v>
      </c>
      <c r="Z12" s="548">
        <v>27.350999999999999</v>
      </c>
      <c r="AA12" s="548">
        <v>29.155000000000001</v>
      </c>
      <c r="AB12" s="548">
        <v>35.954999999999998</v>
      </c>
      <c r="AC12" s="548">
        <v>38.94</v>
      </c>
      <c r="AD12" s="548">
        <v>33.000999999999998</v>
      </c>
      <c r="AE12" s="548">
        <v>24.609000000000002</v>
      </c>
      <c r="AF12" s="548">
        <v>20.526</v>
      </c>
      <c r="AG12" s="548">
        <v>22.495999999999999</v>
      </c>
      <c r="AH12" s="548">
        <v>27.314</v>
      </c>
      <c r="AI12" s="548">
        <v>42.238999999999997</v>
      </c>
      <c r="AJ12" s="548">
        <v>46.209000000000003</v>
      </c>
      <c r="AK12" s="548">
        <v>128.392</v>
      </c>
      <c r="AL12" s="548">
        <v>49.228000000000002</v>
      </c>
      <c r="AM12" s="548">
        <v>32.473999999999997</v>
      </c>
      <c r="AN12" s="548">
        <v>37.890999999999998</v>
      </c>
      <c r="AO12" s="548">
        <v>129.09800000000001</v>
      </c>
      <c r="AP12" s="548">
        <v>153.536</v>
      </c>
      <c r="AQ12" s="548">
        <v>144.5</v>
      </c>
      <c r="AR12" s="548">
        <v>225.44</v>
      </c>
      <c r="AS12" s="548">
        <v>344.87299999999999</v>
      </c>
      <c r="AT12" s="548">
        <v>1010.551</v>
      </c>
      <c r="AU12" s="548">
        <v>2318.6149999999998</v>
      </c>
      <c r="AV12" s="548">
        <v>3989.4479999999999</v>
      </c>
      <c r="AW12" s="548">
        <v>5272.1930000000002</v>
      </c>
      <c r="AX12" s="58">
        <v>7573.9539999999997</v>
      </c>
    </row>
    <row r="13" spans="1:50" ht="13">
      <c r="A13" s="327" t="s">
        <v>1026</v>
      </c>
      <c r="B13" s="548">
        <v>28.076000000000001</v>
      </c>
      <c r="C13" s="548">
        <v>26.494438000000002</v>
      </c>
      <c r="D13" s="548">
        <v>14.782</v>
      </c>
      <c r="E13" s="548">
        <v>6.3813999999999993</v>
      </c>
      <c r="F13" s="548">
        <v>19.031400000000001</v>
      </c>
      <c r="G13" s="548">
        <v>19.71</v>
      </c>
      <c r="H13" s="548">
        <v>22.728999999999999</v>
      </c>
      <c r="I13" s="548">
        <v>28.526</v>
      </c>
      <c r="J13" s="548">
        <v>32.237000000000002</v>
      </c>
      <c r="K13" s="548">
        <v>26.428000000000001</v>
      </c>
      <c r="L13" s="548">
        <v>26.760999999999999</v>
      </c>
      <c r="M13" s="548">
        <v>29.468599999999999</v>
      </c>
      <c r="N13" s="548">
        <v>29.150542000000002</v>
      </c>
      <c r="O13" s="548">
        <v>24.55</v>
      </c>
      <c r="P13" s="548">
        <v>24.739000000000001</v>
      </c>
      <c r="Q13" s="548">
        <v>23.4</v>
      </c>
      <c r="R13" s="548">
        <v>20.795999999999999</v>
      </c>
      <c r="S13" s="548">
        <v>33.246000000000002</v>
      </c>
      <c r="T13" s="548">
        <v>82.281000000000006</v>
      </c>
      <c r="U13" s="548">
        <v>85.799000000000007</v>
      </c>
      <c r="V13" s="548">
        <v>94.299000000000007</v>
      </c>
      <c r="W13" s="548">
        <v>113.371</v>
      </c>
      <c r="X13" s="548">
        <v>152.964</v>
      </c>
      <c r="Y13" s="548">
        <v>267.08699999999999</v>
      </c>
      <c r="Z13" s="548">
        <v>355.83</v>
      </c>
      <c r="AA13" s="548">
        <v>413.97</v>
      </c>
      <c r="AB13" s="548">
        <v>721.30799999999999</v>
      </c>
      <c r="AC13" s="548">
        <v>1047.384</v>
      </c>
      <c r="AD13" s="548">
        <v>665.65200000000004</v>
      </c>
      <c r="AE13" s="548">
        <v>564.20100000000002</v>
      </c>
      <c r="AF13" s="548">
        <v>489.04500000000002</v>
      </c>
      <c r="AG13" s="548">
        <v>401.17200000000003</v>
      </c>
      <c r="AH13" s="548">
        <v>454.36900000000003</v>
      </c>
      <c r="AI13" s="548">
        <v>690.11300000000006</v>
      </c>
      <c r="AJ13" s="548">
        <v>1420.348</v>
      </c>
      <c r="AK13" s="548">
        <v>2409.556</v>
      </c>
      <c r="AL13" s="548">
        <v>2344.6660000000002</v>
      </c>
      <c r="AM13" s="548">
        <v>2519.8229999999999</v>
      </c>
      <c r="AN13" s="548">
        <v>4835.6379999999999</v>
      </c>
      <c r="AO13" s="548">
        <v>11443.901</v>
      </c>
      <c r="AP13" s="548">
        <v>25695.775000000001</v>
      </c>
      <c r="AQ13" s="548">
        <v>38672.495000000003</v>
      </c>
      <c r="AR13" s="548">
        <v>52766.788999999997</v>
      </c>
      <c r="AS13" s="548">
        <v>78661.914000000004</v>
      </c>
      <c r="AT13" s="548">
        <v>106547.818</v>
      </c>
      <c r="AU13" s="548">
        <v>130960.887</v>
      </c>
      <c r="AV13" s="548">
        <v>137159.872</v>
      </c>
      <c r="AW13" s="548">
        <v>151461.223</v>
      </c>
      <c r="AX13" s="58">
        <v>167936.42199999999</v>
      </c>
    </row>
    <row r="14" spans="1:50" ht="13">
      <c r="A14" s="327" t="s">
        <v>1027</v>
      </c>
      <c r="B14" s="548">
        <v>25.498999999999999</v>
      </c>
      <c r="C14" s="548">
        <v>25.104438000000002</v>
      </c>
      <c r="D14" s="548">
        <v>13.859</v>
      </c>
      <c r="E14" s="548">
        <v>6.2943999999999996</v>
      </c>
      <c r="F14" s="548">
        <v>18.677400000000002</v>
      </c>
      <c r="G14" s="548">
        <v>18.219000000000001</v>
      </c>
      <c r="H14" s="548">
        <v>21.81</v>
      </c>
      <c r="I14" s="548">
        <v>27.545999999999999</v>
      </c>
      <c r="J14" s="548">
        <v>30.625</v>
      </c>
      <c r="K14" s="548">
        <v>24.538</v>
      </c>
      <c r="L14" s="548">
        <v>24.779</v>
      </c>
      <c r="M14" s="548">
        <v>28.231999999999999</v>
      </c>
      <c r="N14" s="548">
        <v>27.416526000000001</v>
      </c>
      <c r="O14" s="548">
        <v>21.53</v>
      </c>
      <c r="P14" s="548">
        <v>19.849</v>
      </c>
      <c r="Q14" s="548">
        <v>19.053000000000001</v>
      </c>
      <c r="R14" s="548">
        <v>17.727</v>
      </c>
      <c r="S14" s="548">
        <v>27.811</v>
      </c>
      <c r="T14" s="548">
        <v>73.311000000000007</v>
      </c>
      <c r="U14" s="548">
        <v>77.77</v>
      </c>
      <c r="V14" s="548">
        <v>84.626999999999995</v>
      </c>
      <c r="W14" s="548">
        <v>99.385999999999996</v>
      </c>
      <c r="X14" s="548">
        <v>126.839</v>
      </c>
      <c r="Y14" s="548">
        <v>228.614</v>
      </c>
      <c r="Z14" s="548">
        <v>320.54599999999999</v>
      </c>
      <c r="AA14" s="548">
        <v>382.767</v>
      </c>
      <c r="AB14" s="548">
        <v>669.58399999999995</v>
      </c>
      <c r="AC14" s="548">
        <v>927.80799999999999</v>
      </c>
      <c r="AD14" s="548">
        <v>533.72799999999995</v>
      </c>
      <c r="AE14" s="548">
        <v>478.64100000000002</v>
      </c>
      <c r="AF14" s="548">
        <v>432.71800000000002</v>
      </c>
      <c r="AG14" s="548">
        <v>368.57600000000002</v>
      </c>
      <c r="AH14" s="548">
        <v>409.48</v>
      </c>
      <c r="AI14" s="548">
        <v>600.61199999999997</v>
      </c>
      <c r="AJ14" s="548">
        <v>1212.1389999999999</v>
      </c>
      <c r="AK14" s="548">
        <v>2010.579</v>
      </c>
      <c r="AL14" s="548">
        <v>1873.944</v>
      </c>
      <c r="AM14" s="548">
        <v>1875.759</v>
      </c>
      <c r="AN14" s="548">
        <v>2980.21</v>
      </c>
      <c r="AO14" s="548">
        <v>7860.2049999999999</v>
      </c>
      <c r="AP14" s="548">
        <v>17039.231</v>
      </c>
      <c r="AQ14" s="548">
        <v>26735.857</v>
      </c>
      <c r="AR14" s="548">
        <v>38514.625</v>
      </c>
      <c r="AS14" s="548">
        <v>58239.949000000001</v>
      </c>
      <c r="AT14" s="548">
        <v>82076.38</v>
      </c>
      <c r="AU14" s="548">
        <v>103055.694</v>
      </c>
      <c r="AV14" s="548">
        <v>104849.872</v>
      </c>
      <c r="AW14" s="548">
        <v>112211.223</v>
      </c>
      <c r="AX14" s="58">
        <v>124175.42200000001</v>
      </c>
    </row>
    <row r="15" spans="1:50" ht="13">
      <c r="A15" s="327" t="s">
        <v>1028</v>
      </c>
      <c r="B15" s="548">
        <v>2.577</v>
      </c>
      <c r="C15" s="548">
        <v>1.39</v>
      </c>
      <c r="D15" s="548">
        <v>0.92300000000000004</v>
      </c>
      <c r="E15" s="548">
        <v>8.6999999999999994E-2</v>
      </c>
      <c r="F15" s="548">
        <v>0.35399999999999998</v>
      </c>
      <c r="G15" s="548">
        <v>1.4910000000000001</v>
      </c>
      <c r="H15" s="548">
        <v>0.91900000000000004</v>
      </c>
      <c r="I15" s="548">
        <v>0.98</v>
      </c>
      <c r="J15" s="548">
        <v>1.6120000000000001</v>
      </c>
      <c r="K15" s="548">
        <v>1.89</v>
      </c>
      <c r="L15" s="548">
        <v>1.982</v>
      </c>
      <c r="M15" s="548">
        <v>1.2365999999999999</v>
      </c>
      <c r="N15" s="548">
        <v>1.734016</v>
      </c>
      <c r="O15" s="548">
        <v>3.02</v>
      </c>
      <c r="P15" s="548">
        <v>4.8899999999999997</v>
      </c>
      <c r="Q15" s="548">
        <v>4.3470000000000004</v>
      </c>
      <c r="R15" s="548">
        <v>3.069</v>
      </c>
      <c r="S15" s="548">
        <v>5.4349999999999996</v>
      </c>
      <c r="T15" s="548">
        <v>8.9700000000000006</v>
      </c>
      <c r="U15" s="548">
        <v>8.0289999999999999</v>
      </c>
      <c r="V15" s="548">
        <v>9.6720000000000006</v>
      </c>
      <c r="W15" s="548">
        <v>13.984999999999999</v>
      </c>
      <c r="X15" s="548">
        <v>26.125</v>
      </c>
      <c r="Y15" s="548">
        <v>38.472999999999999</v>
      </c>
      <c r="Z15" s="548">
        <v>35.283999999999999</v>
      </c>
      <c r="AA15" s="548">
        <v>31.202999999999999</v>
      </c>
      <c r="AB15" s="548">
        <v>51.723999999999997</v>
      </c>
      <c r="AC15" s="548">
        <v>119.57599999999999</v>
      </c>
      <c r="AD15" s="548">
        <v>131.92400000000001</v>
      </c>
      <c r="AE15" s="548">
        <v>85.56</v>
      </c>
      <c r="AF15" s="548">
        <v>56.326999999999998</v>
      </c>
      <c r="AG15" s="548">
        <v>32.595999999999997</v>
      </c>
      <c r="AH15" s="548">
        <v>44.889000000000003</v>
      </c>
      <c r="AI15" s="548">
        <v>89.501000000000005</v>
      </c>
      <c r="AJ15" s="548">
        <v>208.209</v>
      </c>
      <c r="AK15" s="548">
        <v>398.97699999999998</v>
      </c>
      <c r="AL15" s="548">
        <v>470.72199999999998</v>
      </c>
      <c r="AM15" s="548">
        <v>644.06399999999996</v>
      </c>
      <c r="AN15" s="548">
        <v>1855.4280000000001</v>
      </c>
      <c r="AO15" s="548">
        <v>3583.6959999999999</v>
      </c>
      <c r="AP15" s="548">
        <v>8656.5439999999999</v>
      </c>
      <c r="AQ15" s="548">
        <v>11936.638000000001</v>
      </c>
      <c r="AR15" s="548">
        <v>14252.164000000001</v>
      </c>
      <c r="AS15" s="548">
        <v>20421.965</v>
      </c>
      <c r="AT15" s="548">
        <v>24471.437999999998</v>
      </c>
      <c r="AU15" s="548">
        <v>27905.192999999999</v>
      </c>
      <c r="AV15" s="548">
        <v>32310</v>
      </c>
      <c r="AW15" s="548">
        <v>39250</v>
      </c>
      <c r="AX15" s="58">
        <v>43761</v>
      </c>
    </row>
    <row r="16" spans="1:50" ht="13">
      <c r="A16" s="327" t="s">
        <v>1029</v>
      </c>
      <c r="B16" s="548">
        <v>237.84200000000001</v>
      </c>
      <c r="C16" s="548">
        <v>209.48500000000001</v>
      </c>
      <c r="D16" s="548">
        <v>202.08320000000001</v>
      </c>
      <c r="E16" s="548">
        <v>206.00729999999999</v>
      </c>
      <c r="F16" s="548">
        <v>224.14229999999998</v>
      </c>
      <c r="G16" s="548">
        <v>244.84320000000002</v>
      </c>
      <c r="H16" s="548">
        <v>238.03100000000001</v>
      </c>
      <c r="I16" s="548">
        <v>271.94240000000002</v>
      </c>
      <c r="J16" s="548">
        <v>316.81490000000002</v>
      </c>
      <c r="K16" s="548">
        <v>359.71249999999998</v>
      </c>
      <c r="L16" s="548">
        <v>396.50200000000001</v>
      </c>
      <c r="M16" s="548">
        <v>405.28140000000002</v>
      </c>
      <c r="N16" s="548">
        <v>471.43182100000092</v>
      </c>
      <c r="O16" s="548">
        <v>568.71100000000001</v>
      </c>
      <c r="P16" s="548">
        <v>589.06500000000005</v>
      </c>
      <c r="Q16" s="548">
        <v>594.93100000000004</v>
      </c>
      <c r="R16" s="548">
        <v>668.66200000000003</v>
      </c>
      <c r="S16" s="548">
        <v>823.98599999999999</v>
      </c>
      <c r="T16" s="548">
        <v>985.43899999999996</v>
      </c>
      <c r="U16" s="548">
        <v>1155.441</v>
      </c>
      <c r="V16" s="548">
        <v>1268.184</v>
      </c>
      <c r="W16" s="548">
        <v>1492.557</v>
      </c>
      <c r="X16" s="548">
        <v>1747.9970000000001</v>
      </c>
      <c r="Y16" s="548">
        <v>2024.921</v>
      </c>
      <c r="Z16" s="548">
        <v>2318.819</v>
      </c>
      <c r="AA16" s="548">
        <v>2692.875</v>
      </c>
      <c r="AB16" s="548">
        <v>3442.7370000000001</v>
      </c>
      <c r="AC16" s="548">
        <v>4538.6760000000004</v>
      </c>
      <c r="AD16" s="548">
        <v>3678.3470000000002</v>
      </c>
      <c r="AE16" s="548">
        <v>4873.6480000000001</v>
      </c>
      <c r="AF16" s="548">
        <v>5858.0119999999997</v>
      </c>
      <c r="AG16" s="548">
        <v>7735.1080000000002</v>
      </c>
      <c r="AH16" s="548">
        <v>9691.4869999999992</v>
      </c>
      <c r="AI16" s="548">
        <v>11737.486000000001</v>
      </c>
      <c r="AJ16" s="548">
        <v>14939.424999999999</v>
      </c>
      <c r="AK16" s="548">
        <v>17159.511999999999</v>
      </c>
      <c r="AL16" s="548">
        <v>21436.875</v>
      </c>
      <c r="AM16" s="548">
        <v>25633.631000000001</v>
      </c>
      <c r="AN16" s="548">
        <v>31446.468000000001</v>
      </c>
      <c r="AO16" s="548">
        <v>52890.712</v>
      </c>
      <c r="AP16" s="548">
        <v>75169.168000000005</v>
      </c>
      <c r="AQ16" s="548">
        <v>100854.473</v>
      </c>
      <c r="AR16" s="548">
        <v>118233.149</v>
      </c>
      <c r="AS16" s="548">
        <v>164324.01199999999</v>
      </c>
      <c r="AT16" s="548">
        <v>204680.47399999999</v>
      </c>
      <c r="AU16" s="548">
        <v>246459.24600000001</v>
      </c>
      <c r="AV16" s="548">
        <v>278208.88790224207</v>
      </c>
      <c r="AW16" s="548">
        <v>294431.94004894292</v>
      </c>
      <c r="AX16" s="58">
        <v>333624.67611167108</v>
      </c>
    </row>
    <row r="17" spans="1:50" ht="13">
      <c r="A17" s="327" t="s">
        <v>1030</v>
      </c>
      <c r="B17" s="548">
        <v>695.24073999999996</v>
      </c>
      <c r="C17" s="548">
        <v>566.0385</v>
      </c>
      <c r="D17" s="548">
        <v>368.33871400000004</v>
      </c>
      <c r="E17" s="548">
        <v>351.47751</v>
      </c>
      <c r="F17" s="548">
        <v>417.16419000000002</v>
      </c>
      <c r="G17" s="548">
        <v>473.60687999999999</v>
      </c>
      <c r="H17" s="548">
        <v>489.40631000000002</v>
      </c>
      <c r="I17" s="548">
        <v>631.30842900000005</v>
      </c>
      <c r="J17" s="548">
        <v>757.06887500000005</v>
      </c>
      <c r="K17" s="548">
        <v>805.34683700000005</v>
      </c>
      <c r="L17" s="548">
        <v>893.09942000000001</v>
      </c>
      <c r="M17" s="548">
        <v>1036.90841</v>
      </c>
      <c r="N17" s="548">
        <v>1187.7263589999998</v>
      </c>
      <c r="O17" s="548">
        <v>1113.03</v>
      </c>
      <c r="P17" s="548">
        <v>1181.874</v>
      </c>
      <c r="Q17" s="548">
        <v>992.53700000000003</v>
      </c>
      <c r="R17" s="548">
        <v>1168.1189999999999</v>
      </c>
      <c r="S17" s="548">
        <v>1249.923</v>
      </c>
      <c r="T17" s="548">
        <v>1831.924</v>
      </c>
      <c r="U17" s="548">
        <v>1981</v>
      </c>
      <c r="V17" s="548">
        <v>2131</v>
      </c>
      <c r="W17" s="548">
        <v>2493</v>
      </c>
      <c r="X17" s="548">
        <v>3068</v>
      </c>
      <c r="Y17" s="548">
        <v>3551</v>
      </c>
      <c r="Z17" s="548">
        <v>4186</v>
      </c>
      <c r="AA17" s="548">
        <v>4728</v>
      </c>
      <c r="AB17" s="548">
        <v>5509</v>
      </c>
      <c r="AC17" s="548">
        <v>7410</v>
      </c>
      <c r="AD17" s="548">
        <v>5720</v>
      </c>
      <c r="AE17" s="548">
        <v>6073.6419999999998</v>
      </c>
      <c r="AF17" s="548">
        <v>4582.6000000000004</v>
      </c>
      <c r="AG17" s="548">
        <v>6599.3289999999997</v>
      </c>
      <c r="AH17" s="548">
        <v>10944.571</v>
      </c>
      <c r="AI17" s="548">
        <v>16186.218999999999</v>
      </c>
      <c r="AJ17" s="548">
        <v>26519.657999999999</v>
      </c>
      <c r="AK17" s="548">
        <v>34202.584999999999</v>
      </c>
      <c r="AL17" s="548">
        <v>42457.718999999997</v>
      </c>
      <c r="AM17" s="548">
        <v>50275.148999999998</v>
      </c>
      <c r="AN17" s="548">
        <v>71516.065000000002</v>
      </c>
      <c r="AO17" s="548">
        <v>88101.595000000001</v>
      </c>
      <c r="AP17" s="548">
        <v>139548.05900000001</v>
      </c>
      <c r="AQ17" s="548">
        <v>242202.889</v>
      </c>
      <c r="AR17" s="548">
        <v>257339.01500000001</v>
      </c>
      <c r="AS17" s="548">
        <v>336977.64</v>
      </c>
      <c r="AT17" s="548">
        <v>404227.163</v>
      </c>
      <c r="AU17" s="548">
        <v>503700.20799999998</v>
      </c>
      <c r="AV17" s="548">
        <v>496545.1439859526</v>
      </c>
      <c r="AW17" s="548">
        <v>503714.48685160495</v>
      </c>
      <c r="AX17" s="58">
        <v>501614.50705242442</v>
      </c>
    </row>
    <row r="18" spans="1:50" ht="13">
      <c r="A18" s="327" t="s">
        <v>1031</v>
      </c>
      <c r="B18" s="548">
        <v>407.08300000000003</v>
      </c>
      <c r="C18" s="548">
        <v>360.79399999999998</v>
      </c>
      <c r="D18" s="548">
        <v>217.59200000000001</v>
      </c>
      <c r="E18" s="548">
        <v>155.58428000000001</v>
      </c>
      <c r="F18" s="548">
        <v>210.03200000000001</v>
      </c>
      <c r="G18" s="548">
        <v>238.78</v>
      </c>
      <c r="H18" s="548">
        <v>243.47800000000001</v>
      </c>
      <c r="I18" s="548">
        <v>334.65199999999999</v>
      </c>
      <c r="J18" s="548">
        <v>382.279</v>
      </c>
      <c r="K18" s="548">
        <v>375.30900000000003</v>
      </c>
      <c r="L18" s="548">
        <v>404.98899999999998</v>
      </c>
      <c r="M18" s="548">
        <v>472.29199999999997</v>
      </c>
      <c r="N18" s="548">
        <v>562.51226300000008</v>
      </c>
      <c r="O18" s="548">
        <v>489.84399999999999</v>
      </c>
      <c r="P18" s="548">
        <v>559.14499999999998</v>
      </c>
      <c r="Q18" s="548">
        <v>541.27099999999996</v>
      </c>
      <c r="R18" s="548">
        <v>631.08000000000004</v>
      </c>
      <c r="S18" s="548">
        <v>545</v>
      </c>
      <c r="T18" s="548">
        <v>999.31600000000003</v>
      </c>
      <c r="U18" s="548">
        <v>1043</v>
      </c>
      <c r="V18" s="548">
        <v>1086</v>
      </c>
      <c r="W18" s="548">
        <v>1218</v>
      </c>
      <c r="X18" s="548">
        <v>1619</v>
      </c>
      <c r="Y18" s="548">
        <v>1770</v>
      </c>
      <c r="Z18" s="548">
        <v>2223</v>
      </c>
      <c r="AA18" s="548">
        <v>2491</v>
      </c>
      <c r="AB18" s="548">
        <v>2607</v>
      </c>
      <c r="AC18" s="548">
        <v>3245</v>
      </c>
      <c r="AD18" s="548">
        <v>1934</v>
      </c>
      <c r="AE18" s="548">
        <v>1452.056</v>
      </c>
      <c r="AF18" s="548">
        <v>627.12199999999996</v>
      </c>
      <c r="AG18" s="548">
        <v>1971.3869999999999</v>
      </c>
      <c r="AH18" s="548">
        <v>6652.5119999999997</v>
      </c>
      <c r="AI18" s="548">
        <v>9641.1209999999992</v>
      </c>
      <c r="AJ18" s="548">
        <v>17796.745999999999</v>
      </c>
      <c r="AK18" s="548">
        <v>23215.263999999999</v>
      </c>
      <c r="AL18" s="548">
        <v>32110.464</v>
      </c>
      <c r="AM18" s="548">
        <v>38421.607000000004</v>
      </c>
      <c r="AN18" s="548">
        <v>51254.885999999999</v>
      </c>
      <c r="AO18" s="548">
        <v>45380.826000000001</v>
      </c>
      <c r="AP18" s="548">
        <v>68359.538</v>
      </c>
      <c r="AQ18" s="548">
        <v>161193.83199999999</v>
      </c>
      <c r="AR18" s="548">
        <v>156633.973</v>
      </c>
      <c r="AS18" s="548">
        <v>197149.274</v>
      </c>
      <c r="AT18" s="548">
        <v>233669.32199999999</v>
      </c>
      <c r="AU18" s="548">
        <v>321991.58199999999</v>
      </c>
      <c r="AV18" s="548">
        <v>311215.53968335944</v>
      </c>
      <c r="AW18" s="548">
        <v>329797.27647728426</v>
      </c>
      <c r="AX18" s="58">
        <v>318473.63042435166</v>
      </c>
    </row>
    <row r="19" spans="1:50" ht="13">
      <c r="A19" s="327" t="s">
        <v>1032</v>
      </c>
      <c r="B19" s="548">
        <v>27.155000000000001</v>
      </c>
      <c r="C19" s="548">
        <v>21.731000000000002</v>
      </c>
      <c r="D19" s="548">
        <v>13.129</v>
      </c>
      <c r="E19" s="548">
        <v>22.82535</v>
      </c>
      <c r="F19" s="548">
        <v>36.661000000000001</v>
      </c>
      <c r="G19" s="548">
        <v>31.56</v>
      </c>
      <c r="H19" s="548">
        <v>39.664000000000001</v>
      </c>
      <c r="I19" s="548">
        <v>52.838999999999999</v>
      </c>
      <c r="J19" s="548">
        <v>65.966999999999999</v>
      </c>
      <c r="K19" s="548">
        <v>81.605999999999995</v>
      </c>
      <c r="L19" s="548">
        <v>78.027000000000001</v>
      </c>
      <c r="M19" s="548">
        <v>104.723</v>
      </c>
      <c r="N19" s="548">
        <v>126.69419099999999</v>
      </c>
      <c r="O19" s="548">
        <v>174.417</v>
      </c>
      <c r="P19" s="548">
        <v>166.89500000000001</v>
      </c>
      <c r="Q19" s="548">
        <v>132.917</v>
      </c>
      <c r="R19" s="548">
        <v>146.66999999999999</v>
      </c>
      <c r="S19" s="548">
        <v>206.64400000000001</v>
      </c>
      <c r="T19" s="548">
        <v>248.33099999999999</v>
      </c>
      <c r="U19" s="548">
        <v>276.12599999999998</v>
      </c>
      <c r="V19" s="548">
        <v>318.25200000000001</v>
      </c>
      <c r="W19" s="548">
        <v>346.39800000000002</v>
      </c>
      <c r="X19" s="548">
        <v>406.76299999999998</v>
      </c>
      <c r="Y19" s="548">
        <v>633.97199999999998</v>
      </c>
      <c r="Z19" s="548">
        <v>709.82799999999997</v>
      </c>
      <c r="AA19" s="548">
        <v>786.226</v>
      </c>
      <c r="AB19" s="548">
        <v>1041.723</v>
      </c>
      <c r="AC19" s="548">
        <v>1598.5719999999999</v>
      </c>
      <c r="AD19" s="548">
        <v>1519.2909999999999</v>
      </c>
      <c r="AE19" s="548">
        <v>2214.1120000000001</v>
      </c>
      <c r="AF19" s="548">
        <v>1521.548</v>
      </c>
      <c r="AG19" s="548">
        <v>1362.056</v>
      </c>
      <c r="AH19" s="548">
        <v>1539.1869999999999</v>
      </c>
      <c r="AI19" s="548">
        <v>2102.9879999999998</v>
      </c>
      <c r="AJ19" s="548">
        <v>2861.701</v>
      </c>
      <c r="AK19" s="548">
        <v>3549.4209999999998</v>
      </c>
      <c r="AL19" s="548">
        <v>2832.0169999999998</v>
      </c>
      <c r="AM19" s="548">
        <v>3162.45</v>
      </c>
      <c r="AN19" s="548">
        <v>5281.2280000000001</v>
      </c>
      <c r="AO19" s="548">
        <v>11718.964</v>
      </c>
      <c r="AP19" s="548">
        <v>16893.152999999998</v>
      </c>
      <c r="AQ19" s="548">
        <v>18164.769</v>
      </c>
      <c r="AR19" s="548">
        <v>22109.782999999999</v>
      </c>
      <c r="AS19" s="548">
        <v>29478.580999999998</v>
      </c>
      <c r="AT19" s="548">
        <v>36125.152999999998</v>
      </c>
      <c r="AU19" s="548">
        <v>42287.014999999999</v>
      </c>
      <c r="AV19" s="548">
        <v>40085.034</v>
      </c>
      <c r="AW19" s="548">
        <v>41088.824000000001</v>
      </c>
      <c r="AX19" s="58">
        <v>43543.841</v>
      </c>
    </row>
    <row r="20" spans="1:50" ht="13">
      <c r="A20" s="327" t="s">
        <v>1033</v>
      </c>
      <c r="B20" s="548">
        <v>3.3410000000000002</v>
      </c>
      <c r="C20" s="548">
        <v>2.4129999999999998</v>
      </c>
      <c r="D20" s="548">
        <v>2.0190000000000001</v>
      </c>
      <c r="E20" s="548">
        <v>3.327</v>
      </c>
      <c r="F20" s="548">
        <v>2.2709999999999999</v>
      </c>
      <c r="G20" s="548">
        <v>2.88</v>
      </c>
      <c r="H20" s="548">
        <v>7.5309999999999997</v>
      </c>
      <c r="I20" s="548">
        <v>3.4809999999999999</v>
      </c>
      <c r="J20" s="548">
        <v>4.2469999999999999</v>
      </c>
      <c r="K20" s="548">
        <v>6.7110000000000003</v>
      </c>
      <c r="L20" s="548">
        <v>5.6669999999999998</v>
      </c>
      <c r="M20" s="548">
        <v>4.8019999999999996</v>
      </c>
      <c r="N20" s="548">
        <v>7.4871139999999992</v>
      </c>
      <c r="O20" s="548">
        <v>5.2930000000000001</v>
      </c>
      <c r="P20" s="548">
        <v>6.157</v>
      </c>
      <c r="Q20" s="548">
        <v>7.8559999999999999</v>
      </c>
      <c r="R20" s="548">
        <v>7.6470000000000002</v>
      </c>
      <c r="S20" s="548">
        <v>17.198</v>
      </c>
      <c r="T20" s="548">
        <v>13.106999999999999</v>
      </c>
      <c r="U20" s="548">
        <v>13.901999999999999</v>
      </c>
      <c r="V20" s="548">
        <v>21.259</v>
      </c>
      <c r="W20" s="548">
        <v>32.874000000000002</v>
      </c>
      <c r="X20" s="548">
        <v>39.250999999999998</v>
      </c>
      <c r="Y20" s="548">
        <v>60.926000000000002</v>
      </c>
      <c r="Z20" s="548">
        <v>77.834000000000003</v>
      </c>
      <c r="AA20" s="548">
        <v>113.32</v>
      </c>
      <c r="AB20" s="548">
        <v>153.34700000000001</v>
      </c>
      <c r="AC20" s="548">
        <v>275.17399999999998</v>
      </c>
      <c r="AD20" s="548">
        <v>191.167</v>
      </c>
      <c r="AE20" s="548">
        <v>184.44399999999999</v>
      </c>
      <c r="AF20" s="548">
        <v>133.71700000000001</v>
      </c>
      <c r="AG20" s="548">
        <v>102.54</v>
      </c>
      <c r="AH20" s="548">
        <v>49.466999999999999</v>
      </c>
      <c r="AI20" s="548">
        <v>56.713000000000001</v>
      </c>
      <c r="AJ20" s="548">
        <v>100.202</v>
      </c>
      <c r="AK20" s="548">
        <v>127.05200000000001</v>
      </c>
      <c r="AL20" s="548">
        <v>275.86099999999999</v>
      </c>
      <c r="AM20" s="548">
        <v>284.40100000000001</v>
      </c>
      <c r="AN20" s="548">
        <v>144.34700000000001</v>
      </c>
      <c r="AO20" s="548">
        <v>1414.2360000000001</v>
      </c>
      <c r="AP20" s="548">
        <v>4066.4630000000002</v>
      </c>
      <c r="AQ20" s="548">
        <v>6345.7690000000002</v>
      </c>
      <c r="AR20" s="548">
        <v>8736.3189999999995</v>
      </c>
      <c r="AS20" s="548">
        <v>12966.834999999999</v>
      </c>
      <c r="AT20" s="548">
        <v>17665.473999999998</v>
      </c>
      <c r="AU20" s="548">
        <v>21007.433000000001</v>
      </c>
      <c r="AV20" s="548">
        <v>19759.198</v>
      </c>
      <c r="AW20" s="548">
        <v>19087.258999999998</v>
      </c>
      <c r="AX20" s="58">
        <v>21344.469000000001</v>
      </c>
    </row>
    <row r="21" spans="1:50" ht="13">
      <c r="A21" s="327" t="s">
        <v>1029</v>
      </c>
      <c r="B21" s="548">
        <v>257.66174000000001</v>
      </c>
      <c r="C21" s="548">
        <v>181.10050000000001</v>
      </c>
      <c r="D21" s="548">
        <v>135.59871400000003</v>
      </c>
      <c r="E21" s="548">
        <v>169.74088</v>
      </c>
      <c r="F21" s="548">
        <v>168.20018999999999</v>
      </c>
      <c r="G21" s="548">
        <v>200.38687999999999</v>
      </c>
      <c r="H21" s="548">
        <v>198.73330999999999</v>
      </c>
      <c r="I21" s="548">
        <v>240.33642900000001</v>
      </c>
      <c r="J21" s="548">
        <v>304.575875</v>
      </c>
      <c r="K21" s="548">
        <v>341.72083700000007</v>
      </c>
      <c r="L21" s="548">
        <v>404.41641999999996</v>
      </c>
      <c r="M21" s="548">
        <v>455.09141</v>
      </c>
      <c r="N21" s="548">
        <v>491.03279099999969</v>
      </c>
      <c r="O21" s="548">
        <v>443.476</v>
      </c>
      <c r="P21" s="548">
        <v>449.67700000000002</v>
      </c>
      <c r="Q21" s="548">
        <v>310.49299999999999</v>
      </c>
      <c r="R21" s="548">
        <v>382.72199999999998</v>
      </c>
      <c r="S21" s="548">
        <v>481.08100000000002</v>
      </c>
      <c r="T21" s="548">
        <v>571.16999999999996</v>
      </c>
      <c r="U21" s="548">
        <v>647.97199999999998</v>
      </c>
      <c r="V21" s="548">
        <v>705.48900000000003</v>
      </c>
      <c r="W21" s="548">
        <v>895.72799999999995</v>
      </c>
      <c r="X21" s="548">
        <v>1002.986</v>
      </c>
      <c r="Y21" s="548">
        <v>1086.1020000000001</v>
      </c>
      <c r="Z21" s="548">
        <v>1175.338</v>
      </c>
      <c r="AA21" s="548">
        <v>1337.454</v>
      </c>
      <c r="AB21" s="548">
        <v>1706.93</v>
      </c>
      <c r="AC21" s="548">
        <v>2291.2539999999999</v>
      </c>
      <c r="AD21" s="548">
        <v>2075.5419999999999</v>
      </c>
      <c r="AE21" s="548">
        <v>2223.0300000000002</v>
      </c>
      <c r="AF21" s="548">
        <v>2300.2130000000002</v>
      </c>
      <c r="AG21" s="548">
        <v>3163.346</v>
      </c>
      <c r="AH21" s="548">
        <v>2703.4050000000002</v>
      </c>
      <c r="AI21" s="548">
        <v>4385.3969999999999</v>
      </c>
      <c r="AJ21" s="548">
        <v>5761.009</v>
      </c>
      <c r="AK21" s="548">
        <v>7310.848</v>
      </c>
      <c r="AL21" s="548">
        <v>7239.3770000000004</v>
      </c>
      <c r="AM21" s="548">
        <v>8406.6910000000007</v>
      </c>
      <c r="AN21" s="548">
        <v>14835.603999999999</v>
      </c>
      <c r="AO21" s="548">
        <v>29587.569</v>
      </c>
      <c r="AP21" s="548">
        <v>50228.904999999999</v>
      </c>
      <c r="AQ21" s="548">
        <v>56498.519</v>
      </c>
      <c r="AR21" s="548">
        <v>69858.94</v>
      </c>
      <c r="AS21" s="548">
        <v>97382.95</v>
      </c>
      <c r="AT21" s="548">
        <v>116767.21400000001</v>
      </c>
      <c r="AU21" s="548">
        <v>118414.178</v>
      </c>
      <c r="AV21" s="548">
        <v>125485.37230259317</v>
      </c>
      <c r="AW21" s="548">
        <v>113741.12737432068</v>
      </c>
      <c r="AX21" s="58">
        <v>118252.56662807275</v>
      </c>
    </row>
    <row r="22" spans="1:50" ht="13">
      <c r="A22" s="327"/>
      <c r="B22" s="577"/>
      <c r="C22" s="577"/>
      <c r="D22" s="577"/>
      <c r="E22" s="577"/>
      <c r="F22" s="577"/>
      <c r="G22" s="577"/>
      <c r="H22" s="577"/>
      <c r="I22" s="577"/>
      <c r="J22" s="577"/>
      <c r="K22" s="577"/>
      <c r="L22" s="577"/>
      <c r="M22" s="577"/>
      <c r="N22" s="577"/>
      <c r="O22" s="577"/>
      <c r="P22" s="577"/>
      <c r="Q22" s="577"/>
      <c r="R22" s="577"/>
      <c r="S22" s="577"/>
      <c r="T22" s="577"/>
      <c r="U22" s="577"/>
      <c r="V22" s="577"/>
      <c r="W22" s="577"/>
      <c r="X22" s="577"/>
      <c r="Y22" s="577"/>
      <c r="Z22" s="577"/>
      <c r="AA22" s="577"/>
      <c r="AB22" s="577"/>
      <c r="AC22" s="577"/>
      <c r="AD22" s="577"/>
      <c r="AE22" s="577"/>
      <c r="AF22" s="577"/>
      <c r="AG22" s="577"/>
      <c r="AH22" s="577"/>
      <c r="AI22" s="577"/>
      <c r="AJ22" s="577"/>
      <c r="AK22" s="577"/>
      <c r="AL22" s="577"/>
      <c r="AM22" s="577"/>
      <c r="AN22" s="577"/>
      <c r="AO22" s="577"/>
      <c r="AP22" s="577"/>
      <c r="AQ22" s="577"/>
      <c r="AR22" s="577"/>
      <c r="AS22" s="577"/>
      <c r="AT22" s="577"/>
      <c r="AU22" s="577"/>
      <c r="AV22" s="577"/>
      <c r="AW22" s="577"/>
      <c r="AX22" s="578"/>
    </row>
    <row r="23" spans="1:50" ht="13">
      <c r="A23" s="327" t="s">
        <v>1034</v>
      </c>
      <c r="B23" s="548">
        <v>1835.8500410000001</v>
      </c>
      <c r="C23" s="548">
        <v>2715.7029690000004</v>
      </c>
      <c r="D23" s="548">
        <v>2381.2799569999997</v>
      </c>
      <c r="E23" s="548">
        <v>1772.2190600000001</v>
      </c>
      <c r="F23" s="548">
        <v>1745.1112869999999</v>
      </c>
      <c r="G23" s="548">
        <v>2220.8562490000004</v>
      </c>
      <c r="H23" s="548">
        <v>2088.585349</v>
      </c>
      <c r="I23" s="548">
        <v>1972.0181359999999</v>
      </c>
      <c r="J23" s="548">
        <v>2547.8755810000002</v>
      </c>
      <c r="K23" s="548">
        <v>2403.4363480000002</v>
      </c>
      <c r="L23" s="548">
        <v>2706.6854409999996</v>
      </c>
      <c r="M23" s="548">
        <v>3216.7848730000001</v>
      </c>
      <c r="N23" s="548">
        <v>2866.525517</v>
      </c>
      <c r="O23" s="548">
        <v>3430.2260000000001</v>
      </c>
      <c r="P23" s="548">
        <v>4716.67</v>
      </c>
      <c r="Q23" s="548">
        <v>4096.1880000000001</v>
      </c>
      <c r="R23" s="548">
        <v>4194.9080000000004</v>
      </c>
      <c r="S23" s="548">
        <v>4556.8860000000004</v>
      </c>
      <c r="T23" s="548">
        <v>5866.86</v>
      </c>
      <c r="U23" s="548">
        <v>7450</v>
      </c>
      <c r="V23" s="548">
        <v>7147</v>
      </c>
      <c r="W23" s="548">
        <v>8303</v>
      </c>
      <c r="X23" s="548">
        <v>8731</v>
      </c>
      <c r="Y23" s="548">
        <v>11074</v>
      </c>
      <c r="Z23" s="548">
        <v>13605</v>
      </c>
      <c r="AA23" s="548">
        <v>17212</v>
      </c>
      <c r="AB23" s="548">
        <v>19995</v>
      </c>
      <c r="AC23" s="548">
        <v>25186</v>
      </c>
      <c r="AD23" s="548">
        <v>20773</v>
      </c>
      <c r="AE23" s="548">
        <v>28828.609</v>
      </c>
      <c r="AF23" s="548">
        <v>48892.750999999997</v>
      </c>
      <c r="AG23" s="548">
        <v>61978.571000000004</v>
      </c>
      <c r="AH23" s="548">
        <v>81081.627999999997</v>
      </c>
      <c r="AI23" s="548">
        <v>111641.482</v>
      </c>
      <c r="AJ23" s="548">
        <v>146512.886</v>
      </c>
      <c r="AK23" s="548">
        <v>180331.15700000001</v>
      </c>
      <c r="AL23" s="548">
        <v>206931.95300000001</v>
      </c>
      <c r="AM23" s="548">
        <v>208660.96799999999</v>
      </c>
      <c r="AN23" s="548">
        <v>239887.37100000001</v>
      </c>
      <c r="AO23" s="548">
        <v>365777.54399999999</v>
      </c>
      <c r="AP23" s="548">
        <v>573043.19099999999</v>
      </c>
      <c r="AQ23" s="548">
        <v>808750.53</v>
      </c>
      <c r="AR23" s="548">
        <v>917632.98300000001</v>
      </c>
      <c r="AS23" s="548">
        <v>1072374.9709999999</v>
      </c>
      <c r="AT23" s="548">
        <v>1092346.3600000001</v>
      </c>
      <c r="AU23" s="548">
        <v>1179512.503</v>
      </c>
      <c r="AV23" s="548">
        <v>1037816.853636948</v>
      </c>
      <c r="AW23" s="548">
        <v>1214806.4137058216</v>
      </c>
      <c r="AX23" s="58">
        <v>1363173.698995149</v>
      </c>
    </row>
    <row r="24" spans="1:50" ht="13">
      <c r="A24" s="327" t="s">
        <v>1035</v>
      </c>
      <c r="B24" s="548">
        <v>732.55919100000006</v>
      </c>
      <c r="C24" s="548">
        <v>927.71712900000011</v>
      </c>
      <c r="D24" s="548">
        <v>881.53317499999991</v>
      </c>
      <c r="E24" s="548">
        <v>986.95786899999996</v>
      </c>
      <c r="F24" s="548">
        <v>957.91806700000006</v>
      </c>
      <c r="G24" s="548">
        <v>1147.8181290000002</v>
      </c>
      <c r="H24" s="548">
        <v>1135.112329</v>
      </c>
      <c r="I24" s="548">
        <v>1107.253696</v>
      </c>
      <c r="J24" s="548">
        <v>1223.6386610000002</v>
      </c>
      <c r="K24" s="548">
        <v>1363.3490080000001</v>
      </c>
      <c r="L24" s="548">
        <v>1654.255261</v>
      </c>
      <c r="M24" s="548">
        <v>1842.8066030000002</v>
      </c>
      <c r="N24" s="548">
        <v>1825.3831889999999</v>
      </c>
      <c r="O24" s="548">
        <v>2149.13</v>
      </c>
      <c r="P24" s="548">
        <v>2337.8980000000001</v>
      </c>
      <c r="Q24" s="548">
        <v>2555.08</v>
      </c>
      <c r="R24" s="548">
        <v>2728.38</v>
      </c>
      <c r="S24" s="548">
        <v>3269.7629999999999</v>
      </c>
      <c r="T24" s="548">
        <v>3809.09</v>
      </c>
      <c r="U24" s="548">
        <v>4817.768</v>
      </c>
      <c r="V24" s="548">
        <v>4491.2629999999999</v>
      </c>
      <c r="W24" s="548">
        <v>4978.7160000000003</v>
      </c>
      <c r="X24" s="548">
        <v>5400.56</v>
      </c>
      <c r="Y24" s="548">
        <v>7097.8119999999999</v>
      </c>
      <c r="Z24" s="548">
        <v>8531.5419999999995</v>
      </c>
      <c r="AA24" s="548">
        <v>10302.615</v>
      </c>
      <c r="AB24" s="548">
        <v>11496.579</v>
      </c>
      <c r="AC24" s="548">
        <v>15842.924000000001</v>
      </c>
      <c r="AD24" s="548">
        <v>12395.518</v>
      </c>
      <c r="AE24" s="548">
        <v>16290.424999999999</v>
      </c>
      <c r="AF24" s="548">
        <v>26342.684000000001</v>
      </c>
      <c r="AG24" s="548">
        <v>36415.487000000001</v>
      </c>
      <c r="AH24" s="548">
        <v>49216.84</v>
      </c>
      <c r="AI24" s="548">
        <v>69198.73</v>
      </c>
      <c r="AJ24" s="548">
        <v>88463.343999999997</v>
      </c>
      <c r="AK24" s="548">
        <v>111560.73</v>
      </c>
      <c r="AL24" s="548">
        <v>121592.37300000001</v>
      </c>
      <c r="AM24" s="548">
        <v>131677.97899999999</v>
      </c>
      <c r="AN24" s="548">
        <v>154567.32800000001</v>
      </c>
      <c r="AO24" s="548">
        <v>223006.91800000001</v>
      </c>
      <c r="AP24" s="548">
        <v>343286.73499999999</v>
      </c>
      <c r="AQ24" s="548">
        <v>485283.77799999999</v>
      </c>
      <c r="AR24" s="548">
        <v>546759.38199999998</v>
      </c>
      <c r="AS24" s="548">
        <v>651218.49</v>
      </c>
      <c r="AT24" s="548">
        <v>671424.50899999996</v>
      </c>
      <c r="AU24" s="548">
        <v>689546.85199999996</v>
      </c>
      <c r="AV24" s="548">
        <v>613833.85400000005</v>
      </c>
      <c r="AW24" s="548">
        <v>651164.36699999997</v>
      </c>
      <c r="AX24" s="58">
        <v>784482.22499999998</v>
      </c>
    </row>
    <row r="25" spans="1:50" ht="13">
      <c r="A25" s="327" t="s">
        <v>1036</v>
      </c>
      <c r="B25" s="548">
        <v>877.53049999999996</v>
      </c>
      <c r="C25" s="548">
        <v>1558.3634399999999</v>
      </c>
      <c r="D25" s="548">
        <v>1314.181292</v>
      </c>
      <c r="E25" s="548">
        <v>645.89965100000006</v>
      </c>
      <c r="F25" s="548">
        <v>626.27092000000005</v>
      </c>
      <c r="G25" s="548">
        <v>887.82799999999997</v>
      </c>
      <c r="H25" s="548">
        <v>761.39769999999999</v>
      </c>
      <c r="I25" s="548">
        <v>655.04409999999996</v>
      </c>
      <c r="J25" s="548">
        <v>1060.731</v>
      </c>
      <c r="K25" s="548">
        <v>725.87469999999996</v>
      </c>
      <c r="L25" s="548">
        <v>739.32500000000005</v>
      </c>
      <c r="M25" s="548">
        <v>1043.0606</v>
      </c>
      <c r="N25" s="548">
        <v>700.56294799999989</v>
      </c>
      <c r="O25" s="548">
        <v>1042.6980000000001</v>
      </c>
      <c r="P25" s="548">
        <v>2062.1550000000002</v>
      </c>
      <c r="Q25" s="548">
        <v>1267.1120000000001</v>
      </c>
      <c r="R25" s="548">
        <v>1208.0039999999999</v>
      </c>
      <c r="S25" s="548">
        <v>997.3</v>
      </c>
      <c r="T25" s="548">
        <v>1624.9449999999999</v>
      </c>
      <c r="U25" s="548">
        <v>2135</v>
      </c>
      <c r="V25" s="548">
        <v>2202</v>
      </c>
      <c r="W25" s="548">
        <v>2822</v>
      </c>
      <c r="X25" s="548">
        <v>2726</v>
      </c>
      <c r="Y25" s="548">
        <v>3070</v>
      </c>
      <c r="Z25" s="548">
        <v>4060</v>
      </c>
      <c r="AA25" s="548">
        <v>5805</v>
      </c>
      <c r="AB25" s="548">
        <v>7140</v>
      </c>
      <c r="AC25" s="548">
        <v>7200</v>
      </c>
      <c r="AD25" s="548">
        <v>6722</v>
      </c>
      <c r="AE25" s="548">
        <v>10368.067999999999</v>
      </c>
      <c r="AF25" s="548">
        <v>18860.724999999999</v>
      </c>
      <c r="AG25" s="548">
        <v>20583.435000000001</v>
      </c>
      <c r="AH25" s="548">
        <v>23537.914000000001</v>
      </c>
      <c r="AI25" s="548">
        <v>30799.756000000001</v>
      </c>
      <c r="AJ25" s="548">
        <v>42635.421000000002</v>
      </c>
      <c r="AK25" s="548">
        <v>48659.427000000003</v>
      </c>
      <c r="AL25" s="548">
        <v>66511.993000000002</v>
      </c>
      <c r="AM25" s="548">
        <v>53541.02</v>
      </c>
      <c r="AN25" s="548">
        <v>57241.682999999997</v>
      </c>
      <c r="AO25" s="548">
        <v>111147.944</v>
      </c>
      <c r="AP25" s="548">
        <v>185328.038</v>
      </c>
      <c r="AQ25" s="548">
        <v>263436.08100000001</v>
      </c>
      <c r="AR25" s="548">
        <v>302752.68699999998</v>
      </c>
      <c r="AS25" s="548">
        <v>338603.984</v>
      </c>
      <c r="AT25" s="548">
        <v>324745.91800000001</v>
      </c>
      <c r="AU25" s="548">
        <v>387507.435</v>
      </c>
      <c r="AV25" s="548">
        <v>330588.04494253069</v>
      </c>
      <c r="AW25" s="548">
        <v>563642.04670582153</v>
      </c>
      <c r="AX25" s="58">
        <v>578691.4739951489</v>
      </c>
    </row>
    <row r="26" spans="1:50" ht="13">
      <c r="A26" s="327" t="s">
        <v>1037</v>
      </c>
      <c r="B26" s="548">
        <v>225.76035000000002</v>
      </c>
      <c r="C26" s="548">
        <v>229.6224</v>
      </c>
      <c r="D26" s="548">
        <v>185.56548999999998</v>
      </c>
      <c r="E26" s="548">
        <v>139.36154000000002</v>
      </c>
      <c r="F26" s="548">
        <v>160.92229999999998</v>
      </c>
      <c r="G26" s="548">
        <v>185.21011999999999</v>
      </c>
      <c r="H26" s="548">
        <v>192.07532</v>
      </c>
      <c r="I26" s="548">
        <v>209.72033999999999</v>
      </c>
      <c r="J26" s="548">
        <v>263.50592</v>
      </c>
      <c r="K26" s="548">
        <v>314.21264000000002</v>
      </c>
      <c r="L26" s="548">
        <v>313.10518000000002</v>
      </c>
      <c r="M26" s="548">
        <v>330.91766999999999</v>
      </c>
      <c r="N26" s="548">
        <v>340.57938000000001</v>
      </c>
      <c r="O26" s="548">
        <v>238.398</v>
      </c>
      <c r="P26" s="548">
        <v>316.61700000000002</v>
      </c>
      <c r="Q26" s="548">
        <v>273.99599999999998</v>
      </c>
      <c r="R26" s="548">
        <v>258.524</v>
      </c>
      <c r="S26" s="548">
        <v>289.82299999999998</v>
      </c>
      <c r="T26" s="548">
        <v>432.82499999999999</v>
      </c>
      <c r="U26" s="548">
        <v>497.23200000000003</v>
      </c>
      <c r="V26" s="548">
        <v>453.73700000000002</v>
      </c>
      <c r="W26" s="548">
        <v>502.28399999999999</v>
      </c>
      <c r="X26" s="548">
        <v>604.44000000000005</v>
      </c>
      <c r="Y26" s="548">
        <v>906.18799999999999</v>
      </c>
      <c r="Z26" s="548">
        <v>1013.458</v>
      </c>
      <c r="AA26" s="548">
        <v>1104.385</v>
      </c>
      <c r="AB26" s="548">
        <v>1358.421</v>
      </c>
      <c r="AC26" s="548">
        <v>2143.076</v>
      </c>
      <c r="AD26" s="548">
        <v>1655.482</v>
      </c>
      <c r="AE26" s="548">
        <v>2170.116</v>
      </c>
      <c r="AF26" s="548">
        <v>3689.3420000000001</v>
      </c>
      <c r="AG26" s="548">
        <v>4979.6490000000003</v>
      </c>
      <c r="AH26" s="548">
        <v>8326.8739999999998</v>
      </c>
      <c r="AI26" s="548">
        <v>11642.995999999999</v>
      </c>
      <c r="AJ26" s="548">
        <v>15414.120999999999</v>
      </c>
      <c r="AK26" s="548">
        <v>20111</v>
      </c>
      <c r="AL26" s="548">
        <v>18827.587</v>
      </c>
      <c r="AM26" s="548">
        <v>23441.969000000001</v>
      </c>
      <c r="AN26" s="548">
        <v>28078.36</v>
      </c>
      <c r="AO26" s="548">
        <v>31622.682000000001</v>
      </c>
      <c r="AP26" s="548">
        <v>44428.417999999998</v>
      </c>
      <c r="AQ26" s="548">
        <v>60030.671000000002</v>
      </c>
      <c r="AR26" s="548">
        <v>68120.914000000004</v>
      </c>
      <c r="AS26" s="548">
        <v>82552.497000000003</v>
      </c>
      <c r="AT26" s="548">
        <v>96175.933000000005</v>
      </c>
      <c r="AU26" s="548">
        <v>102458.216</v>
      </c>
      <c r="AV26" s="548">
        <v>93394.954694417363</v>
      </c>
      <c r="AW26" s="548">
        <v>112446.84530369187</v>
      </c>
      <c r="AX26" s="58">
        <v>114961.53528962255</v>
      </c>
    </row>
    <row r="27" spans="1:50" ht="13">
      <c r="A27" s="327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  <c r="AE27" s="577"/>
      <c r="AF27" s="577"/>
      <c r="AG27" s="577"/>
      <c r="AH27" s="577"/>
      <c r="AI27" s="577"/>
      <c r="AJ27" s="577"/>
      <c r="AK27" s="577"/>
      <c r="AL27" s="577"/>
      <c r="AM27" s="577"/>
      <c r="AN27" s="577"/>
      <c r="AO27" s="577"/>
      <c r="AP27" s="577"/>
      <c r="AQ27" s="577"/>
      <c r="AR27" s="577"/>
      <c r="AS27" s="577"/>
      <c r="AT27" s="577"/>
      <c r="AU27" s="577"/>
      <c r="AV27" s="577"/>
      <c r="AW27" s="577"/>
      <c r="AX27" s="578"/>
    </row>
    <row r="28" spans="1:50" ht="13">
      <c r="A28" s="327" t="s">
        <v>1038</v>
      </c>
      <c r="B28" s="548">
        <v>4495.9163739999995</v>
      </c>
      <c r="C28" s="548">
        <v>5073.4564249999994</v>
      </c>
      <c r="D28" s="548">
        <v>4362.3278739999996</v>
      </c>
      <c r="E28" s="548">
        <v>4022.8779050000003</v>
      </c>
      <c r="F28" s="548">
        <v>5536.7851797197236</v>
      </c>
      <c r="G28" s="548">
        <v>5676.4697370351605</v>
      </c>
      <c r="H28" s="548">
        <v>5276.6849153384792</v>
      </c>
      <c r="I28" s="548">
        <v>5810.9005535651868</v>
      </c>
      <c r="J28" s="548">
        <v>6231.8174900604017</v>
      </c>
      <c r="K28" s="548">
        <v>6834.0701954093947</v>
      </c>
      <c r="L28" s="548">
        <v>7951.6423165838933</v>
      </c>
      <c r="M28" s="548">
        <v>7190.5696623020131</v>
      </c>
      <c r="N28" s="548">
        <v>7238.1756819328866</v>
      </c>
      <c r="O28" s="548">
        <v>8340.4611476510072</v>
      </c>
      <c r="P28" s="548">
        <v>10240.906000000001</v>
      </c>
      <c r="Q28" s="548">
        <v>8910.8760000000002</v>
      </c>
      <c r="R28" s="548">
        <v>10133.432000000001</v>
      </c>
      <c r="S28" s="548">
        <v>12657.08</v>
      </c>
      <c r="T28" s="548">
        <v>14675.880999999999</v>
      </c>
      <c r="U28" s="548">
        <v>16044</v>
      </c>
      <c r="V28" s="548">
        <v>16729</v>
      </c>
      <c r="W28" s="548">
        <v>19240</v>
      </c>
      <c r="X28" s="548">
        <v>20777</v>
      </c>
      <c r="Y28" s="548">
        <v>23623</v>
      </c>
      <c r="Z28" s="548">
        <v>25772</v>
      </c>
      <c r="AA28" s="548">
        <v>27585</v>
      </c>
      <c r="AB28" s="548">
        <v>36560</v>
      </c>
      <c r="AC28" s="548">
        <v>58963</v>
      </c>
      <c r="AD28" s="548">
        <v>48962</v>
      </c>
      <c r="AE28" s="548">
        <v>61827.387000000002</v>
      </c>
      <c r="AF28" s="548">
        <v>94497.376999999993</v>
      </c>
      <c r="AG28" s="548">
        <v>112257.38800000001</v>
      </c>
      <c r="AH28" s="548">
        <v>158758.747</v>
      </c>
      <c r="AI28" s="548">
        <v>215017.68599999999</v>
      </c>
      <c r="AJ28" s="548">
        <v>261221.88699999999</v>
      </c>
      <c r="AK28" s="548">
        <v>298249.185</v>
      </c>
      <c r="AL28" s="548">
        <v>364783.01699999999</v>
      </c>
      <c r="AM28" s="548">
        <v>512968.79100000003</v>
      </c>
      <c r="AN28" s="548">
        <v>585550.85499999998</v>
      </c>
      <c r="AO28" s="548">
        <v>648131.46400000004</v>
      </c>
      <c r="AP28" s="548">
        <v>827839.66599999997</v>
      </c>
      <c r="AQ28" s="548">
        <v>1033174.154</v>
      </c>
      <c r="AR28" s="548">
        <v>1183587.547</v>
      </c>
      <c r="AS28" s="548">
        <v>1339745.395</v>
      </c>
      <c r="AT28" s="548">
        <v>1398309.9669999999</v>
      </c>
      <c r="AU28" s="548">
        <v>1434343.0120000001</v>
      </c>
      <c r="AV28" s="548">
        <v>1389655.9065830021</v>
      </c>
      <c r="AW28" s="548">
        <v>1687932.5897867284</v>
      </c>
      <c r="AX28" s="58">
        <v>1946568.9648881226</v>
      </c>
    </row>
    <row r="29" spans="1:50" ht="13">
      <c r="A29" s="327"/>
      <c r="B29" s="577"/>
      <c r="C29" s="577"/>
      <c r="D29" s="577"/>
      <c r="E29" s="577"/>
      <c r="F29" s="577"/>
      <c r="G29" s="577"/>
      <c r="H29" s="577"/>
      <c r="I29" s="577"/>
      <c r="J29" s="577"/>
      <c r="K29" s="577"/>
      <c r="L29" s="577"/>
      <c r="M29" s="577"/>
      <c r="N29" s="577"/>
      <c r="O29" s="577"/>
      <c r="P29" s="577"/>
      <c r="Q29" s="577"/>
      <c r="R29" s="577"/>
      <c r="S29" s="577"/>
      <c r="T29" s="577"/>
      <c r="U29" s="577"/>
      <c r="V29" s="577"/>
      <c r="W29" s="577"/>
      <c r="X29" s="577"/>
      <c r="Y29" s="577"/>
      <c r="Z29" s="577"/>
      <c r="AA29" s="577"/>
      <c r="AB29" s="577"/>
      <c r="AC29" s="577"/>
      <c r="AD29" s="577"/>
      <c r="AE29" s="577"/>
      <c r="AF29" s="577"/>
      <c r="AG29" s="577"/>
      <c r="AH29" s="577"/>
      <c r="AI29" s="577"/>
      <c r="AJ29" s="577"/>
      <c r="AK29" s="577"/>
      <c r="AL29" s="577"/>
      <c r="AM29" s="577"/>
      <c r="AN29" s="577"/>
      <c r="AO29" s="577"/>
      <c r="AP29" s="577"/>
      <c r="AQ29" s="577"/>
      <c r="AR29" s="577"/>
      <c r="AS29" s="577"/>
      <c r="AT29" s="577"/>
      <c r="AU29" s="577"/>
      <c r="AV29" s="577"/>
      <c r="AW29" s="577"/>
      <c r="AX29" s="578"/>
    </row>
    <row r="30" spans="1:50" ht="13">
      <c r="A30" s="327" t="s">
        <v>1039</v>
      </c>
      <c r="B30" s="548">
        <v>964.90499999999997</v>
      </c>
      <c r="C30" s="548">
        <v>1005.7543129443706</v>
      </c>
      <c r="D30" s="548">
        <v>919.81775109232683</v>
      </c>
      <c r="E30" s="548">
        <v>896.49234981103336</v>
      </c>
      <c r="F30" s="548">
        <v>1148.4824957079582</v>
      </c>
      <c r="G30" s="548">
        <v>1152.1533414992036</v>
      </c>
      <c r="H30" s="548">
        <v>1204.0987887986066</v>
      </c>
      <c r="I30" s="548">
        <v>1256.8807409266515</v>
      </c>
      <c r="J30" s="548">
        <v>1392.0142255534422</v>
      </c>
      <c r="K30" s="548">
        <v>1644.0351896944685</v>
      </c>
      <c r="L30" s="548">
        <v>2050.1622042833746</v>
      </c>
      <c r="M30" s="548">
        <v>1537.2443861178435</v>
      </c>
      <c r="N30" s="548">
        <v>1537.5590444351064</v>
      </c>
      <c r="O30" s="548">
        <v>1573.2346748674709</v>
      </c>
      <c r="P30" s="548">
        <v>1694.5808502270881</v>
      </c>
      <c r="Q30" s="548">
        <v>1747.5632178482861</v>
      </c>
      <c r="R30" s="548">
        <v>1937.1044730944843</v>
      </c>
      <c r="S30" s="548">
        <v>2002.286066005051</v>
      </c>
      <c r="T30" s="548">
        <v>2182.9817591090286</v>
      </c>
      <c r="U30" s="548">
        <v>2173.0183478433369</v>
      </c>
      <c r="V30" s="548">
        <v>2571.3348934115284</v>
      </c>
      <c r="W30" s="548">
        <v>2810.8301549760686</v>
      </c>
      <c r="X30" s="548">
        <v>3083.3934055642894</v>
      </c>
      <c r="Y30" s="548">
        <v>4117.8059149221144</v>
      </c>
      <c r="Z30" s="548">
        <v>4966.6382640157917</v>
      </c>
      <c r="AA30" s="548">
        <v>4839.6845811133608</v>
      </c>
      <c r="AB30" s="548">
        <v>5149.0922497696129</v>
      </c>
      <c r="AC30" s="548">
        <v>15194.885153886531</v>
      </c>
      <c r="AD30" s="548">
        <v>16292.998949146197</v>
      </c>
      <c r="AE30" s="548">
        <v>21609.824988869026</v>
      </c>
      <c r="AF30" s="548">
        <v>28484.446852662666</v>
      </c>
      <c r="AG30" s="548">
        <v>36699.027897123538</v>
      </c>
      <c r="AH30" s="548">
        <v>64225.14097851672</v>
      </c>
      <c r="AI30" s="548">
        <v>116108.5077031429</v>
      </c>
      <c r="AJ30" s="548">
        <v>150688.88094058554</v>
      </c>
      <c r="AK30" s="548">
        <v>202968.14002444886</v>
      </c>
      <c r="AL30" s="548">
        <v>247373.88119839222</v>
      </c>
      <c r="AM30" s="548">
        <v>339505.92019628722</v>
      </c>
      <c r="AN30" s="548">
        <v>353194.03229798202</v>
      </c>
      <c r="AO30" s="548">
        <v>225062.23395577015</v>
      </c>
      <c r="AP30" s="548">
        <v>226695.31060712147</v>
      </c>
      <c r="AQ30" s="548">
        <v>221834.79153857139</v>
      </c>
      <c r="AR30" s="548">
        <v>329047.53516336082</v>
      </c>
      <c r="AS30" s="548">
        <v>402469.79636572668</v>
      </c>
      <c r="AT30" s="548">
        <v>360827.1218650532</v>
      </c>
      <c r="AU30" s="548">
        <v>342499.31605880032</v>
      </c>
      <c r="AV30" s="548">
        <v>358816.86227885942</v>
      </c>
      <c r="AW30" s="548">
        <v>402176.40402679355</v>
      </c>
      <c r="AX30" s="58">
        <v>438225.41883240436</v>
      </c>
    </row>
    <row r="31" spans="1:50" ht="13">
      <c r="A31" s="327"/>
      <c r="B31" s="577"/>
      <c r="C31" s="577"/>
      <c r="D31" s="577"/>
      <c r="E31" s="577"/>
      <c r="F31" s="577"/>
      <c r="G31" s="577"/>
      <c r="H31" s="577"/>
      <c r="I31" s="577"/>
      <c r="J31" s="577"/>
      <c r="K31" s="577"/>
      <c r="L31" s="577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  <c r="Z31" s="577"/>
      <c r="AA31" s="577"/>
      <c r="AB31" s="577"/>
      <c r="AC31" s="577"/>
      <c r="AD31" s="577"/>
      <c r="AE31" s="577"/>
      <c r="AF31" s="577"/>
      <c r="AG31" s="577"/>
      <c r="AH31" s="577"/>
      <c r="AI31" s="577"/>
      <c r="AJ31" s="577"/>
      <c r="AK31" s="577"/>
      <c r="AL31" s="577"/>
      <c r="AM31" s="577"/>
      <c r="AN31" s="577"/>
      <c r="AO31" s="577"/>
      <c r="AP31" s="577"/>
      <c r="AQ31" s="577"/>
      <c r="AR31" s="577"/>
      <c r="AS31" s="577"/>
      <c r="AT31" s="577"/>
      <c r="AU31" s="577"/>
      <c r="AV31" s="577"/>
      <c r="AW31" s="577"/>
      <c r="AX31" s="578"/>
    </row>
    <row r="32" spans="1:50" ht="13">
      <c r="A32" s="327" t="s">
        <v>1040</v>
      </c>
      <c r="B32" s="548">
        <v>126.49184499999924</v>
      </c>
      <c r="C32" s="548">
        <v>171.37015505562621</v>
      </c>
      <c r="D32" s="548">
        <v>169.06310390767547</v>
      </c>
      <c r="E32" s="548">
        <v>63.901675188966337</v>
      </c>
      <c r="F32" s="548">
        <v>99.045347572315606</v>
      </c>
      <c r="G32" s="548">
        <v>170.92909246563661</v>
      </c>
      <c r="H32" s="548">
        <v>92.84513686291443</v>
      </c>
      <c r="I32" s="548">
        <v>98.669540508161688</v>
      </c>
      <c r="J32" s="548">
        <v>121.65278338615587</v>
      </c>
      <c r="K32" s="548">
        <v>130.63992989613681</v>
      </c>
      <c r="L32" s="548">
        <v>125.22961813273281</v>
      </c>
      <c r="M32" s="548">
        <v>157.45686858014201</v>
      </c>
      <c r="N32" s="548">
        <v>134.17371363200667</v>
      </c>
      <c r="O32" s="548">
        <v>247.07217748152465</v>
      </c>
      <c r="P32" s="548">
        <v>242.53214977291364</v>
      </c>
      <c r="Q32" s="548">
        <v>209.46178215171329</v>
      </c>
      <c r="R32" s="548">
        <v>251.82652690551268</v>
      </c>
      <c r="S32" s="548">
        <v>328.54393399494847</v>
      </c>
      <c r="T32" s="548">
        <v>15.729240890974063</v>
      </c>
      <c r="U32" s="548">
        <v>9.9816521566611485</v>
      </c>
      <c r="V32" s="548">
        <v>12.66510658847136</v>
      </c>
      <c r="W32" s="548">
        <v>8.1698450239294331</v>
      </c>
      <c r="X32" s="548">
        <v>7.6065944357055706</v>
      </c>
      <c r="Y32" s="548">
        <v>12.194085077889264</v>
      </c>
      <c r="Z32" s="548">
        <v>16.361735984208934</v>
      </c>
      <c r="AA32" s="548">
        <v>15.315418886638712</v>
      </c>
      <c r="AB32" s="548">
        <v>21.907750230383943</v>
      </c>
      <c r="AC32" s="548">
        <v>40.114846113477952</v>
      </c>
      <c r="AD32" s="548">
        <v>393.00105085381188</v>
      </c>
      <c r="AE32" s="548">
        <v>1570.7480111309808</v>
      </c>
      <c r="AF32" s="548">
        <v>301.66714733729128</v>
      </c>
      <c r="AG32" s="548">
        <v>360.31410287646901</v>
      </c>
      <c r="AH32" s="548">
        <v>971.09702148327654</v>
      </c>
      <c r="AI32" s="548">
        <v>6016.4122968570955</v>
      </c>
      <c r="AJ32" s="548">
        <v>12950.442059414443</v>
      </c>
      <c r="AK32" s="548">
        <v>18617.558975551136</v>
      </c>
      <c r="AL32" s="548">
        <v>13408.877801607901</v>
      </c>
      <c r="AM32" s="548">
        <v>11044.374803712935</v>
      </c>
      <c r="AN32" s="548">
        <v>18249.71670201794</v>
      </c>
      <c r="AO32" s="548">
        <v>16583.576044229976</v>
      </c>
      <c r="AP32" s="548">
        <v>23136.948392878552</v>
      </c>
      <c r="AQ32" s="548">
        <v>25036.910461428462</v>
      </c>
      <c r="AR32" s="548">
        <v>35653.839836639272</v>
      </c>
      <c r="AS32" s="548">
        <v>25777.792634273708</v>
      </c>
      <c r="AT32" s="548">
        <v>83069.46513494692</v>
      </c>
      <c r="AU32" s="548">
        <v>18047.235941199891</v>
      </c>
      <c r="AV32" s="548">
        <v>14805.207458956203</v>
      </c>
      <c r="AW32" s="548">
        <v>16864.478087585314</v>
      </c>
      <c r="AX32" s="58">
        <v>20649.483837360051</v>
      </c>
    </row>
    <row r="33" spans="1:50" ht="13">
      <c r="A33" s="327"/>
      <c r="B33" s="577"/>
      <c r="C33" s="577"/>
      <c r="D33" s="577"/>
      <c r="E33" s="577"/>
      <c r="F33" s="577"/>
      <c r="G33" s="577"/>
      <c r="H33" s="577"/>
      <c r="I33" s="577"/>
      <c r="J33" s="577"/>
      <c r="K33" s="577"/>
      <c r="L33" s="577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  <c r="AA33" s="577"/>
      <c r="AB33" s="577"/>
      <c r="AC33" s="577"/>
      <c r="AD33" s="577"/>
      <c r="AE33" s="577"/>
      <c r="AF33" s="577"/>
      <c r="AG33" s="577"/>
      <c r="AH33" s="577"/>
      <c r="AI33" s="577"/>
      <c r="AJ33" s="577"/>
      <c r="AK33" s="577"/>
      <c r="AL33" s="577"/>
      <c r="AM33" s="577"/>
      <c r="AN33" s="577"/>
      <c r="AO33" s="577"/>
      <c r="AP33" s="577"/>
      <c r="AQ33" s="577"/>
      <c r="AR33" s="577"/>
      <c r="AS33" s="577"/>
      <c r="AT33" s="577"/>
      <c r="AU33" s="577"/>
      <c r="AV33" s="577"/>
      <c r="AW33" s="577"/>
      <c r="AX33" s="578"/>
    </row>
    <row r="34" spans="1:50" ht="13.5" thickBot="1">
      <c r="A34" s="334" t="s">
        <v>1041</v>
      </c>
      <c r="B34" s="549">
        <v>9462</v>
      </c>
      <c r="C34" s="549">
        <v>10354</v>
      </c>
      <c r="D34" s="549">
        <v>9046</v>
      </c>
      <c r="E34" s="549">
        <v>7883</v>
      </c>
      <c r="F34" s="549">
        <v>9718</v>
      </c>
      <c r="G34" s="549">
        <v>10234</v>
      </c>
      <c r="H34" s="549">
        <v>9761</v>
      </c>
      <c r="I34" s="549">
        <v>10335</v>
      </c>
      <c r="J34" s="549">
        <v>11712</v>
      </c>
      <c r="K34" s="549">
        <v>12993</v>
      </c>
      <c r="L34" s="549">
        <v>14694</v>
      </c>
      <c r="M34" s="549">
        <v>14085</v>
      </c>
      <c r="N34" s="549">
        <v>13965</v>
      </c>
      <c r="O34" s="549">
        <v>15969</v>
      </c>
      <c r="P34" s="549">
        <v>19430</v>
      </c>
      <c r="Q34" s="549">
        <v>17122</v>
      </c>
      <c r="R34" s="549">
        <v>19143</v>
      </c>
      <c r="S34" s="549">
        <v>22691</v>
      </c>
      <c r="T34" s="549">
        <v>26997</v>
      </c>
      <c r="U34" s="549">
        <v>30220</v>
      </c>
      <c r="V34" s="549">
        <v>32012</v>
      </c>
      <c r="W34" s="549">
        <v>35862</v>
      </c>
      <c r="X34" s="549">
        <v>38957</v>
      </c>
      <c r="Y34" s="549">
        <v>46472</v>
      </c>
      <c r="Z34" s="549">
        <v>54439</v>
      </c>
      <c r="AA34" s="549">
        <v>62195</v>
      </c>
      <c r="AB34" s="549">
        <v>76003</v>
      </c>
      <c r="AC34" s="549">
        <v>120379</v>
      </c>
      <c r="AD34" s="549">
        <v>102032</v>
      </c>
      <c r="AE34" s="549">
        <v>133779</v>
      </c>
      <c r="AF34" s="549">
        <v>192615</v>
      </c>
      <c r="AG34" s="549">
        <v>232854</v>
      </c>
      <c r="AH34" s="549">
        <v>335995</v>
      </c>
      <c r="AI34" s="549">
        <v>487242</v>
      </c>
      <c r="AJ34" s="549">
        <v>630474</v>
      </c>
      <c r="AK34" s="549">
        <v>779668</v>
      </c>
      <c r="AL34" s="549">
        <v>922932</v>
      </c>
      <c r="AM34" s="549">
        <v>1182838</v>
      </c>
      <c r="AN34" s="549">
        <v>1355907</v>
      </c>
      <c r="AO34" s="549">
        <v>1472597</v>
      </c>
      <c r="AP34" s="549">
        <v>2000392</v>
      </c>
      <c r="AQ34" s="549">
        <v>2612766</v>
      </c>
      <c r="AR34" s="549">
        <v>3065169</v>
      </c>
      <c r="AS34" s="549">
        <v>3640008</v>
      </c>
      <c r="AT34" s="549">
        <v>3919553</v>
      </c>
      <c r="AU34" s="549">
        <v>4130244</v>
      </c>
      <c r="AV34" s="549">
        <v>4031566</v>
      </c>
      <c r="AW34" s="549">
        <v>4685131</v>
      </c>
      <c r="AX34" s="394">
        <v>5215609</v>
      </c>
    </row>
    <row r="35" spans="1:50">
      <c r="V35" s="542"/>
    </row>
    <row r="36" spans="1:50">
      <c r="AR36" s="542"/>
      <c r="AS36" s="542"/>
      <c r="AT36" s="542"/>
      <c r="AU36" s="542"/>
      <c r="AV36" s="542"/>
      <c r="AW36" s="542"/>
      <c r="AX36" s="542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0" fitToWidth="3" orientation="landscape" horizontalDpi="4294967292" verticalDpi="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AC0A-A39B-44C8-89EE-AE5B79A1CF70}">
  <dimension ref="A1:AX36"/>
  <sheetViews>
    <sheetView showGridLines="0" workbookViewId="0">
      <selection activeCell="C4" sqref="C4"/>
    </sheetView>
  </sheetViews>
  <sheetFormatPr defaultRowHeight="12.5"/>
  <cols>
    <col min="1" max="16384" width="8.7265625" style="485"/>
  </cols>
  <sheetData>
    <row r="1" spans="1:50" ht="13">
      <c r="A1" s="322" t="s">
        <v>1042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  <c r="AR1" s="323"/>
      <c r="AS1" s="323"/>
      <c r="AT1" s="323"/>
      <c r="AU1" s="323"/>
      <c r="AV1" s="323"/>
    </row>
    <row r="2" spans="1:50" ht="13">
      <c r="A2" s="322" t="s">
        <v>1010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</row>
    <row r="3" spans="1:50" ht="13">
      <c r="A3" s="323" t="s">
        <v>931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  <c r="AQ3" s="323"/>
      <c r="AR3" s="323"/>
      <c r="AS3" s="323"/>
      <c r="AT3" s="323"/>
      <c r="AU3" s="323"/>
      <c r="AV3" s="323"/>
    </row>
    <row r="4" spans="1:50" ht="13.5" thickBot="1">
      <c r="A4" s="323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3"/>
      <c r="AQ4" s="323"/>
      <c r="AR4" s="323"/>
      <c r="AS4" s="323"/>
      <c r="AT4" s="323"/>
      <c r="AU4" s="323"/>
      <c r="AV4" s="323"/>
    </row>
    <row r="5" spans="1:50" ht="13">
      <c r="A5" s="589"/>
      <c r="B5" s="552"/>
      <c r="C5" s="543">
        <v>1948</v>
      </c>
      <c r="D5" s="544">
        <v>1949</v>
      </c>
      <c r="E5" s="544">
        <v>1950</v>
      </c>
      <c r="F5" s="544">
        <v>1951</v>
      </c>
      <c r="G5" s="544">
        <v>1952</v>
      </c>
      <c r="H5" s="544">
        <v>1953</v>
      </c>
      <c r="I5" s="544">
        <v>1954</v>
      </c>
      <c r="J5" s="544">
        <v>1955</v>
      </c>
      <c r="K5" s="544">
        <v>1956</v>
      </c>
      <c r="L5" s="544">
        <v>1957</v>
      </c>
      <c r="M5" s="544">
        <v>1958</v>
      </c>
      <c r="N5" s="544">
        <v>1959</v>
      </c>
      <c r="O5" s="544">
        <v>1960</v>
      </c>
      <c r="P5" s="544">
        <v>1961</v>
      </c>
      <c r="Q5" s="544">
        <v>1962</v>
      </c>
      <c r="R5" s="544">
        <v>1963</v>
      </c>
      <c r="S5" s="544">
        <v>1964</v>
      </c>
      <c r="T5" s="544">
        <v>1965</v>
      </c>
      <c r="U5" s="544">
        <v>1966</v>
      </c>
      <c r="V5" s="544">
        <v>1967</v>
      </c>
      <c r="W5" s="544">
        <v>1968</v>
      </c>
      <c r="X5" s="544">
        <v>1969</v>
      </c>
      <c r="Y5" s="544">
        <v>1970</v>
      </c>
      <c r="Z5" s="544">
        <v>1971</v>
      </c>
      <c r="AA5" s="544">
        <v>1972</v>
      </c>
      <c r="AB5" s="544">
        <v>1973</v>
      </c>
      <c r="AC5" s="544">
        <v>1974</v>
      </c>
      <c r="AD5" s="544">
        <v>1975</v>
      </c>
      <c r="AE5" s="544">
        <v>1976</v>
      </c>
      <c r="AF5" s="544">
        <v>1977</v>
      </c>
      <c r="AG5" s="544">
        <v>1978</v>
      </c>
      <c r="AH5" s="544">
        <v>1979</v>
      </c>
      <c r="AI5" s="544">
        <v>1980</v>
      </c>
      <c r="AJ5" s="544">
        <v>1981</v>
      </c>
      <c r="AK5" s="544">
        <v>1982</v>
      </c>
      <c r="AL5" s="544">
        <v>1983</v>
      </c>
      <c r="AM5" s="544">
        <v>1984</v>
      </c>
      <c r="AN5" s="544">
        <v>1985</v>
      </c>
      <c r="AO5" s="544">
        <v>1986</v>
      </c>
      <c r="AP5" s="544">
        <v>1987</v>
      </c>
      <c r="AQ5" s="544">
        <v>1988</v>
      </c>
      <c r="AR5" s="544">
        <v>1989</v>
      </c>
      <c r="AS5" s="544">
        <v>1990</v>
      </c>
      <c r="AT5" s="544">
        <v>1991</v>
      </c>
      <c r="AU5" s="544">
        <v>1992</v>
      </c>
      <c r="AV5" s="544">
        <v>1993</v>
      </c>
      <c r="AW5" s="544">
        <v>1994</v>
      </c>
      <c r="AX5" s="580">
        <v>1995</v>
      </c>
    </row>
    <row r="6" spans="1:50" ht="13.5" thickBot="1">
      <c r="A6" s="508"/>
      <c r="B6" s="501"/>
      <c r="C6" s="545"/>
      <c r="D6" s="590"/>
      <c r="E6" s="590"/>
      <c r="F6" s="590"/>
      <c r="G6" s="590"/>
      <c r="H6" s="590"/>
      <c r="I6" s="590"/>
      <c r="J6" s="590"/>
      <c r="K6" s="590"/>
      <c r="L6" s="590"/>
      <c r="M6" s="590"/>
      <c r="N6" s="590"/>
      <c r="O6" s="590"/>
      <c r="P6" s="590"/>
      <c r="Q6" s="590"/>
      <c r="R6" s="590"/>
      <c r="S6" s="590"/>
      <c r="T6" s="590"/>
      <c r="U6" s="590"/>
      <c r="V6" s="590"/>
      <c r="W6" s="590"/>
      <c r="X6" s="590"/>
      <c r="Y6" s="590"/>
      <c r="Z6" s="590"/>
      <c r="AA6" s="590"/>
      <c r="AB6" s="590"/>
      <c r="AC6" s="590"/>
      <c r="AD6" s="590"/>
      <c r="AE6" s="590"/>
      <c r="AF6" s="590"/>
      <c r="AG6" s="590"/>
      <c r="AH6" s="590"/>
      <c r="AI6" s="590"/>
      <c r="AJ6" s="590"/>
      <c r="AK6" s="590"/>
      <c r="AL6" s="590"/>
      <c r="AM6" s="590"/>
      <c r="AN6" s="590"/>
      <c r="AO6" s="590"/>
      <c r="AP6" s="590"/>
      <c r="AQ6" s="590"/>
      <c r="AR6" s="590"/>
      <c r="AS6" s="590"/>
      <c r="AT6" s="590"/>
      <c r="AU6" s="590"/>
      <c r="AV6" s="590"/>
      <c r="AW6" s="590"/>
      <c r="AX6" s="582"/>
    </row>
    <row r="7" spans="1:50" ht="13">
      <c r="A7" s="507" t="s">
        <v>1020</v>
      </c>
      <c r="B7" s="496"/>
      <c r="C7" s="568">
        <v>1421.8168637666608</v>
      </c>
      <c r="D7" s="51">
        <v>1230.0600055423422</v>
      </c>
      <c r="E7" s="51">
        <v>1231.0132174333739</v>
      </c>
      <c r="F7" s="51">
        <v>1166.8600249992189</v>
      </c>
      <c r="G7" s="51">
        <v>965.93710156159807</v>
      </c>
      <c r="H7" s="51">
        <v>1090.99575941392</v>
      </c>
      <c r="I7" s="51">
        <v>1233.4344954329511</v>
      </c>
      <c r="J7" s="51">
        <v>1393.8309948116571</v>
      </c>
      <c r="K7" s="51">
        <v>2010.4846647111276</v>
      </c>
      <c r="L7" s="51">
        <v>1853.7033381594842</v>
      </c>
      <c r="M7" s="51">
        <v>1959.7357737795201</v>
      </c>
      <c r="N7" s="51">
        <v>2220.1896902000353</v>
      </c>
      <c r="O7" s="51">
        <v>2386.1114884170329</v>
      </c>
      <c r="P7" s="51">
        <v>2699.8072242035651</v>
      </c>
      <c r="Q7" s="51">
        <v>2118.7222720889768</v>
      </c>
      <c r="R7" s="51">
        <v>2600.2374904929966</v>
      </c>
      <c r="S7" s="51">
        <v>2896.3613997289535</v>
      </c>
      <c r="T7" s="51">
        <v>4183.9413667893514</v>
      </c>
      <c r="U7" s="51">
        <v>4459.7088821032012</v>
      </c>
      <c r="V7" s="51">
        <v>6027.4444628185283</v>
      </c>
      <c r="W7" s="51">
        <v>6129.4319915913638</v>
      </c>
      <c r="X7" s="51">
        <v>6184.2463057740397</v>
      </c>
      <c r="Y7" s="51">
        <v>7140.394618667292</v>
      </c>
      <c r="Z7" s="51">
        <v>9347.1220473716367</v>
      </c>
      <c r="AA7" s="51">
        <v>11930.226175565613</v>
      </c>
      <c r="AB7" s="51">
        <v>13007.705656025646</v>
      </c>
      <c r="AC7" s="51">
        <v>17501.85140254939</v>
      </c>
      <c r="AD7" s="51">
        <v>15380.850610853016</v>
      </c>
      <c r="AE7" s="51">
        <v>17310.155561548774</v>
      </c>
      <c r="AF7" s="51">
        <v>16080.13732244639</v>
      </c>
      <c r="AG7" s="51">
        <v>16203.320889617422</v>
      </c>
      <c r="AH7" s="51">
        <v>24293.611002315058</v>
      </c>
      <c r="AI7" s="51">
        <v>31902.801349062032</v>
      </c>
      <c r="AJ7" s="51">
        <v>48089.436375066129</v>
      </c>
      <c r="AK7" s="51">
        <v>68634.65161268595</v>
      </c>
      <c r="AL7" s="51">
        <v>71837.727130037601</v>
      </c>
      <c r="AM7" s="51">
        <v>91707.185344809026</v>
      </c>
      <c r="AN7" s="51">
        <v>140514.96692682401</v>
      </c>
      <c r="AO7" s="51">
        <v>184666.53821839066</v>
      </c>
      <c r="AP7" s="51">
        <v>317592.35920188361</v>
      </c>
      <c r="AQ7" s="51">
        <v>497921.028405349</v>
      </c>
      <c r="AR7" s="51">
        <v>562628.73856234085</v>
      </c>
      <c r="AS7" s="51">
        <v>746018.01669261616</v>
      </c>
      <c r="AT7" s="51">
        <v>961527.91714316397</v>
      </c>
      <c r="AU7" s="51">
        <v>1180364.5072495225</v>
      </c>
      <c r="AV7" s="51">
        <v>1242536.8022264417</v>
      </c>
      <c r="AW7" s="51">
        <v>1343522.6798217988</v>
      </c>
      <c r="AX7" s="52">
        <v>1455313.9011575386</v>
      </c>
    </row>
    <row r="8" spans="1:50" ht="13">
      <c r="A8" s="507" t="s">
        <v>1021</v>
      </c>
      <c r="B8" s="496"/>
      <c r="C8" s="548">
        <v>815.66702059144575</v>
      </c>
      <c r="D8" s="39">
        <v>890.48749182854419</v>
      </c>
      <c r="E8" s="39">
        <v>832.69571456755841</v>
      </c>
      <c r="F8" s="39">
        <v>783.38081514009343</v>
      </c>
      <c r="G8" s="39">
        <v>532.99850766890336</v>
      </c>
      <c r="H8" s="39">
        <v>596.98177692369768</v>
      </c>
      <c r="I8" s="39">
        <v>598.46053828852848</v>
      </c>
      <c r="J8" s="39">
        <v>638.07652028102507</v>
      </c>
      <c r="K8" s="39">
        <v>1207.4927272726245</v>
      </c>
      <c r="L8" s="39">
        <v>989.77921791899166</v>
      </c>
      <c r="M8" s="39">
        <v>953.66580812991037</v>
      </c>
      <c r="N8" s="39">
        <v>1054.5607878299884</v>
      </c>
      <c r="O8" s="39">
        <v>1302.2491471754845</v>
      </c>
      <c r="P8" s="39">
        <v>1464.3537296450781</v>
      </c>
      <c r="Q8" s="39">
        <v>1135.100913842221</v>
      </c>
      <c r="R8" s="39">
        <v>1473.2911976728635</v>
      </c>
      <c r="S8" s="39">
        <v>1710.7869116169909</v>
      </c>
      <c r="T8" s="39">
        <v>2362.8119907482956</v>
      </c>
      <c r="U8" s="39">
        <v>2440.7644037697737</v>
      </c>
      <c r="V8" s="39">
        <v>3643.4913067141097</v>
      </c>
      <c r="W8" s="39">
        <v>3517.7264618076483</v>
      </c>
      <c r="X8" s="39">
        <v>3169.1337879058174</v>
      </c>
      <c r="Y8" s="39">
        <v>3627.9068237970409</v>
      </c>
      <c r="Z8" s="39">
        <v>5370.1534463401476</v>
      </c>
      <c r="AA8" s="39">
        <v>7174.2435735172594</v>
      </c>
      <c r="AB8" s="39">
        <v>7877.700501319493</v>
      </c>
      <c r="AC8" s="39">
        <v>10921.521543550865</v>
      </c>
      <c r="AD8" s="39">
        <v>10324.925047383478</v>
      </c>
      <c r="AE8" s="39">
        <v>11584.603740807728</v>
      </c>
      <c r="AF8" s="39">
        <v>12374.84744051547</v>
      </c>
      <c r="AG8" s="39">
        <v>11163.087218007746</v>
      </c>
      <c r="AH8" s="39">
        <v>15705.889035893075</v>
      </c>
      <c r="AI8" s="39">
        <v>18703.840271900255</v>
      </c>
      <c r="AJ8" s="39">
        <v>25702.731544312941</v>
      </c>
      <c r="AK8" s="39">
        <v>39692.205119849983</v>
      </c>
      <c r="AL8" s="39">
        <v>39275.780345087594</v>
      </c>
      <c r="AM8" s="39">
        <v>50007.308011425936</v>
      </c>
      <c r="AN8" s="39">
        <v>77658.021702980361</v>
      </c>
      <c r="AO8" s="39">
        <v>110951.94219238353</v>
      </c>
      <c r="AP8" s="39">
        <v>189461.55688644471</v>
      </c>
      <c r="AQ8" s="39">
        <v>274846.59784517536</v>
      </c>
      <c r="AR8" s="39">
        <v>321488.63627254544</v>
      </c>
      <c r="AS8" s="39">
        <v>427260.11551270919</v>
      </c>
      <c r="AT8" s="39">
        <v>567189.0706172944</v>
      </c>
      <c r="AU8" s="39">
        <v>684620.89186945406</v>
      </c>
      <c r="AV8" s="39">
        <v>756607.80610020331</v>
      </c>
      <c r="AW8" s="39">
        <v>846607.34772235225</v>
      </c>
      <c r="AX8" s="42">
        <v>949041.08593140612</v>
      </c>
    </row>
    <row r="9" spans="1:50" ht="13">
      <c r="A9" s="507" t="s">
        <v>1022</v>
      </c>
      <c r="B9" s="496"/>
      <c r="C9" s="548">
        <v>608.38020498263427</v>
      </c>
      <c r="D9" s="39">
        <v>660.38663107846912</v>
      </c>
      <c r="E9" s="39">
        <v>602.33564880535073</v>
      </c>
      <c r="F9" s="39">
        <v>544.72916578993647</v>
      </c>
      <c r="G9" s="39">
        <v>265.95490176616448</v>
      </c>
      <c r="H9" s="39">
        <v>324.26625111651327</v>
      </c>
      <c r="I9" s="39">
        <v>251.09396956770999</v>
      </c>
      <c r="J9" s="39">
        <v>304.86586955041582</v>
      </c>
      <c r="K9" s="39">
        <v>815.79683611755183</v>
      </c>
      <c r="L9" s="39">
        <v>559.50035587378773</v>
      </c>
      <c r="M9" s="39">
        <v>489.6819912497067</v>
      </c>
      <c r="N9" s="39">
        <v>544.88814645789716</v>
      </c>
      <c r="O9" s="39">
        <v>704.00972095737143</v>
      </c>
      <c r="P9" s="39">
        <v>820.58350391746046</v>
      </c>
      <c r="Q9" s="39">
        <v>517.05718647531899</v>
      </c>
      <c r="R9" s="39">
        <v>796.4579371280754</v>
      </c>
      <c r="S9" s="39">
        <v>911.57032543434229</v>
      </c>
      <c r="T9" s="39">
        <v>1340.2910808052241</v>
      </c>
      <c r="U9" s="39">
        <v>1253.5255567246272</v>
      </c>
      <c r="V9" s="39">
        <v>2175.9627409252125</v>
      </c>
      <c r="W9" s="39">
        <v>1536.1463011163423</v>
      </c>
      <c r="X9" s="39">
        <v>1348.9350565581833</v>
      </c>
      <c r="Y9" s="39">
        <v>1780.9461804739769</v>
      </c>
      <c r="Z9" s="39">
        <v>2813.5673620474663</v>
      </c>
      <c r="AA9" s="39">
        <v>4329.7230727445676</v>
      </c>
      <c r="AB9" s="39">
        <v>4000.1708389635619</v>
      </c>
      <c r="AC9" s="39">
        <v>6092.9201745679302</v>
      </c>
      <c r="AD9" s="39">
        <v>6150.6562712372934</v>
      </c>
      <c r="AE9" s="39">
        <v>7340.5657679115002</v>
      </c>
      <c r="AF9" s="39">
        <v>7402.4068534517337</v>
      </c>
      <c r="AG9" s="39">
        <v>6448.6817092064257</v>
      </c>
      <c r="AH9" s="39">
        <v>7349.7861823278281</v>
      </c>
      <c r="AI9" s="39">
        <v>7825.8075688346908</v>
      </c>
      <c r="AJ9" s="39">
        <v>10859.731942035827</v>
      </c>
      <c r="AK9" s="39">
        <v>23144.149085739002</v>
      </c>
      <c r="AL9" s="39">
        <v>20917.609982137266</v>
      </c>
      <c r="AM9" s="39">
        <v>25230.90453306177</v>
      </c>
      <c r="AN9" s="39">
        <v>46823.420408544429</v>
      </c>
      <c r="AO9" s="39">
        <v>52954.279289190119</v>
      </c>
      <c r="AP9" s="39">
        <v>96157.358240735412</v>
      </c>
      <c r="AQ9" s="39">
        <v>140404.45843694254</v>
      </c>
      <c r="AR9" s="39">
        <v>158731.53883113858</v>
      </c>
      <c r="AS9" s="39">
        <v>195740.9850216952</v>
      </c>
      <c r="AT9" s="39">
        <v>250442.0842856114</v>
      </c>
      <c r="AU9" s="39">
        <v>292627.91144909756</v>
      </c>
      <c r="AV9" s="39">
        <v>326568.61404721747</v>
      </c>
      <c r="AW9" s="39">
        <v>395213.22328621091</v>
      </c>
      <c r="AX9" s="42">
        <v>439873.19867548195</v>
      </c>
    </row>
    <row r="10" spans="1:50" ht="13">
      <c r="A10" s="507" t="s">
        <v>1023</v>
      </c>
      <c r="B10" s="496"/>
      <c r="C10" s="548">
        <v>593.8058589623455</v>
      </c>
      <c r="D10" s="39">
        <v>650.42484740777252</v>
      </c>
      <c r="E10" s="39">
        <v>589.8891834642219</v>
      </c>
      <c r="F10" s="39">
        <v>536.30867968047176</v>
      </c>
      <c r="G10" s="39">
        <v>255.52120088862534</v>
      </c>
      <c r="H10" s="39">
        <v>293.66220148642662</v>
      </c>
      <c r="I10" s="39">
        <v>239.59762581682568</v>
      </c>
      <c r="J10" s="39">
        <v>288.70771440141056</v>
      </c>
      <c r="K10" s="39">
        <v>802.36819665647579</v>
      </c>
      <c r="L10" s="39">
        <v>544.13184118255253</v>
      </c>
      <c r="M10" s="39">
        <v>473.67196927510605</v>
      </c>
      <c r="N10" s="39">
        <v>528.09908661268355</v>
      </c>
      <c r="O10" s="39">
        <v>678.25234123716109</v>
      </c>
      <c r="P10" s="39">
        <v>791.72081085704724</v>
      </c>
      <c r="Q10" s="39">
        <v>490.2783791041216</v>
      </c>
      <c r="R10" s="39">
        <v>772.9698548366905</v>
      </c>
      <c r="S10" s="39">
        <v>879.24201608506496</v>
      </c>
      <c r="T10" s="39">
        <v>1303.1485179376805</v>
      </c>
      <c r="U10" s="39">
        <v>1207.0303990680734</v>
      </c>
      <c r="V10" s="39">
        <v>2125.8846726542483</v>
      </c>
      <c r="W10" s="39">
        <v>1479.5127212505101</v>
      </c>
      <c r="X10" s="39">
        <v>1292.285976111838</v>
      </c>
      <c r="Y10" s="39">
        <v>1709.1342866614918</v>
      </c>
      <c r="Z10" s="39">
        <v>2731.6598000295498</v>
      </c>
      <c r="AA10" s="39">
        <v>4247.8850283272623</v>
      </c>
      <c r="AB10" s="39">
        <v>3654.8462196018245</v>
      </c>
      <c r="AC10" s="39">
        <v>5635.2382400589559</v>
      </c>
      <c r="AD10" s="39">
        <v>6054.0755042857127</v>
      </c>
      <c r="AE10" s="39">
        <v>7238.7741554373688</v>
      </c>
      <c r="AF10" s="39">
        <v>7228.3536184980176</v>
      </c>
      <c r="AG10" s="39">
        <v>5564.5813628146079</v>
      </c>
      <c r="AH10" s="39">
        <v>6101.8269510882274</v>
      </c>
      <c r="AI10" s="39">
        <v>7445.2184911962804</v>
      </c>
      <c r="AJ10" s="39">
        <v>10037.236709377066</v>
      </c>
      <c r="AK10" s="39">
        <v>21573.091481698317</v>
      </c>
      <c r="AL10" s="39">
        <v>20252.705704352073</v>
      </c>
      <c r="AM10" s="39">
        <v>24428.752214285261</v>
      </c>
      <c r="AN10" s="39">
        <v>45781.927719507818</v>
      </c>
      <c r="AO10" s="39">
        <v>50488.08085428601</v>
      </c>
      <c r="AP10" s="39">
        <v>90383.116615611056</v>
      </c>
      <c r="AQ10" s="39">
        <v>131547.87350597611</v>
      </c>
      <c r="AR10" s="39">
        <v>135561.2140871177</v>
      </c>
      <c r="AS10" s="39">
        <v>177953.78201486199</v>
      </c>
      <c r="AT10" s="39">
        <v>230422.81302325582</v>
      </c>
      <c r="AU10" s="39">
        <v>266985.16559139785</v>
      </c>
      <c r="AV10" s="39">
        <v>296693.351952861</v>
      </c>
      <c r="AW10" s="39">
        <v>348285.53121336171</v>
      </c>
      <c r="AX10" s="42">
        <v>394658.62055951165</v>
      </c>
    </row>
    <row r="11" spans="1:50" ht="13">
      <c r="A11" s="507" t="s">
        <v>1024</v>
      </c>
      <c r="B11" s="496"/>
      <c r="C11" s="548">
        <v>5.7756163093725927</v>
      </c>
      <c r="D11" s="39">
        <v>6.2258351699014636</v>
      </c>
      <c r="E11" s="39">
        <v>3.8439640581255725</v>
      </c>
      <c r="F11" s="39">
        <v>3.8159809568702765</v>
      </c>
      <c r="G11" s="39">
        <v>4.2625403171839924</v>
      </c>
      <c r="H11" s="39">
        <v>23.727281626070553</v>
      </c>
      <c r="I11" s="39">
        <v>5.7153167555792104</v>
      </c>
      <c r="J11" s="39">
        <v>8.5690782938276033</v>
      </c>
      <c r="K11" s="39">
        <v>5.7298829648735685</v>
      </c>
      <c r="L11" s="39">
        <v>6.6391902678898074</v>
      </c>
      <c r="M11" s="39">
        <v>7.5745905352045684</v>
      </c>
      <c r="N11" s="39">
        <v>8.6813881004948872</v>
      </c>
      <c r="O11" s="39">
        <v>14.568076832149018</v>
      </c>
      <c r="P11" s="39">
        <v>16.308135934741006</v>
      </c>
      <c r="Q11" s="39">
        <v>13.137585125058376</v>
      </c>
      <c r="R11" s="39">
        <v>11.567957662416189</v>
      </c>
      <c r="S11" s="39">
        <v>16.027255870975889</v>
      </c>
      <c r="T11" s="39">
        <v>19.139833270094755</v>
      </c>
      <c r="U11" s="39">
        <v>22.975873748632171</v>
      </c>
      <c r="V11" s="39">
        <v>27.14705597841348</v>
      </c>
      <c r="W11" s="39">
        <v>34.860704137994006</v>
      </c>
      <c r="X11" s="39">
        <v>36.451630581350997</v>
      </c>
      <c r="Y11" s="39">
        <v>45.506363142263893</v>
      </c>
      <c r="Z11" s="39">
        <v>59.788428308762406</v>
      </c>
      <c r="AA11" s="39">
        <v>52.803052295162004</v>
      </c>
      <c r="AB11" s="39">
        <v>309.89255604108126</v>
      </c>
      <c r="AC11" s="39">
        <v>423.06488756395777</v>
      </c>
      <c r="AD11" s="39">
        <v>66.841315859921082</v>
      </c>
      <c r="AE11" s="39">
        <v>81.817347024693717</v>
      </c>
      <c r="AF11" s="39">
        <v>160.73510172390186</v>
      </c>
      <c r="AG11" s="39">
        <v>864.37801890116282</v>
      </c>
      <c r="AH11" s="39">
        <v>1223.4577538719177</v>
      </c>
      <c r="AI11" s="39">
        <v>345.65998639606568</v>
      </c>
      <c r="AJ11" s="39">
        <v>781.99335434408795</v>
      </c>
      <c r="AK11" s="39">
        <v>1438.914769880904</v>
      </c>
      <c r="AL11" s="39">
        <v>634.08802928342743</v>
      </c>
      <c r="AM11" s="39">
        <v>774.56542950633639</v>
      </c>
      <c r="AN11" s="39">
        <v>1005.5875185061108</v>
      </c>
      <c r="AO11" s="39">
        <v>2366.7223033917849</v>
      </c>
      <c r="AP11" s="39">
        <v>5618.7047114862007</v>
      </c>
      <c r="AQ11" s="39">
        <v>8714.08</v>
      </c>
      <c r="AR11" s="39">
        <v>22943.751879699244</v>
      </c>
      <c r="AS11" s="39">
        <v>17534.109048350445</v>
      </c>
      <c r="AT11" s="39">
        <v>19109.684403669722</v>
      </c>
      <c r="AU11" s="39">
        <v>23495.880116959066</v>
      </c>
      <c r="AV11" s="39">
        <v>26290.852390852393</v>
      </c>
      <c r="AW11" s="39">
        <v>40658.734879032265</v>
      </c>
      <c r="AX11" s="42">
        <v>37670.799231508165</v>
      </c>
    </row>
    <row r="12" spans="1:50" ht="13">
      <c r="A12" s="507" t="s">
        <v>1025</v>
      </c>
      <c r="B12" s="496"/>
      <c r="C12" s="548">
        <v>8.7987297109162501</v>
      </c>
      <c r="D12" s="39">
        <v>3.7359485007951507</v>
      </c>
      <c r="E12" s="39">
        <v>8.6025012830033294</v>
      </c>
      <c r="F12" s="39">
        <v>4.6045051525944212</v>
      </c>
      <c r="G12" s="39">
        <v>6.1711605603551156</v>
      </c>
      <c r="H12" s="39">
        <v>6.8767680040160419</v>
      </c>
      <c r="I12" s="39">
        <v>5.7810269953050479</v>
      </c>
      <c r="J12" s="39">
        <v>7.5890768551776864</v>
      </c>
      <c r="K12" s="39">
        <v>7.6987564962025345</v>
      </c>
      <c r="L12" s="39">
        <v>8.72932442334562</v>
      </c>
      <c r="M12" s="39">
        <v>8.4354314393960905</v>
      </c>
      <c r="N12" s="39">
        <v>8.1076717447186155</v>
      </c>
      <c r="O12" s="39">
        <v>11.189302888061309</v>
      </c>
      <c r="P12" s="39">
        <v>12.554557125672186</v>
      </c>
      <c r="Q12" s="39">
        <v>13.641222246139099</v>
      </c>
      <c r="R12" s="39">
        <v>11.920124628968678</v>
      </c>
      <c r="S12" s="39">
        <v>16.301053478301483</v>
      </c>
      <c r="T12" s="39">
        <v>18.002729597448798</v>
      </c>
      <c r="U12" s="39">
        <v>23.51928390792164</v>
      </c>
      <c r="V12" s="39">
        <v>22.931012292550406</v>
      </c>
      <c r="W12" s="39">
        <v>21.772875727838198</v>
      </c>
      <c r="X12" s="39">
        <v>20.197449864994486</v>
      </c>
      <c r="Y12" s="39">
        <v>26.305530670221597</v>
      </c>
      <c r="Z12" s="39">
        <v>22.11913370915439</v>
      </c>
      <c r="AA12" s="39">
        <v>29.034992122144164</v>
      </c>
      <c r="AB12" s="39">
        <v>35.43206332065531</v>
      </c>
      <c r="AC12" s="39">
        <v>34.61704694501644</v>
      </c>
      <c r="AD12" s="39">
        <v>29.739451091660161</v>
      </c>
      <c r="AE12" s="39">
        <v>19.974265449438207</v>
      </c>
      <c r="AF12" s="39">
        <v>13.318133229813666</v>
      </c>
      <c r="AG12" s="39">
        <v>19.722327490653953</v>
      </c>
      <c r="AH12" s="39">
        <v>24.501477367682732</v>
      </c>
      <c r="AI12" s="39">
        <v>34.929091242343567</v>
      </c>
      <c r="AJ12" s="39">
        <v>40.501878314673206</v>
      </c>
      <c r="AK12" s="39">
        <v>132.14283415977937</v>
      </c>
      <c r="AL12" s="39">
        <v>30.816248501769113</v>
      </c>
      <c r="AM12" s="39">
        <v>27.586889270170644</v>
      </c>
      <c r="AN12" s="39">
        <v>35.905170530498559</v>
      </c>
      <c r="AO12" s="39">
        <v>99.476131512323988</v>
      </c>
      <c r="AP12" s="39">
        <v>155.53691363815688</v>
      </c>
      <c r="AQ12" s="39">
        <v>142.50493096646943</v>
      </c>
      <c r="AR12" s="39">
        <v>226.57286432160805</v>
      </c>
      <c r="AS12" s="39">
        <v>253.09395848279328</v>
      </c>
      <c r="AT12" s="39">
        <v>909.58685868586861</v>
      </c>
      <c r="AU12" s="39">
        <v>2146.8657407407409</v>
      </c>
      <c r="AV12" s="39">
        <v>3584.4097035040431</v>
      </c>
      <c r="AW12" s="39">
        <v>6268.9571938168847</v>
      </c>
      <c r="AX12" s="42">
        <v>7543.7788844621518</v>
      </c>
    </row>
    <row r="13" spans="1:50" ht="13">
      <c r="A13" s="507" t="s">
        <v>1026</v>
      </c>
      <c r="B13" s="496"/>
      <c r="C13" s="548">
        <v>24.812591230558834</v>
      </c>
      <c r="D13" s="39">
        <v>15.977359342950358</v>
      </c>
      <c r="E13" s="39">
        <v>6.8698484425500208</v>
      </c>
      <c r="F13" s="39">
        <v>14.817017711567233</v>
      </c>
      <c r="G13" s="39">
        <v>23.477527475985418</v>
      </c>
      <c r="H13" s="39">
        <v>25.312082038647443</v>
      </c>
      <c r="I13" s="39">
        <v>29.151553763426911</v>
      </c>
      <c r="J13" s="39">
        <v>34.717395587248852</v>
      </c>
      <c r="K13" s="39">
        <v>27.476011176059366</v>
      </c>
      <c r="L13" s="39">
        <v>27.521323667695764</v>
      </c>
      <c r="M13" s="39">
        <v>30.763226228333021</v>
      </c>
      <c r="N13" s="39">
        <v>32.034908356820509</v>
      </c>
      <c r="O13" s="39">
        <v>22.725102389611195</v>
      </c>
      <c r="P13" s="39">
        <v>31.383847856669213</v>
      </c>
      <c r="Q13" s="39">
        <v>21.718324618951304</v>
      </c>
      <c r="R13" s="39">
        <v>21.26391137821096</v>
      </c>
      <c r="S13" s="39">
        <v>38.055109095119164</v>
      </c>
      <c r="T13" s="39">
        <v>82.382992838527286</v>
      </c>
      <c r="U13" s="39">
        <v>83.808151384030836</v>
      </c>
      <c r="V13" s="39">
        <v>107.94275145210919</v>
      </c>
      <c r="W13" s="39">
        <v>139.97516255185079</v>
      </c>
      <c r="X13" s="39">
        <v>133.86372631970619</v>
      </c>
      <c r="Y13" s="39">
        <v>289.25771324934158</v>
      </c>
      <c r="Z13" s="39">
        <v>371.87600626124186</v>
      </c>
      <c r="AA13" s="39">
        <v>358.20196107773012</v>
      </c>
      <c r="AB13" s="39">
        <v>632.14096718409644</v>
      </c>
      <c r="AC13" s="39">
        <v>976.34468868900058</v>
      </c>
      <c r="AD13" s="39">
        <v>637.94677742248518</v>
      </c>
      <c r="AE13" s="39">
        <v>582.35952722159527</v>
      </c>
      <c r="AF13" s="39">
        <v>343.05446462563708</v>
      </c>
      <c r="AG13" s="39">
        <v>285.67295363192159</v>
      </c>
      <c r="AH13" s="39">
        <v>362.90797693812328</v>
      </c>
      <c r="AI13" s="39">
        <v>642.49754124758965</v>
      </c>
      <c r="AJ13" s="39">
        <v>1191.221306844398</v>
      </c>
      <c r="AK13" s="39">
        <v>2334.5672987869721</v>
      </c>
      <c r="AL13" s="39">
        <v>2344.5583551922737</v>
      </c>
      <c r="AM13" s="39">
        <v>2117.0774326070273</v>
      </c>
      <c r="AN13" s="39">
        <v>3610.1347655404788</v>
      </c>
      <c r="AO13" s="39">
        <v>11926.480702549614</v>
      </c>
      <c r="AP13" s="39">
        <v>23712.102510182227</v>
      </c>
      <c r="AQ13" s="39">
        <v>37373.349225364691</v>
      </c>
      <c r="AR13" s="39">
        <v>51635.716802309107</v>
      </c>
      <c r="AS13" s="39">
        <v>76434.733515583066</v>
      </c>
      <c r="AT13" s="39">
        <v>109370.61956369913</v>
      </c>
      <c r="AU13" s="39">
        <v>138694.68031758157</v>
      </c>
      <c r="AV13" s="39">
        <v>140840.76388017696</v>
      </c>
      <c r="AW13" s="39">
        <v>154288.23134941797</v>
      </c>
      <c r="AX13" s="42">
        <v>177203.0354035151</v>
      </c>
    </row>
    <row r="14" spans="1:50" ht="13">
      <c r="A14" s="507" t="s">
        <v>1027</v>
      </c>
      <c r="B14" s="496"/>
      <c r="C14" s="548">
        <v>23.231702398181252</v>
      </c>
      <c r="D14" s="39">
        <v>15.145621541398656</v>
      </c>
      <c r="E14" s="39">
        <v>6.800719264364548</v>
      </c>
      <c r="F14" s="39">
        <v>14.513661127937338</v>
      </c>
      <c r="G14" s="39">
        <v>21.547209134607627</v>
      </c>
      <c r="H14" s="39">
        <v>24.278728723479411</v>
      </c>
      <c r="I14" s="39">
        <v>28.047548012486853</v>
      </c>
      <c r="J14" s="39">
        <v>33.021729511167564</v>
      </c>
      <c r="K14" s="39">
        <v>25.677658645036328</v>
      </c>
      <c r="L14" s="39">
        <v>25.589944967496884</v>
      </c>
      <c r="M14" s="39">
        <v>29.448012834921499</v>
      </c>
      <c r="N14" s="39">
        <v>30.296889514853817</v>
      </c>
      <c r="O14" s="39">
        <v>20.352109495311389</v>
      </c>
      <c r="P14" s="39">
        <v>25.868535897181921</v>
      </c>
      <c r="Q14" s="39">
        <v>17.569998796315037</v>
      </c>
      <c r="R14" s="39">
        <v>18.265904499276733</v>
      </c>
      <c r="S14" s="39">
        <v>31.186657512381874</v>
      </c>
      <c r="T14" s="39">
        <v>72.403419838161483</v>
      </c>
      <c r="U14" s="39">
        <v>75.360227935957425</v>
      </c>
      <c r="V14" s="39">
        <v>95.511002971074006</v>
      </c>
      <c r="W14" s="39">
        <v>120.01316891643248</v>
      </c>
      <c r="X14" s="39">
        <v>107.91984318744896</v>
      </c>
      <c r="Y14" s="39">
        <v>247.42682272377422</v>
      </c>
      <c r="Z14" s="39">
        <v>336.51680252250787</v>
      </c>
      <c r="AA14" s="39">
        <v>327.86587887523177</v>
      </c>
      <c r="AB14" s="39">
        <v>580.88980567565045</v>
      </c>
      <c r="AC14" s="39">
        <v>845.25953523364944</v>
      </c>
      <c r="AD14" s="39">
        <v>515.20465928430019</v>
      </c>
      <c r="AE14" s="39">
        <v>511.33560497368723</v>
      </c>
      <c r="AF14" s="39">
        <v>291.06670453378553</v>
      </c>
      <c r="AG14" s="39">
        <v>266.69814544639723</v>
      </c>
      <c r="AH14" s="39">
        <v>315.32531695150925</v>
      </c>
      <c r="AI14" s="39">
        <v>578.88073646058353</v>
      </c>
      <c r="AJ14" s="39">
        <v>996.19421800232294</v>
      </c>
      <c r="AK14" s="39">
        <v>1999.6462989575955</v>
      </c>
      <c r="AL14" s="39">
        <v>1911.6285061365372</v>
      </c>
      <c r="AM14" s="39">
        <v>1609.3060492810223</v>
      </c>
      <c r="AN14" s="39">
        <v>2403.3028811233648</v>
      </c>
      <c r="AO14" s="39">
        <v>8804.0002763127577</v>
      </c>
      <c r="AP14" s="39">
        <v>15739.065239175799</v>
      </c>
      <c r="AQ14" s="39">
        <v>25906.838178294573</v>
      </c>
      <c r="AR14" s="39">
        <v>37538.620857699803</v>
      </c>
      <c r="AS14" s="39">
        <v>54988.52130682212</v>
      </c>
      <c r="AT14" s="39">
        <v>85141.473029045635</v>
      </c>
      <c r="AU14" s="39">
        <v>110219.99358288769</v>
      </c>
      <c r="AV14" s="39">
        <v>107428.1475409836</v>
      </c>
      <c r="AW14" s="39">
        <v>115920.68491735538</v>
      </c>
      <c r="AX14" s="42">
        <v>130299.4984260231</v>
      </c>
    </row>
    <row r="15" spans="1:50" ht="13">
      <c r="A15" s="507" t="s">
        <v>1028</v>
      </c>
      <c r="B15" s="496"/>
      <c r="C15" s="548">
        <v>1.5808888323775856</v>
      </c>
      <c r="D15" s="39">
        <v>0.83173780155170307</v>
      </c>
      <c r="E15" s="39">
        <v>6.9129178185473733E-2</v>
      </c>
      <c r="F15" s="39">
        <v>0.30335658362989326</v>
      </c>
      <c r="G15" s="39">
        <v>1.9303183413777973</v>
      </c>
      <c r="H15" s="39">
        <v>1.0333533151680292</v>
      </c>
      <c r="I15" s="39">
        <v>1.1040057509400574</v>
      </c>
      <c r="J15" s="39">
        <v>1.6956660760812927</v>
      </c>
      <c r="K15" s="39">
        <v>1.7983525310230346</v>
      </c>
      <c r="L15" s="39">
        <v>1.9313787001988836</v>
      </c>
      <c r="M15" s="39">
        <v>1.3152133934115211</v>
      </c>
      <c r="N15" s="39">
        <v>1.7380188419666944</v>
      </c>
      <c r="O15" s="39">
        <v>2.3729928942998084</v>
      </c>
      <c r="P15" s="39">
        <v>5.5153119594872848</v>
      </c>
      <c r="Q15" s="39">
        <v>4.1483258226362674</v>
      </c>
      <c r="R15" s="39">
        <v>2.9980068789342296</v>
      </c>
      <c r="S15" s="39">
        <v>6.8684515827372987</v>
      </c>
      <c r="T15" s="39">
        <v>9.9795730003657948</v>
      </c>
      <c r="U15" s="39">
        <v>8.4479234480734107</v>
      </c>
      <c r="V15" s="39">
        <v>12.431748481035182</v>
      </c>
      <c r="W15" s="39">
        <v>19.961993635418288</v>
      </c>
      <c r="X15" s="39">
        <v>25.943883132257248</v>
      </c>
      <c r="Y15" s="39">
        <v>41.830890525567334</v>
      </c>
      <c r="Z15" s="39">
        <v>35.35920373873406</v>
      </c>
      <c r="AA15" s="39">
        <v>30.336082202498282</v>
      </c>
      <c r="AB15" s="39">
        <v>51.251161508446067</v>
      </c>
      <c r="AC15" s="39">
        <v>131.08515345535096</v>
      </c>
      <c r="AD15" s="39">
        <v>122.74211813818498</v>
      </c>
      <c r="AE15" s="39">
        <v>71.023922247908075</v>
      </c>
      <c r="AF15" s="39">
        <v>51.987760091851577</v>
      </c>
      <c r="AG15" s="39">
        <v>18.974808185524363</v>
      </c>
      <c r="AH15" s="39">
        <v>47.582659986614061</v>
      </c>
      <c r="AI15" s="39">
        <v>63.616804787006132</v>
      </c>
      <c r="AJ15" s="39">
        <v>195.02708884207505</v>
      </c>
      <c r="AK15" s="39">
        <v>334.9209998293768</v>
      </c>
      <c r="AL15" s="39">
        <v>432.92984905573644</v>
      </c>
      <c r="AM15" s="39">
        <v>507.77138332600521</v>
      </c>
      <c r="AN15" s="39">
        <v>1206.8318844171135</v>
      </c>
      <c r="AO15" s="39">
        <v>3122.4804262368566</v>
      </c>
      <c r="AP15" s="39">
        <v>7973.0372710064275</v>
      </c>
      <c r="AQ15" s="39">
        <v>11466.511047070126</v>
      </c>
      <c r="AR15" s="39">
        <v>14097.0959446093</v>
      </c>
      <c r="AS15" s="39">
        <v>21446.212208760935</v>
      </c>
      <c r="AT15" s="39">
        <v>24229.146534653468</v>
      </c>
      <c r="AU15" s="39">
        <v>28474.686734693878</v>
      </c>
      <c r="AV15" s="39">
        <v>33412.616339193381</v>
      </c>
      <c r="AW15" s="39">
        <v>38367.546432062569</v>
      </c>
      <c r="AX15" s="42">
        <v>46903.53697749196</v>
      </c>
    </row>
    <row r="16" spans="1:50" ht="13">
      <c r="A16" s="507" t="s">
        <v>1029</v>
      </c>
      <c r="B16" s="496"/>
      <c r="C16" s="548">
        <v>182.4742243782527</v>
      </c>
      <c r="D16" s="39">
        <v>214.12350140712473</v>
      </c>
      <c r="E16" s="39">
        <v>223.49021731965772</v>
      </c>
      <c r="F16" s="39">
        <v>223.83463163858968</v>
      </c>
      <c r="G16" s="39">
        <v>243.56607842675339</v>
      </c>
      <c r="H16" s="39">
        <v>247.40344376853699</v>
      </c>
      <c r="I16" s="39">
        <v>318.21501495739153</v>
      </c>
      <c r="J16" s="39">
        <v>298.49325514336033</v>
      </c>
      <c r="K16" s="39">
        <v>364.21987997901334</v>
      </c>
      <c r="L16" s="39">
        <v>402.7575383775079</v>
      </c>
      <c r="M16" s="39">
        <v>433.22059065187062</v>
      </c>
      <c r="N16" s="39">
        <v>477.63773301527078</v>
      </c>
      <c r="O16" s="39">
        <v>575.51432382850203</v>
      </c>
      <c r="P16" s="39">
        <v>612.38637787094854</v>
      </c>
      <c r="Q16" s="39">
        <v>596.32540274795065</v>
      </c>
      <c r="R16" s="39">
        <v>655.56934916657701</v>
      </c>
      <c r="S16" s="39">
        <v>761.16147708752919</v>
      </c>
      <c r="T16" s="39">
        <v>940.13791710454404</v>
      </c>
      <c r="U16" s="39">
        <v>1103.430695661116</v>
      </c>
      <c r="V16" s="39">
        <v>1359.5858143367875</v>
      </c>
      <c r="W16" s="39">
        <v>1841.6049981394547</v>
      </c>
      <c r="X16" s="39">
        <v>1686.335005027928</v>
      </c>
      <c r="Y16" s="39">
        <v>1557.702930073722</v>
      </c>
      <c r="Z16" s="39">
        <v>2184.7100780314386</v>
      </c>
      <c r="AA16" s="39">
        <v>2486.3185396949611</v>
      </c>
      <c r="AB16" s="39">
        <v>3245.3886951718355</v>
      </c>
      <c r="AC16" s="39">
        <v>3852.256680293935</v>
      </c>
      <c r="AD16" s="39">
        <v>3536.3219987236994</v>
      </c>
      <c r="AE16" s="39">
        <v>3661.6784456746327</v>
      </c>
      <c r="AF16" s="39">
        <v>4629.3861224380998</v>
      </c>
      <c r="AG16" s="39">
        <v>4428.7325551693975</v>
      </c>
      <c r="AH16" s="39">
        <v>7993.1948766271207</v>
      </c>
      <c r="AI16" s="39">
        <v>10235.535161817976</v>
      </c>
      <c r="AJ16" s="39">
        <v>13651.778295432714</v>
      </c>
      <c r="AK16" s="39">
        <v>14213.488735324008</v>
      </c>
      <c r="AL16" s="39">
        <v>16013.612007758051</v>
      </c>
      <c r="AM16" s="39">
        <v>22659.326045757138</v>
      </c>
      <c r="AN16" s="39">
        <v>27224.466528895457</v>
      </c>
      <c r="AO16" s="39">
        <v>46071.182200643794</v>
      </c>
      <c r="AP16" s="39">
        <v>69592.096135527085</v>
      </c>
      <c r="AQ16" s="39">
        <v>97068.79018286815</v>
      </c>
      <c r="AR16" s="39">
        <v>111121.38063909774</v>
      </c>
      <c r="AS16" s="39">
        <v>155084.39697543092</v>
      </c>
      <c r="AT16" s="39">
        <v>207376.3667679838</v>
      </c>
      <c r="AU16" s="39">
        <v>253298.30010277493</v>
      </c>
      <c r="AV16" s="39">
        <v>289198.42817280884</v>
      </c>
      <c r="AW16" s="39">
        <v>297105.89308672346</v>
      </c>
      <c r="AX16" s="42">
        <v>331964.85185240908</v>
      </c>
    </row>
    <row r="17" spans="1:50" ht="13">
      <c r="A17" s="507" t="s">
        <v>1030</v>
      </c>
      <c r="B17" s="496"/>
      <c r="C17" s="548">
        <v>606.14984317521544</v>
      </c>
      <c r="D17" s="39">
        <v>339.57251371379772</v>
      </c>
      <c r="E17" s="39">
        <v>398.31750286581553</v>
      </c>
      <c r="F17" s="39">
        <v>383.47920985912566</v>
      </c>
      <c r="G17" s="39">
        <v>432.93859389269471</v>
      </c>
      <c r="H17" s="39">
        <v>494.01398249022242</v>
      </c>
      <c r="I17" s="39">
        <v>634.97395714442246</v>
      </c>
      <c r="J17" s="39">
        <v>755.75447453063214</v>
      </c>
      <c r="K17" s="39">
        <v>802.99193743850276</v>
      </c>
      <c r="L17" s="39">
        <v>863.9241202404927</v>
      </c>
      <c r="M17" s="39">
        <v>1006.0699656496098</v>
      </c>
      <c r="N17" s="39">
        <v>1165.6289023700474</v>
      </c>
      <c r="O17" s="39">
        <v>1083.8623412415484</v>
      </c>
      <c r="P17" s="39">
        <v>1235.4534945584874</v>
      </c>
      <c r="Q17" s="39">
        <v>983.62135824675568</v>
      </c>
      <c r="R17" s="39">
        <v>1126.9462928201337</v>
      </c>
      <c r="S17" s="39">
        <v>1185.5744881119624</v>
      </c>
      <c r="T17" s="39">
        <v>1821.129376041056</v>
      </c>
      <c r="U17" s="39">
        <v>2018.9444783334277</v>
      </c>
      <c r="V17" s="39">
        <v>2383.9531561044191</v>
      </c>
      <c r="W17" s="39">
        <v>2611.7055297837155</v>
      </c>
      <c r="X17" s="39">
        <v>3015.1125178682219</v>
      </c>
      <c r="Y17" s="39">
        <v>3512.487794870251</v>
      </c>
      <c r="Z17" s="39">
        <v>3976.968601031489</v>
      </c>
      <c r="AA17" s="39">
        <v>4755.9826020483542</v>
      </c>
      <c r="AB17" s="39">
        <v>5130.0051547061548</v>
      </c>
      <c r="AC17" s="39">
        <v>6580.3298589985252</v>
      </c>
      <c r="AD17" s="39">
        <v>5055.9255634695382</v>
      </c>
      <c r="AE17" s="39">
        <v>5725.5518207410441</v>
      </c>
      <c r="AF17" s="39">
        <v>3705.2898819309194</v>
      </c>
      <c r="AG17" s="39">
        <v>5040.233671609677</v>
      </c>
      <c r="AH17" s="39">
        <v>8587.7219664219847</v>
      </c>
      <c r="AI17" s="39">
        <v>13198.961077161779</v>
      </c>
      <c r="AJ17" s="39">
        <v>22386.70483075318</v>
      </c>
      <c r="AK17" s="39">
        <v>28942.44649283597</v>
      </c>
      <c r="AL17" s="39">
        <v>32561.946784950003</v>
      </c>
      <c r="AM17" s="39">
        <v>41699.87733338309</v>
      </c>
      <c r="AN17" s="39">
        <v>62856.945223843657</v>
      </c>
      <c r="AO17" s="39">
        <v>73714.59602600713</v>
      </c>
      <c r="AP17" s="39">
        <v>128130.80231543884</v>
      </c>
      <c r="AQ17" s="39">
        <v>223074.43056017367</v>
      </c>
      <c r="AR17" s="39">
        <v>241140.10228979538</v>
      </c>
      <c r="AS17" s="39">
        <v>318757.90117990691</v>
      </c>
      <c r="AT17" s="39">
        <v>394338.84652586945</v>
      </c>
      <c r="AU17" s="39">
        <v>495743.61538006866</v>
      </c>
      <c r="AV17" s="39">
        <v>485928.99612623849</v>
      </c>
      <c r="AW17" s="39">
        <v>496915.3320994465</v>
      </c>
      <c r="AX17" s="42">
        <v>506272.81522613257</v>
      </c>
    </row>
    <row r="18" spans="1:50" ht="13">
      <c r="A18" s="507" t="s">
        <v>1031</v>
      </c>
      <c r="B18" s="496"/>
      <c r="C18" s="548">
        <v>383.39571197413039</v>
      </c>
      <c r="D18" s="39">
        <v>193.80824749931</v>
      </c>
      <c r="E18" s="39">
        <v>171.54651646111711</v>
      </c>
      <c r="F18" s="39">
        <v>190.37355751320771</v>
      </c>
      <c r="G18" s="39">
        <v>220.29069698459512</v>
      </c>
      <c r="H18" s="39">
        <v>244.86865630083793</v>
      </c>
      <c r="I18" s="39">
        <v>336.62976803800825</v>
      </c>
      <c r="J18" s="39">
        <v>379.04841025738392</v>
      </c>
      <c r="K18" s="39">
        <v>375.50789908234935</v>
      </c>
      <c r="L18" s="39">
        <v>410.12327352296109</v>
      </c>
      <c r="M18" s="39">
        <v>464.09557051729837</v>
      </c>
      <c r="N18" s="39">
        <v>561.14138586577678</v>
      </c>
      <c r="O18" s="39">
        <v>480.49542451965897</v>
      </c>
      <c r="P18" s="39">
        <v>544.18761066170771</v>
      </c>
      <c r="Q18" s="39">
        <v>542.10678977946418</v>
      </c>
      <c r="R18" s="39">
        <v>587.26048111992748</v>
      </c>
      <c r="S18" s="39">
        <v>483.246932870894</v>
      </c>
      <c r="T18" s="39">
        <v>969.6922151619849</v>
      </c>
      <c r="U18" s="39">
        <v>1042.6683311808831</v>
      </c>
      <c r="V18" s="39">
        <v>1333.6887709235909</v>
      </c>
      <c r="W18" s="39">
        <v>1264.8136315724912</v>
      </c>
      <c r="X18" s="39">
        <v>1533.9397743073134</v>
      </c>
      <c r="Y18" s="39">
        <v>1740.3049609635837</v>
      </c>
      <c r="Z18" s="39">
        <v>2114.2687475760263</v>
      </c>
      <c r="AA18" s="39">
        <v>2541.238014207901</v>
      </c>
      <c r="AB18" s="39">
        <v>2328.0301442424375</v>
      </c>
      <c r="AC18" s="39">
        <v>2838.1625368909381</v>
      </c>
      <c r="AD18" s="39">
        <v>1784.0449571202812</v>
      </c>
      <c r="AE18" s="39">
        <v>1364.0018093199969</v>
      </c>
      <c r="AF18" s="39">
        <v>506.49049948250695</v>
      </c>
      <c r="AG18" s="39">
        <v>1203.5423776036819</v>
      </c>
      <c r="AH18" s="39">
        <v>5154.275183726787</v>
      </c>
      <c r="AI18" s="39">
        <v>8035.1338739034618</v>
      </c>
      <c r="AJ18" s="39">
        <v>13969.523026097508</v>
      </c>
      <c r="AK18" s="39">
        <v>19328.331107534003</v>
      </c>
      <c r="AL18" s="39">
        <v>24825.052410869273</v>
      </c>
      <c r="AM18" s="39">
        <v>31361.996112163979</v>
      </c>
      <c r="AN18" s="39">
        <v>44621.21471578777</v>
      </c>
      <c r="AO18" s="39">
        <v>39850.687874284478</v>
      </c>
      <c r="AP18" s="39">
        <v>62206.890652964241</v>
      </c>
      <c r="AQ18" s="39">
        <v>146406.75022706631</v>
      </c>
      <c r="AR18" s="39">
        <v>144230.1777163904</v>
      </c>
      <c r="AS18" s="39">
        <v>183589.31821217338</v>
      </c>
      <c r="AT18" s="39">
        <v>222966.91030534351</v>
      </c>
      <c r="AU18" s="39">
        <v>305784.97815764486</v>
      </c>
      <c r="AV18" s="39">
        <v>302738.85183206171</v>
      </c>
      <c r="AW18" s="39">
        <v>325564.93235664786</v>
      </c>
      <c r="AX18" s="42">
        <v>318473.63042435166</v>
      </c>
    </row>
    <row r="19" spans="1:50" ht="13">
      <c r="A19" s="507" t="s">
        <v>1032</v>
      </c>
      <c r="B19" s="496"/>
      <c r="C19" s="548">
        <v>24.474217129559452</v>
      </c>
      <c r="D19" s="39">
        <v>11.594259818188904</v>
      </c>
      <c r="E19" s="39">
        <v>25.36793170443493</v>
      </c>
      <c r="F19" s="39">
        <v>36.607866635112579</v>
      </c>
      <c r="G19" s="39">
        <v>29.535300705292485</v>
      </c>
      <c r="H19" s="39">
        <v>38.731402731700413</v>
      </c>
      <c r="I19" s="39">
        <v>51.948752881825186</v>
      </c>
      <c r="J19" s="39">
        <v>64.829480390246516</v>
      </c>
      <c r="K19" s="39">
        <v>82.311100639271089</v>
      </c>
      <c r="L19" s="39">
        <v>76.469628977982836</v>
      </c>
      <c r="M19" s="39">
        <v>101.60607986314494</v>
      </c>
      <c r="N19" s="39">
        <v>131.02627375218242</v>
      </c>
      <c r="O19" s="39">
        <v>181.82377753488939</v>
      </c>
      <c r="P19" s="39">
        <v>173.90083920112079</v>
      </c>
      <c r="Q19" s="39">
        <v>135.46111075233205</v>
      </c>
      <c r="R19" s="39">
        <v>149.85353789635525</v>
      </c>
      <c r="S19" s="39">
        <v>204.58625643087893</v>
      </c>
      <c r="T19" s="39">
        <v>258.45176801829678</v>
      </c>
      <c r="U19" s="39">
        <v>295.68268661890721</v>
      </c>
      <c r="V19" s="39">
        <v>316.51528594773515</v>
      </c>
      <c r="W19" s="39">
        <v>335.16486928446153</v>
      </c>
      <c r="X19" s="39">
        <v>408.51486265357948</v>
      </c>
      <c r="Y19" s="39">
        <v>620.2813065538727</v>
      </c>
      <c r="Z19" s="39">
        <v>651.24810959644356</v>
      </c>
      <c r="AA19" s="39">
        <v>758.92878005653245</v>
      </c>
      <c r="AB19" s="39">
        <v>1014.8636615026206</v>
      </c>
      <c r="AC19" s="39">
        <v>1348.1993575139743</v>
      </c>
      <c r="AD19" s="39">
        <v>1274.6549748963134</v>
      </c>
      <c r="AE19" s="39">
        <v>1967.7660963667329</v>
      </c>
      <c r="AF19" s="39">
        <v>1202.3393606088148</v>
      </c>
      <c r="AG19" s="39">
        <v>1163.6095909370724</v>
      </c>
      <c r="AH19" s="39">
        <v>1175.6116658194092</v>
      </c>
      <c r="AI19" s="39">
        <v>1757.5045210502269</v>
      </c>
      <c r="AJ19" s="39">
        <v>2600.6446165809398</v>
      </c>
      <c r="AK19" s="39">
        <v>2896.7132941892219</v>
      </c>
      <c r="AL19" s="39">
        <v>2209.7017337436773</v>
      </c>
      <c r="AM19" s="39">
        <v>2716.9328444723137</v>
      </c>
      <c r="AN19" s="39">
        <v>4726.6102176345375</v>
      </c>
      <c r="AO19" s="39">
        <v>8834.9295688594648</v>
      </c>
      <c r="AP19" s="39">
        <v>15028.747968640537</v>
      </c>
      <c r="AQ19" s="39">
        <v>17024.150890346769</v>
      </c>
      <c r="AR19" s="39">
        <v>21036.901046622264</v>
      </c>
      <c r="AS19" s="39">
        <v>27556.652845236538</v>
      </c>
      <c r="AT19" s="39">
        <v>35626.383629191325</v>
      </c>
      <c r="AU19" s="39">
        <v>42930.979695431473</v>
      </c>
      <c r="AV19" s="39">
        <v>40005.023952095806</v>
      </c>
      <c r="AW19" s="39">
        <v>41503.862626262628</v>
      </c>
      <c r="AX19" s="42">
        <v>44117.366767983789</v>
      </c>
    </row>
    <row r="20" spans="1:50" ht="13">
      <c r="A20" s="507" t="s">
        <v>1033</v>
      </c>
      <c r="B20" s="496"/>
      <c r="C20" s="548">
        <v>1.6582834076554742</v>
      </c>
      <c r="D20" s="39">
        <v>2.6086283936252737</v>
      </c>
      <c r="E20" s="39">
        <v>4.4876007233590753</v>
      </c>
      <c r="F20" s="39">
        <v>1.5162438755429986</v>
      </c>
      <c r="G20" s="39">
        <v>2.3940000000000001</v>
      </c>
      <c r="H20" s="39">
        <v>5.9076325906633596</v>
      </c>
      <c r="I20" s="39">
        <v>3.4931095376823893</v>
      </c>
      <c r="J20" s="39">
        <v>4.7195645293075534</v>
      </c>
      <c r="K20" s="39">
        <v>7.3248408117845889</v>
      </c>
      <c r="L20" s="39">
        <v>5.0767053195036764</v>
      </c>
      <c r="M20" s="39">
        <v>6.4628888730666514</v>
      </c>
      <c r="N20" s="39">
        <v>10.651641167371363</v>
      </c>
      <c r="O20" s="39">
        <v>3.3385125850864572</v>
      </c>
      <c r="P20" s="39">
        <v>6.613553474695772</v>
      </c>
      <c r="Q20" s="39">
        <v>9.1690791906416909</v>
      </c>
      <c r="R20" s="39">
        <v>8.6474885185159422</v>
      </c>
      <c r="S20" s="39">
        <v>15.926499037278809</v>
      </c>
      <c r="T20" s="39">
        <v>14.855018416196485</v>
      </c>
      <c r="U20" s="39">
        <v>16.507499304739937</v>
      </c>
      <c r="V20" s="39">
        <v>20.352285827834223</v>
      </c>
      <c r="W20" s="39">
        <v>38.956476300192563</v>
      </c>
      <c r="X20" s="39">
        <v>41.21834157669538</v>
      </c>
      <c r="Y20" s="39">
        <v>60.021935581956093</v>
      </c>
      <c r="Z20" s="39">
        <v>82.37474794948335</v>
      </c>
      <c r="AA20" s="39">
        <v>90.435909691485008</v>
      </c>
      <c r="AB20" s="39">
        <v>167.95415885792156</v>
      </c>
      <c r="AC20" s="39">
        <v>238.0951853815082</v>
      </c>
      <c r="AD20" s="39">
        <v>200.85071576863405</v>
      </c>
      <c r="AE20" s="39">
        <v>159.54469536800477</v>
      </c>
      <c r="AF20" s="39">
        <v>93.18377164908695</v>
      </c>
      <c r="AG20" s="39">
        <v>85.913687116144814</v>
      </c>
      <c r="AH20" s="39">
        <v>41.5480270403324</v>
      </c>
      <c r="AI20" s="39">
        <v>58.156115920500362</v>
      </c>
      <c r="AJ20" s="39">
        <v>82.753420327440168</v>
      </c>
      <c r="AK20" s="39">
        <v>99.73207474370254</v>
      </c>
      <c r="AL20" s="39">
        <v>222.52822721248634</v>
      </c>
      <c r="AM20" s="39">
        <v>216.08970843598561</v>
      </c>
      <c r="AN20" s="39">
        <v>131.52753332291462</v>
      </c>
      <c r="AO20" s="39">
        <v>1176.7499006559367</v>
      </c>
      <c r="AP20" s="39">
        <v>4939.8762679780148</v>
      </c>
      <c r="AQ20" s="39">
        <v>5886.6131725417436</v>
      </c>
      <c r="AR20" s="39">
        <v>8506.6397273612474</v>
      </c>
      <c r="AS20" s="39">
        <v>12957.692268113266</v>
      </c>
      <c r="AT20" s="39">
        <v>17560.113320079523</v>
      </c>
      <c r="AU20" s="39">
        <v>23550.933856502241</v>
      </c>
      <c r="AV20" s="39">
        <v>19918.546370967742</v>
      </c>
      <c r="AW20" s="39">
        <v>18879.583580613256</v>
      </c>
      <c r="AX20" s="42">
        <v>22397.134312696748</v>
      </c>
    </row>
    <row r="21" spans="1:50" ht="13">
      <c r="A21" s="507" t="s">
        <v>1029</v>
      </c>
      <c r="B21" s="496"/>
      <c r="C21" s="548">
        <v>196.62163066387001</v>
      </c>
      <c r="D21" s="39">
        <v>131.56137800267359</v>
      </c>
      <c r="E21" s="39">
        <v>196.91545397690439</v>
      </c>
      <c r="F21" s="39">
        <v>154.98154183526236</v>
      </c>
      <c r="G21" s="39">
        <v>180.71859620280708</v>
      </c>
      <c r="H21" s="39">
        <v>204.50629086702062</v>
      </c>
      <c r="I21" s="39">
        <v>242.9023266869066</v>
      </c>
      <c r="J21" s="39">
        <v>307.15701935369412</v>
      </c>
      <c r="K21" s="39">
        <v>337.84809690509786</v>
      </c>
      <c r="L21" s="39">
        <v>372.25451242004522</v>
      </c>
      <c r="M21" s="39">
        <v>433.90542639609987</v>
      </c>
      <c r="N21" s="39">
        <v>462.80960158471675</v>
      </c>
      <c r="O21" s="39">
        <v>418.20462660191328</v>
      </c>
      <c r="P21" s="39">
        <v>510.75149122096309</v>
      </c>
      <c r="Q21" s="39">
        <v>296.88437852431792</v>
      </c>
      <c r="R21" s="39">
        <v>381.18478528533512</v>
      </c>
      <c r="S21" s="39">
        <v>481.81479977291053</v>
      </c>
      <c r="T21" s="39">
        <v>578.13037444457757</v>
      </c>
      <c r="U21" s="39">
        <v>664.08596122889708</v>
      </c>
      <c r="V21" s="39">
        <v>713.39681340525885</v>
      </c>
      <c r="W21" s="39">
        <v>972.77055262656995</v>
      </c>
      <c r="X21" s="39">
        <v>1031.4395393306336</v>
      </c>
      <c r="Y21" s="39">
        <v>1091.879591770838</v>
      </c>
      <c r="Z21" s="39">
        <v>1129.0769959095364</v>
      </c>
      <c r="AA21" s="39">
        <v>1365.379898092436</v>
      </c>
      <c r="AB21" s="39">
        <v>1619.1571901031743</v>
      </c>
      <c r="AC21" s="39">
        <v>2155.872779212104</v>
      </c>
      <c r="AD21" s="39">
        <v>1796.3749156843107</v>
      </c>
      <c r="AE21" s="39">
        <v>2234.2392196863098</v>
      </c>
      <c r="AF21" s="39">
        <v>1903.2762501905106</v>
      </c>
      <c r="AG21" s="39">
        <v>2587.1680159527778</v>
      </c>
      <c r="AH21" s="39">
        <v>2216.2870898354563</v>
      </c>
      <c r="AI21" s="39">
        <v>3348.166566287593</v>
      </c>
      <c r="AJ21" s="39">
        <v>5733.7837677472899</v>
      </c>
      <c r="AK21" s="39">
        <v>6617.6700163690421</v>
      </c>
      <c r="AL21" s="39">
        <v>5304.6644131245612</v>
      </c>
      <c r="AM21" s="39">
        <v>7404.8586683108124</v>
      </c>
      <c r="AN21" s="39">
        <v>13377.592757098422</v>
      </c>
      <c r="AO21" s="39">
        <v>23852.22868220726</v>
      </c>
      <c r="AP21" s="39">
        <v>45955.287425856055</v>
      </c>
      <c r="AQ21" s="39">
        <v>53756.916270218841</v>
      </c>
      <c r="AR21" s="39">
        <v>67366.383799421412</v>
      </c>
      <c r="AS21" s="39">
        <v>94654.237854383697</v>
      </c>
      <c r="AT21" s="39">
        <v>118185.43927125506</v>
      </c>
      <c r="AU21" s="39">
        <v>123476.7236704901</v>
      </c>
      <c r="AV21" s="39">
        <v>123266.57397111313</v>
      </c>
      <c r="AW21" s="39">
        <v>110966.95353592263</v>
      </c>
      <c r="AX21" s="42">
        <v>121284.68372110024</v>
      </c>
    </row>
    <row r="22" spans="1:50" ht="13">
      <c r="A22" s="507"/>
      <c r="B22" s="496"/>
      <c r="C22" s="577"/>
      <c r="D22" s="583"/>
      <c r="E22" s="583"/>
      <c r="F22" s="583"/>
      <c r="G22" s="583"/>
      <c r="H22" s="583"/>
      <c r="I22" s="583"/>
      <c r="J22" s="583"/>
      <c r="K22" s="583"/>
      <c r="L22" s="583"/>
      <c r="M22" s="583"/>
      <c r="N22" s="583"/>
      <c r="O22" s="583"/>
      <c r="P22" s="583"/>
      <c r="Q22" s="583"/>
      <c r="R22" s="583"/>
      <c r="S22" s="583"/>
      <c r="T22" s="583"/>
      <c r="U22" s="583"/>
      <c r="V22" s="583"/>
      <c r="W22" s="583"/>
      <c r="X22" s="583"/>
      <c r="Y22" s="583"/>
      <c r="Z22" s="583"/>
      <c r="AA22" s="583"/>
      <c r="AB22" s="583"/>
      <c r="AC22" s="583"/>
      <c r="AD22" s="583"/>
      <c r="AE22" s="583"/>
      <c r="AF22" s="583"/>
      <c r="AG22" s="583"/>
      <c r="AH22" s="583"/>
      <c r="AI22" s="583"/>
      <c r="AJ22" s="583"/>
      <c r="AK22" s="583"/>
      <c r="AL22" s="583"/>
      <c r="AM22" s="583"/>
      <c r="AN22" s="583"/>
      <c r="AO22" s="583"/>
      <c r="AP22" s="583"/>
      <c r="AQ22" s="583"/>
      <c r="AR22" s="583"/>
      <c r="AS22" s="583"/>
      <c r="AT22" s="583"/>
      <c r="AU22" s="583"/>
      <c r="AV22" s="583"/>
      <c r="AW22" s="583"/>
      <c r="AX22" s="584"/>
    </row>
    <row r="23" spans="1:50" ht="13">
      <c r="A23" s="507" t="s">
        <v>1034</v>
      </c>
      <c r="B23" s="496"/>
      <c r="C23" s="548">
        <v>2681.932706698014</v>
      </c>
      <c r="D23" s="39">
        <v>2238.330484354316</v>
      </c>
      <c r="E23" s="39">
        <v>1821.7670987231488</v>
      </c>
      <c r="F23" s="39">
        <v>1594.5964581838302</v>
      </c>
      <c r="G23" s="39">
        <v>2095.6918085225898</v>
      </c>
      <c r="H23" s="39">
        <v>2128.1471051140247</v>
      </c>
      <c r="I23" s="39">
        <v>2019.957466845437</v>
      </c>
      <c r="J23" s="39">
        <v>2524.8154716042031</v>
      </c>
      <c r="K23" s="39">
        <v>2317.152177898899</v>
      </c>
      <c r="L23" s="39">
        <v>2696.025700963572</v>
      </c>
      <c r="M23" s="39">
        <v>3227.4932725064573</v>
      </c>
      <c r="N23" s="39">
        <v>2902.0022486114603</v>
      </c>
      <c r="O23" s="39">
        <v>3226.5894819015484</v>
      </c>
      <c r="P23" s="39">
        <v>4712.4329362401977</v>
      </c>
      <c r="Q23" s="39">
        <v>4015.1404779539034</v>
      </c>
      <c r="R23" s="39">
        <v>4056.8171007734081</v>
      </c>
      <c r="S23" s="39">
        <v>4521.2328406053175</v>
      </c>
      <c r="T23" s="39">
        <v>5821.3955450396024</v>
      </c>
      <c r="U23" s="39">
        <v>7432.4087876991662</v>
      </c>
      <c r="V23" s="39">
        <v>7305.5743131015734</v>
      </c>
      <c r="W23" s="39">
        <v>8363.6735032321903</v>
      </c>
      <c r="X23" s="39">
        <v>8948.9400492061213</v>
      </c>
      <c r="Y23" s="39">
        <v>10548.360386221108</v>
      </c>
      <c r="Z23" s="39">
        <v>12257.03123037753</v>
      </c>
      <c r="AA23" s="39">
        <v>16461.733374302061</v>
      </c>
      <c r="AB23" s="39">
        <v>18999.944133371726</v>
      </c>
      <c r="AC23" s="39">
        <v>21612.603771273752</v>
      </c>
      <c r="AD23" s="39">
        <v>17581.176906825807</v>
      </c>
      <c r="AE23" s="39">
        <v>23935.461591110034</v>
      </c>
      <c r="AF23" s="39">
        <v>36487.842923457603</v>
      </c>
      <c r="AG23" s="39">
        <v>49173.440572703963</v>
      </c>
      <c r="AH23" s="39">
        <v>64422.369127303995</v>
      </c>
      <c r="AI23" s="39">
        <v>100166.85007655079</v>
      </c>
      <c r="AJ23" s="39">
        <v>129682.53053211737</v>
      </c>
      <c r="AK23" s="39">
        <v>155387.7011783559</v>
      </c>
      <c r="AL23" s="39">
        <v>172635.88124976491</v>
      </c>
      <c r="AM23" s="39">
        <v>166485.07976471525</v>
      </c>
      <c r="AN23" s="39">
        <v>214885.45812644571</v>
      </c>
      <c r="AO23" s="39">
        <v>328540.40512033185</v>
      </c>
      <c r="AP23" s="39">
        <v>525183.28639498237</v>
      </c>
      <c r="AQ23" s="39">
        <v>746169.0227077466</v>
      </c>
      <c r="AR23" s="39">
        <v>880362.49309362972</v>
      </c>
      <c r="AS23" s="39">
        <v>1049541.4941293136</v>
      </c>
      <c r="AT23" s="39">
        <v>1094057.587636685</v>
      </c>
      <c r="AU23" s="39">
        <v>1220853.9533795414</v>
      </c>
      <c r="AV23" s="39">
        <v>1031361.1597156887</v>
      </c>
      <c r="AW23" s="39">
        <v>1183121.8276259813</v>
      </c>
      <c r="AX23" s="42">
        <v>1367271.5050777202</v>
      </c>
    </row>
    <row r="24" spans="1:50" ht="13">
      <c r="A24" s="507" t="s">
        <v>1035</v>
      </c>
      <c r="B24" s="496"/>
      <c r="C24" s="548">
        <v>917.65425634311703</v>
      </c>
      <c r="D24" s="39">
        <v>805.76667003975797</v>
      </c>
      <c r="E24" s="39">
        <v>1037.3780325292682</v>
      </c>
      <c r="F24" s="39">
        <v>961.9306734751591</v>
      </c>
      <c r="G24" s="39">
        <v>1129.6199238990671</v>
      </c>
      <c r="H24" s="39">
        <v>1152.1188963523289</v>
      </c>
      <c r="I24" s="39">
        <v>1107.032413966122</v>
      </c>
      <c r="J24" s="39">
        <v>1216.1107473410148</v>
      </c>
      <c r="K24" s="39">
        <v>1318.2835990359486</v>
      </c>
      <c r="L24" s="39">
        <v>1683.2655279111291</v>
      </c>
      <c r="M24" s="39">
        <v>1808.0675110374029</v>
      </c>
      <c r="N24" s="39">
        <v>1843.9755464942948</v>
      </c>
      <c r="O24" s="39">
        <v>1975.3050155936908</v>
      </c>
      <c r="P24" s="39">
        <v>2283.7427373628511</v>
      </c>
      <c r="Q24" s="39">
        <v>2513.9859194026631</v>
      </c>
      <c r="R24" s="39">
        <v>2526.211282985098</v>
      </c>
      <c r="S24" s="39">
        <v>3265.5866413695985</v>
      </c>
      <c r="T24" s="39">
        <v>3832.0198102580935</v>
      </c>
      <c r="U24" s="39">
        <v>4860.186245511879</v>
      </c>
      <c r="V24" s="39">
        <v>4529.8231814543469</v>
      </c>
      <c r="W24" s="39">
        <v>5072.4096052534187</v>
      </c>
      <c r="X24" s="39">
        <v>5282.1538271823492</v>
      </c>
      <c r="Y24" s="39">
        <v>6807.0894132977055</v>
      </c>
      <c r="Z24" s="39">
        <v>7634.0945968451188</v>
      </c>
      <c r="AA24" s="39">
        <v>9761.1399611413017</v>
      </c>
      <c r="AB24" s="39">
        <v>10933.436996827733</v>
      </c>
      <c r="AC24" s="39">
        <v>13424.796182814727</v>
      </c>
      <c r="AD24" s="39">
        <v>10460.21221518719</v>
      </c>
      <c r="AE24" s="39">
        <v>13637.737091059051</v>
      </c>
      <c r="AF24" s="39">
        <v>19722.993120643336</v>
      </c>
      <c r="AG24" s="39">
        <v>29508.550199694346</v>
      </c>
      <c r="AH24" s="39">
        <v>40383.022046952887</v>
      </c>
      <c r="AI24" s="39">
        <v>62431.037943542353</v>
      </c>
      <c r="AJ24" s="39">
        <v>80342.528937168128</v>
      </c>
      <c r="AK24" s="39">
        <v>93299.09225248087</v>
      </c>
      <c r="AL24" s="39">
        <v>105964.50448710697</v>
      </c>
      <c r="AM24" s="39">
        <v>104551.63550028889</v>
      </c>
      <c r="AN24" s="39">
        <v>136781.95539961019</v>
      </c>
      <c r="AO24" s="39">
        <v>202380.80345760871</v>
      </c>
      <c r="AP24" s="39">
        <v>321515.87815015338</v>
      </c>
      <c r="AQ24" s="39">
        <v>442777.16970802913</v>
      </c>
      <c r="AR24" s="39">
        <v>525225.15081652266</v>
      </c>
      <c r="AS24" s="39">
        <v>654897.2606851923</v>
      </c>
      <c r="AT24" s="39">
        <v>682341.98069105693</v>
      </c>
      <c r="AU24" s="39">
        <v>716784.66943866946</v>
      </c>
      <c r="AV24" s="39">
        <v>609566.88579940423</v>
      </c>
      <c r="AW24" s="39">
        <v>627930.92285438778</v>
      </c>
      <c r="AX24" s="42">
        <v>795620.91784989857</v>
      </c>
    </row>
    <row r="25" spans="1:50" ht="13">
      <c r="A25" s="507" t="s">
        <v>1036</v>
      </c>
      <c r="B25" s="496"/>
      <c r="C25" s="548">
        <v>1548.8521013396555</v>
      </c>
      <c r="D25" s="39">
        <v>1257.9888087110367</v>
      </c>
      <c r="E25" s="39">
        <v>632.34209778655509</v>
      </c>
      <c r="F25" s="39">
        <v>505.53413618925072</v>
      </c>
      <c r="G25" s="39">
        <v>794.64089516001434</v>
      </c>
      <c r="H25" s="39">
        <v>768.55924042395657</v>
      </c>
      <c r="I25" s="39">
        <v>691.66522298159407</v>
      </c>
      <c r="J25" s="39">
        <v>1047.310204708341</v>
      </c>
      <c r="K25" s="39">
        <v>688.75682940003833</v>
      </c>
      <c r="L25" s="39">
        <v>728.25917205108931</v>
      </c>
      <c r="M25" s="39">
        <v>1098.1502104474071</v>
      </c>
      <c r="N25" s="39">
        <v>690.54916977140272</v>
      </c>
      <c r="O25" s="39">
        <v>1015.5927391705133</v>
      </c>
      <c r="P25" s="39">
        <v>2099.9487490924457</v>
      </c>
      <c r="Q25" s="39">
        <v>1236.0313052267891</v>
      </c>
      <c r="R25" s="39">
        <v>1295.9487096739817</v>
      </c>
      <c r="S25" s="39">
        <v>966.20083376023183</v>
      </c>
      <c r="T25" s="39">
        <v>1510.2983631469765</v>
      </c>
      <c r="U25" s="39">
        <v>2104.3781900003187</v>
      </c>
      <c r="V25" s="39">
        <v>2285.4455001690494</v>
      </c>
      <c r="W25" s="39">
        <v>2706.2719840394675</v>
      </c>
      <c r="X25" s="39">
        <v>3179.9830019946185</v>
      </c>
      <c r="Y25" s="39">
        <v>2870.3109784660573</v>
      </c>
      <c r="Z25" s="39">
        <v>3708.2405562087347</v>
      </c>
      <c r="AA25" s="39">
        <v>5594.375530410186</v>
      </c>
      <c r="AB25" s="39">
        <v>6897.7684363580402</v>
      </c>
      <c r="AC25" s="39">
        <v>6548.0418983921263</v>
      </c>
      <c r="AD25" s="39">
        <v>5708.4480132921344</v>
      </c>
      <c r="AE25" s="39">
        <v>8366.8633704219865</v>
      </c>
      <c r="AF25" s="39">
        <v>13723.604217093018</v>
      </c>
      <c r="AG25" s="39">
        <v>15256.586467419189</v>
      </c>
      <c r="AH25" s="39">
        <v>17265.142426141381</v>
      </c>
      <c r="AI25" s="39">
        <v>27122.3260053964</v>
      </c>
      <c r="AJ25" s="39">
        <v>36677.192558909373</v>
      </c>
      <c r="AK25" s="39">
        <v>46985.345737028147</v>
      </c>
      <c r="AL25" s="39">
        <v>54273.69814650144</v>
      </c>
      <c r="AM25" s="39">
        <v>42836.482197353282</v>
      </c>
      <c r="AN25" s="39">
        <v>54283.104846071001</v>
      </c>
      <c r="AO25" s="39">
        <v>98630.239562835312</v>
      </c>
      <c r="AP25" s="39">
        <v>164679.9288313362</v>
      </c>
      <c r="AQ25" s="39">
        <v>247807.89837008799</v>
      </c>
      <c r="AR25" s="39">
        <v>290322.01021240675</v>
      </c>
      <c r="AS25" s="39">
        <v>314683.33041344763</v>
      </c>
      <c r="AT25" s="39">
        <v>313275.55269793107</v>
      </c>
      <c r="AU25" s="39">
        <v>394955.10289720859</v>
      </c>
      <c r="AV25" s="39">
        <v>330677.24494612124</v>
      </c>
      <c r="AW25" s="39">
        <v>443857.39456991857</v>
      </c>
      <c r="AX25" s="42">
        <v>448301.30043638096</v>
      </c>
    </row>
    <row r="26" spans="1:50" ht="13">
      <c r="A26" s="507" t="s">
        <v>1037</v>
      </c>
      <c r="B26" s="496"/>
      <c r="C26" s="548">
        <v>215.42634901524104</v>
      </c>
      <c r="D26" s="39">
        <v>174.57500560352128</v>
      </c>
      <c r="E26" s="39">
        <v>152.04696840732569</v>
      </c>
      <c r="F26" s="39">
        <v>127.13164851942048</v>
      </c>
      <c r="G26" s="39">
        <v>171.43098946350872</v>
      </c>
      <c r="H26" s="39">
        <v>207.46896833773926</v>
      </c>
      <c r="I26" s="39">
        <v>221.25982989772086</v>
      </c>
      <c r="J26" s="39">
        <v>261.3945195548477</v>
      </c>
      <c r="K26" s="39">
        <v>310.11174946291271</v>
      </c>
      <c r="L26" s="39">
        <v>284.50100100135359</v>
      </c>
      <c r="M26" s="39">
        <v>321.27555102164786</v>
      </c>
      <c r="N26" s="39">
        <v>367.47753234576265</v>
      </c>
      <c r="O26" s="39">
        <v>235.69172713734412</v>
      </c>
      <c r="P26" s="39">
        <v>328.74144978490091</v>
      </c>
      <c r="Q26" s="39">
        <v>265.12325332445073</v>
      </c>
      <c r="R26" s="39">
        <v>234.65710811432834</v>
      </c>
      <c r="S26" s="39">
        <v>289.44536547548768</v>
      </c>
      <c r="T26" s="39">
        <v>479.0773716345326</v>
      </c>
      <c r="U26" s="39">
        <v>467.84435218696581</v>
      </c>
      <c r="V26" s="39">
        <v>490.30563147817674</v>
      </c>
      <c r="W26" s="39">
        <v>584.99191393930403</v>
      </c>
      <c r="X26" s="39">
        <v>486.80322002915392</v>
      </c>
      <c r="Y26" s="39">
        <v>870.95999445734583</v>
      </c>
      <c r="Z26" s="39">
        <v>914.6960773236749</v>
      </c>
      <c r="AA26" s="39">
        <v>1106.2178827505709</v>
      </c>
      <c r="AB26" s="39">
        <v>1168.738700185952</v>
      </c>
      <c r="AC26" s="39">
        <v>1639.7656900668962</v>
      </c>
      <c r="AD26" s="39">
        <v>1412.5166783464804</v>
      </c>
      <c r="AE26" s="39">
        <v>1930.8611296289926</v>
      </c>
      <c r="AF26" s="39">
        <v>3041.2455857212453</v>
      </c>
      <c r="AG26" s="39">
        <v>4408.3039055904301</v>
      </c>
      <c r="AH26" s="39">
        <v>6774.2046542097296</v>
      </c>
      <c r="AI26" s="39">
        <v>10613.486127612068</v>
      </c>
      <c r="AJ26" s="39">
        <v>12662.809036039871</v>
      </c>
      <c r="AK26" s="39">
        <v>15103.263188846935</v>
      </c>
      <c r="AL26" s="39">
        <v>12397.678616156514</v>
      </c>
      <c r="AM26" s="39">
        <v>19096.962067073062</v>
      </c>
      <c r="AN26" s="39">
        <v>23820.397880764496</v>
      </c>
      <c r="AO26" s="39">
        <v>27529.362099887709</v>
      </c>
      <c r="AP26" s="39">
        <v>38987.479413492823</v>
      </c>
      <c r="AQ26" s="39">
        <v>55583.954629629625</v>
      </c>
      <c r="AR26" s="39">
        <v>64815.332064700291</v>
      </c>
      <c r="AS26" s="39">
        <v>79960.903030673449</v>
      </c>
      <c r="AT26" s="39">
        <v>98440.054247697044</v>
      </c>
      <c r="AU26" s="39">
        <v>109114.18104366347</v>
      </c>
      <c r="AV26" s="39">
        <v>91117.028970163286</v>
      </c>
      <c r="AW26" s="39">
        <v>111333.51020167512</v>
      </c>
      <c r="AX26" s="42">
        <v>123349.28679144049</v>
      </c>
    </row>
    <row r="27" spans="1:50" ht="13">
      <c r="A27" s="507"/>
      <c r="B27" s="496"/>
      <c r="C27" s="577"/>
      <c r="D27" s="583"/>
      <c r="E27" s="583"/>
      <c r="F27" s="583"/>
      <c r="G27" s="583"/>
      <c r="H27" s="583"/>
      <c r="I27" s="583"/>
      <c r="J27" s="583"/>
      <c r="K27" s="583"/>
      <c r="L27" s="583"/>
      <c r="M27" s="583"/>
      <c r="N27" s="583"/>
      <c r="O27" s="583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583"/>
      <c r="AD27" s="583"/>
      <c r="AE27" s="583"/>
      <c r="AF27" s="583"/>
      <c r="AG27" s="583"/>
      <c r="AH27" s="583"/>
      <c r="AI27" s="583"/>
      <c r="AJ27" s="583"/>
      <c r="AK27" s="583"/>
      <c r="AL27" s="583"/>
      <c r="AM27" s="583"/>
      <c r="AN27" s="583"/>
      <c r="AO27" s="583"/>
      <c r="AP27" s="583"/>
      <c r="AQ27" s="583"/>
      <c r="AR27" s="583"/>
      <c r="AS27" s="583"/>
      <c r="AT27" s="583"/>
      <c r="AU27" s="583"/>
      <c r="AV27" s="583"/>
      <c r="AW27" s="583"/>
      <c r="AX27" s="584"/>
    </row>
    <row r="28" spans="1:50" ht="13">
      <c r="A28" s="507" t="s">
        <v>1038</v>
      </c>
      <c r="B28" s="496"/>
      <c r="C28" s="548">
        <v>4744.9050312045911</v>
      </c>
      <c r="D28" s="39">
        <v>4737.3274505360159</v>
      </c>
      <c r="E28" s="39">
        <v>4311.3035996134968</v>
      </c>
      <c r="F28" s="39">
        <v>4448.3531483070592</v>
      </c>
      <c r="G28" s="39">
        <v>5699.7909705998954</v>
      </c>
      <c r="H28" s="39">
        <v>5981.5276831480442</v>
      </c>
      <c r="I28" s="39">
        <v>6044.9337116696406</v>
      </c>
      <c r="J28" s="39">
        <v>5959.2680806310482</v>
      </c>
      <c r="K28" s="39">
        <v>6706.6719758507506</v>
      </c>
      <c r="L28" s="39">
        <v>7931.4100977837552</v>
      </c>
      <c r="M28" s="39">
        <v>7825.8245708556697</v>
      </c>
      <c r="N28" s="39">
        <v>7501.5393571457307</v>
      </c>
      <c r="O28" s="39">
        <v>8038.8910556519486</v>
      </c>
      <c r="P28" s="39">
        <v>10599.279279294782</v>
      </c>
      <c r="Q28" s="39">
        <v>9199.8700025590897</v>
      </c>
      <c r="R28" s="39">
        <v>10085.203898319374</v>
      </c>
      <c r="S28" s="39">
        <v>12276.806838667155</v>
      </c>
      <c r="T28" s="39">
        <v>14692.627458630792</v>
      </c>
      <c r="U28" s="39">
        <v>15916.4053957425</v>
      </c>
      <c r="V28" s="39">
        <v>16774.197269508233</v>
      </c>
      <c r="W28" s="39">
        <v>20643.268723200319</v>
      </c>
      <c r="X28" s="39">
        <v>20673.957397015336</v>
      </c>
      <c r="Y28" s="39">
        <v>22182.017263110443</v>
      </c>
      <c r="Z28" s="39">
        <v>26274.702411980048</v>
      </c>
      <c r="AA28" s="39">
        <v>27938.357921609335</v>
      </c>
      <c r="AB28" s="39">
        <v>31293.151913699021</v>
      </c>
      <c r="AC28" s="39">
        <v>39176.66370465434</v>
      </c>
      <c r="AD28" s="39">
        <v>44458.406878722031</v>
      </c>
      <c r="AE28" s="39">
        <v>58465.16656614728</v>
      </c>
      <c r="AF28" s="39">
        <v>77286.757473772552</v>
      </c>
      <c r="AG28" s="39">
        <v>96436.838573163113</v>
      </c>
      <c r="AH28" s="39">
        <v>119236.68001861325</v>
      </c>
      <c r="AI28" s="39">
        <v>189587.17207199699</v>
      </c>
      <c r="AJ28" s="39">
        <v>219991.93551503523</v>
      </c>
      <c r="AK28" s="39">
        <v>270646.99513778044</v>
      </c>
      <c r="AL28" s="39">
        <v>276619.17260977719</v>
      </c>
      <c r="AM28" s="39">
        <v>365177.63634085807</v>
      </c>
      <c r="AN28" s="39">
        <v>561408.10870390793</v>
      </c>
      <c r="AO28" s="39">
        <v>691323.92222683481</v>
      </c>
      <c r="AP28" s="39">
        <v>807685.85142438044</v>
      </c>
      <c r="AQ28" s="39">
        <v>924127.15026833618</v>
      </c>
      <c r="AR28" s="39">
        <v>1096930.0713623727</v>
      </c>
      <c r="AS28" s="39">
        <v>1399082.257587478</v>
      </c>
      <c r="AT28" s="39">
        <v>1425392.4230377167</v>
      </c>
      <c r="AU28" s="39">
        <v>1552319.277056277</v>
      </c>
      <c r="AV28" s="39">
        <v>1389655.9065830021</v>
      </c>
      <c r="AW28" s="39">
        <v>1602974.9190757156</v>
      </c>
      <c r="AX28" s="42">
        <v>1841597.8854192267</v>
      </c>
    </row>
    <row r="29" spans="1:50" ht="13">
      <c r="A29" s="507"/>
      <c r="B29" s="496"/>
      <c r="C29" s="585"/>
      <c r="D29" s="586"/>
      <c r="E29" s="586"/>
      <c r="F29" s="586"/>
      <c r="G29" s="586"/>
      <c r="H29" s="586"/>
      <c r="I29" s="586"/>
      <c r="J29" s="586"/>
      <c r="K29" s="586"/>
      <c r="L29" s="586"/>
      <c r="M29" s="586"/>
      <c r="N29" s="586"/>
      <c r="O29" s="586"/>
      <c r="P29" s="586"/>
      <c r="Q29" s="586"/>
      <c r="R29" s="586"/>
      <c r="S29" s="586"/>
      <c r="T29" s="586"/>
      <c r="U29" s="586"/>
      <c r="V29" s="586"/>
      <c r="W29" s="586"/>
      <c r="X29" s="586"/>
      <c r="Y29" s="586"/>
      <c r="Z29" s="586"/>
      <c r="AA29" s="586"/>
      <c r="AB29" s="586"/>
      <c r="AC29" s="586"/>
      <c r="AD29" s="586"/>
      <c r="AE29" s="586"/>
      <c r="AF29" s="586"/>
      <c r="AG29" s="586"/>
      <c r="AH29" s="586"/>
      <c r="AI29" s="586"/>
      <c r="AJ29" s="586"/>
      <c r="AK29" s="586"/>
      <c r="AL29" s="586"/>
      <c r="AM29" s="586"/>
      <c r="AN29" s="586"/>
      <c r="AO29" s="586"/>
      <c r="AP29" s="586"/>
      <c r="AQ29" s="586"/>
      <c r="AR29" s="586"/>
      <c r="AS29" s="586"/>
      <c r="AT29" s="586"/>
      <c r="AU29" s="586"/>
      <c r="AV29" s="586"/>
      <c r="AW29" s="586"/>
      <c r="AX29" s="587"/>
    </row>
    <row r="30" spans="1:50" ht="13">
      <c r="A30" s="507" t="s">
        <v>1039</v>
      </c>
      <c r="B30" s="496"/>
      <c r="C30" s="548">
        <v>936.4108841211139</v>
      </c>
      <c r="D30" s="39">
        <v>969.78947351349927</v>
      </c>
      <c r="E30" s="39">
        <v>944.82175443444703</v>
      </c>
      <c r="F30" s="39">
        <v>1018.13310195023</v>
      </c>
      <c r="G30" s="39">
        <v>1128.2572196911958</v>
      </c>
      <c r="H30" s="39">
        <v>1303.799118875454</v>
      </c>
      <c r="I30" s="39">
        <v>1280.3625335495381</v>
      </c>
      <c r="J30" s="39">
        <v>1372.9171944044499</v>
      </c>
      <c r="K30" s="39">
        <v>1489.0767944719589</v>
      </c>
      <c r="L30" s="39">
        <v>1698.0646234426742</v>
      </c>
      <c r="M30" s="39">
        <v>2014.5803887553977</v>
      </c>
      <c r="N30" s="39">
        <v>1614.3810722892056</v>
      </c>
      <c r="O30" s="39">
        <v>1661.4318532909879</v>
      </c>
      <c r="P30" s="39">
        <v>1729.3639063865407</v>
      </c>
      <c r="Q30" s="39">
        <v>1739.7463323427346</v>
      </c>
      <c r="R30" s="39">
        <v>1942.4138172387222</v>
      </c>
      <c r="S30" s="39">
        <v>2047.3097440042895</v>
      </c>
      <c r="T30" s="39">
        <v>2235.2209474941601</v>
      </c>
      <c r="U30" s="39">
        <v>2179.2443046629173</v>
      </c>
      <c r="V30" s="39">
        <v>2424.4048405781909</v>
      </c>
      <c r="W30" s="39">
        <v>2727.266687641752</v>
      </c>
      <c r="X30" s="39">
        <v>3214.770786419765</v>
      </c>
      <c r="Y30" s="39">
        <v>3810.9891709494268</v>
      </c>
      <c r="Z30" s="39">
        <v>4775.7049189062864</v>
      </c>
      <c r="AA30" s="39">
        <v>5234.4951162474817</v>
      </c>
      <c r="AB30" s="39">
        <v>4600.7937429641006</v>
      </c>
      <c r="AC30" s="39">
        <v>5783.8881373082695</v>
      </c>
      <c r="AD30" s="39">
        <v>13932.634484357492</v>
      </c>
      <c r="AE30" s="39">
        <v>17353.649634404399</v>
      </c>
      <c r="AF30" s="39">
        <v>21401.625351496059</v>
      </c>
      <c r="AG30" s="39">
        <v>31929.568582695858</v>
      </c>
      <c r="AH30" s="39">
        <v>42592.667859688925</v>
      </c>
      <c r="AI30" s="39">
        <v>65171.984049161685</v>
      </c>
      <c r="AJ30" s="39">
        <v>108505.77985958985</v>
      </c>
      <c r="AK30" s="39">
        <v>171322.06219116983</v>
      </c>
      <c r="AL30" s="39">
        <v>199675.01641511489</v>
      </c>
      <c r="AM30" s="39">
        <v>263631.55844550167</v>
      </c>
      <c r="AN30" s="39">
        <v>308549.99990775331</v>
      </c>
      <c r="AO30" s="39">
        <v>431538.70864875085</v>
      </c>
      <c r="AP30" s="39">
        <v>221021.6806586223</v>
      </c>
      <c r="AQ30" s="39">
        <v>250944.33431965089</v>
      </c>
      <c r="AR30" s="39">
        <v>265789.60837105074</v>
      </c>
      <c r="AS30" s="39">
        <v>350749.17802999535</v>
      </c>
      <c r="AT30" s="39">
        <v>394346.58127328218</v>
      </c>
      <c r="AU30" s="39">
        <v>403414.97768998862</v>
      </c>
      <c r="AV30" s="39">
        <v>340110.76993256819</v>
      </c>
      <c r="AW30" s="39">
        <v>400574.10759640788</v>
      </c>
      <c r="AX30" s="42">
        <v>438225.41883240436</v>
      </c>
    </row>
    <row r="31" spans="1:50" ht="13">
      <c r="A31" s="507"/>
      <c r="B31" s="496"/>
      <c r="C31" s="577"/>
      <c r="D31" s="586"/>
      <c r="E31" s="586"/>
      <c r="F31" s="586"/>
      <c r="G31" s="586"/>
      <c r="H31" s="586"/>
      <c r="I31" s="586"/>
      <c r="J31" s="586"/>
      <c r="K31" s="586"/>
      <c r="L31" s="586"/>
      <c r="M31" s="586"/>
      <c r="N31" s="586"/>
      <c r="O31" s="586"/>
      <c r="P31" s="586"/>
      <c r="Q31" s="586"/>
      <c r="R31" s="586"/>
      <c r="S31" s="586"/>
      <c r="T31" s="586"/>
      <c r="U31" s="586"/>
      <c r="V31" s="586"/>
      <c r="W31" s="586"/>
      <c r="X31" s="586"/>
      <c r="Y31" s="586"/>
      <c r="Z31" s="586"/>
      <c r="AA31" s="586"/>
      <c r="AB31" s="586"/>
      <c r="AC31" s="586"/>
      <c r="AD31" s="586"/>
      <c r="AE31" s="586"/>
      <c r="AF31" s="586"/>
      <c r="AG31" s="586"/>
      <c r="AH31" s="586"/>
      <c r="AI31" s="586"/>
      <c r="AJ31" s="586"/>
      <c r="AK31" s="586"/>
      <c r="AL31" s="586"/>
      <c r="AM31" s="586"/>
      <c r="AN31" s="586"/>
      <c r="AO31" s="586"/>
      <c r="AP31" s="586"/>
      <c r="AQ31" s="586"/>
      <c r="AR31" s="586"/>
      <c r="AS31" s="586"/>
      <c r="AT31" s="586"/>
      <c r="AU31" s="586"/>
      <c r="AV31" s="586"/>
      <c r="AW31" s="586"/>
      <c r="AX31" s="587"/>
    </row>
    <row r="32" spans="1:50" ht="13">
      <c r="A32" s="507" t="s">
        <v>1040</v>
      </c>
      <c r="B32" s="496"/>
      <c r="C32" s="548">
        <v>164.34225891250045</v>
      </c>
      <c r="D32" s="39">
        <v>174.82753354037624</v>
      </c>
      <c r="E32" s="39">
        <v>67.673015744838068</v>
      </c>
      <c r="F32" s="39">
        <v>85.100988139402418</v>
      </c>
      <c r="G32" s="39">
        <v>168.13135134273358</v>
      </c>
      <c r="H32" s="39">
        <v>100.55100951062418</v>
      </c>
      <c r="I32" s="39">
        <v>101.6874073093764</v>
      </c>
      <c r="J32" s="39">
        <v>117.62631192572833</v>
      </c>
      <c r="K32" s="39">
        <v>127.45227868029014</v>
      </c>
      <c r="L32" s="39">
        <v>122.24294446530428</v>
      </c>
      <c r="M32" s="39">
        <v>170.02420597456867</v>
      </c>
      <c r="N32" s="39">
        <v>138.47455405634619</v>
      </c>
      <c r="O32" s="39">
        <v>240.61972723432629</v>
      </c>
      <c r="P32" s="39">
        <v>249.74741357973221</v>
      </c>
      <c r="Q32" s="39">
        <v>211.25839904376525</v>
      </c>
      <c r="R32" s="39">
        <v>249.36504200642673</v>
      </c>
      <c r="S32" s="39">
        <v>319.24040169007208</v>
      </c>
      <c r="T32" s="39">
        <v>15.259755836984061</v>
      </c>
      <c r="U32" s="39">
        <v>10.368157562015547</v>
      </c>
      <c r="V32" s="39">
        <v>12.822808211544517</v>
      </c>
      <c r="W32" s="39">
        <v>8.2678599014145959</v>
      </c>
      <c r="X32" s="39">
        <v>7.7353759791304562</v>
      </c>
      <c r="Y32" s="39">
        <v>11.311611435363176</v>
      </c>
      <c r="Z32" s="39">
        <v>15.69304613511855</v>
      </c>
      <c r="AA32" s="39">
        <v>15.419994451571297</v>
      </c>
      <c r="AB32" s="39">
        <v>19.247743345275289</v>
      </c>
      <c r="AC32" s="39">
        <v>27.902764978274412</v>
      </c>
      <c r="AD32" s="39">
        <v>353.01959255794907</v>
      </c>
      <c r="AE32" s="39">
        <v>1390.6874540425147</v>
      </c>
      <c r="AF32" s="39">
        <v>237.17542448114611</v>
      </c>
      <c r="AG32" s="39">
        <v>300.29673378300828</v>
      </c>
      <c r="AH32" s="39">
        <v>725.90665841851819</v>
      </c>
      <c r="AI32" s="39">
        <v>4835.9936445195672</v>
      </c>
      <c r="AJ32" s="39">
        <v>10616.96713243173</v>
      </c>
      <c r="AK32" s="39">
        <v>16291.797881351162</v>
      </c>
      <c r="AL32" s="39">
        <v>10626.158872515327</v>
      </c>
      <c r="AM32" s="39">
        <v>8359.7806578560612</v>
      </c>
      <c r="AN32" s="39">
        <v>16718.009552612068</v>
      </c>
      <c r="AO32" s="39">
        <v>18633.803287913412</v>
      </c>
      <c r="AP32" s="39">
        <v>21899.341199100494</v>
      </c>
      <c r="AQ32" s="39">
        <v>23406.057271760455</v>
      </c>
      <c r="AR32" s="39">
        <v>33019.951505947261</v>
      </c>
      <c r="AS32" s="39">
        <v>25286.507264903346</v>
      </c>
      <c r="AT32" s="39">
        <v>83910.488440048401</v>
      </c>
      <c r="AU32" s="39">
        <v>19121.754707505872</v>
      </c>
      <c r="AV32" s="39">
        <v>14756.936902622685</v>
      </c>
      <c r="AW32" s="39">
        <v>16365.67861540772</v>
      </c>
      <c r="AX32" s="42">
        <v>20281.602940504141</v>
      </c>
    </row>
    <row r="33" spans="1:50" ht="13">
      <c r="A33" s="507"/>
      <c r="B33" s="496"/>
      <c r="C33" s="577"/>
      <c r="D33" s="586"/>
      <c r="E33" s="586"/>
      <c r="F33" s="586"/>
      <c r="G33" s="586"/>
      <c r="H33" s="586"/>
      <c r="I33" s="586"/>
      <c r="J33" s="586"/>
      <c r="K33" s="586"/>
      <c r="L33" s="586"/>
      <c r="M33" s="586"/>
      <c r="N33" s="586"/>
      <c r="O33" s="586"/>
      <c r="P33" s="586"/>
      <c r="Q33" s="586"/>
      <c r="R33" s="586"/>
      <c r="S33" s="586"/>
      <c r="T33" s="586"/>
      <c r="U33" s="586"/>
      <c r="V33" s="586"/>
      <c r="W33" s="586"/>
      <c r="X33" s="586"/>
      <c r="Y33" s="586"/>
      <c r="Z33" s="586"/>
      <c r="AA33" s="586"/>
      <c r="AB33" s="586"/>
      <c r="AC33" s="586"/>
      <c r="AD33" s="586"/>
      <c r="AE33" s="586"/>
      <c r="AF33" s="586"/>
      <c r="AG33" s="586"/>
      <c r="AH33" s="586"/>
      <c r="AI33" s="586"/>
      <c r="AJ33" s="586"/>
      <c r="AK33" s="586"/>
      <c r="AL33" s="586"/>
      <c r="AM33" s="586"/>
      <c r="AN33" s="586"/>
      <c r="AO33" s="586"/>
      <c r="AP33" s="586"/>
      <c r="AQ33" s="586"/>
      <c r="AR33" s="586"/>
      <c r="AS33" s="586"/>
      <c r="AT33" s="586"/>
      <c r="AU33" s="586"/>
      <c r="AV33" s="586"/>
      <c r="AW33" s="586"/>
      <c r="AX33" s="587"/>
    </row>
    <row r="34" spans="1:50" ht="13.5" thickBot="1">
      <c r="A34" s="508" t="s">
        <v>1041</v>
      </c>
      <c r="B34" s="501"/>
      <c r="C34" s="549">
        <v>9949.4077447028794</v>
      </c>
      <c r="D34" s="56">
        <v>9350.3349474865499</v>
      </c>
      <c r="E34" s="56">
        <v>8376.5786859493055</v>
      </c>
      <c r="F34" s="56">
        <v>8313.043721579741</v>
      </c>
      <c r="G34" s="56">
        <v>10057.808451718012</v>
      </c>
      <c r="H34" s="56">
        <v>10605.020676062068</v>
      </c>
      <c r="I34" s="56">
        <v>10680.375614806944</v>
      </c>
      <c r="J34" s="56">
        <v>11368.458053377086</v>
      </c>
      <c r="K34" s="56">
        <v>12650.837891613028</v>
      </c>
      <c r="L34" s="56">
        <v>14301.446704814789</v>
      </c>
      <c r="M34" s="56">
        <v>15197.658211871614</v>
      </c>
      <c r="N34" s="56">
        <v>14376.586922302778</v>
      </c>
      <c r="O34" s="56">
        <v>15553.643606495843</v>
      </c>
      <c r="P34" s="56">
        <v>19990.630759704814</v>
      </c>
      <c r="Q34" s="56">
        <v>17284.737483988469</v>
      </c>
      <c r="R34" s="56">
        <v>18934.037348830927</v>
      </c>
      <c r="S34" s="56">
        <v>22060.951224695789</v>
      </c>
      <c r="T34" s="56">
        <v>26948.445073790892</v>
      </c>
      <c r="U34" s="56">
        <v>29998.135527769799</v>
      </c>
      <c r="V34" s="56">
        <v>32544.443694218069</v>
      </c>
      <c r="W34" s="56">
        <v>37871.908765567045</v>
      </c>
      <c r="X34" s="56">
        <v>39029.649914394395</v>
      </c>
      <c r="Y34" s="56">
        <v>43693.073050383631</v>
      </c>
      <c r="Z34" s="56">
        <v>52670.253654770619</v>
      </c>
      <c r="AA34" s="56">
        <v>61580.232582176068</v>
      </c>
      <c r="AB34" s="56">
        <v>67920.843189405772</v>
      </c>
      <c r="AC34" s="56">
        <v>84102.909780764021</v>
      </c>
      <c r="AD34" s="56">
        <v>91706.088473316297</v>
      </c>
      <c r="AE34" s="56">
        <v>118455.120807253</v>
      </c>
      <c r="AF34" s="56">
        <v>151493.53849565375</v>
      </c>
      <c r="AG34" s="56">
        <v>194043.46535196339</v>
      </c>
      <c r="AH34" s="56">
        <v>251271.23466633976</v>
      </c>
      <c r="AI34" s="56">
        <v>391664.80119129107</v>
      </c>
      <c r="AJ34" s="56">
        <v>516886.64941424027</v>
      </c>
      <c r="AK34" s="56">
        <v>682283.2080013433</v>
      </c>
      <c r="AL34" s="56">
        <v>731393.95627720992</v>
      </c>
      <c r="AM34" s="56">
        <v>895361.24055374018</v>
      </c>
      <c r="AN34" s="56">
        <v>1242076.543217543</v>
      </c>
      <c r="AO34" s="56">
        <v>1654703.3775022216</v>
      </c>
      <c r="AP34" s="56">
        <v>1893382.5188789694</v>
      </c>
      <c r="AQ34" s="56">
        <v>2442567.592972843</v>
      </c>
      <c r="AR34" s="56">
        <v>2838730.8628953411</v>
      </c>
      <c r="AS34" s="56">
        <v>3570677.4537043064</v>
      </c>
      <c r="AT34" s="56">
        <v>3959234.9975308962</v>
      </c>
      <c r="AU34" s="56">
        <v>4376074.4700828362</v>
      </c>
      <c r="AV34" s="56">
        <v>4018421.5753603233</v>
      </c>
      <c r="AW34" s="56">
        <v>4546559.2127353111</v>
      </c>
      <c r="AX34" s="57">
        <v>5122690.3134273943</v>
      </c>
    </row>
    <row r="36" spans="1:50">
      <c r="AL36" s="542"/>
      <c r="AM36" s="542"/>
      <c r="AN36" s="542"/>
      <c r="AO36" s="542"/>
      <c r="AP36" s="542"/>
      <c r="AQ36" s="542"/>
      <c r="AR36" s="542"/>
      <c r="AS36" s="542"/>
      <c r="AT36" s="542"/>
      <c r="AU36" s="542"/>
      <c r="AV36" s="542"/>
      <c r="AW36" s="542"/>
      <c r="AX36" s="542"/>
    </row>
  </sheetData>
  <pageMargins left="0.75" right="0.75" top="1" bottom="1" header="0.5" footer="0.5"/>
  <pageSetup paperSize="9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5A48-AD00-47E0-AE2F-3358A6D9CAEE}">
  <sheetPr>
    <pageSetUpPr fitToPage="1"/>
  </sheetPr>
  <dimension ref="A1:AU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1" sqref="B21"/>
    </sheetView>
  </sheetViews>
  <sheetFormatPr defaultRowHeight="12.5"/>
  <cols>
    <col min="1" max="1" width="40.7265625" style="485" customWidth="1"/>
    <col min="2" max="256" width="8.7265625" style="485"/>
    <col min="257" max="257" width="40.7265625" style="485" customWidth="1"/>
    <col min="258" max="512" width="8.7265625" style="485"/>
    <col min="513" max="513" width="40.7265625" style="485" customWidth="1"/>
    <col min="514" max="768" width="8.7265625" style="485"/>
    <col min="769" max="769" width="40.7265625" style="485" customWidth="1"/>
    <col min="770" max="1024" width="8.7265625" style="485"/>
    <col min="1025" max="1025" width="40.7265625" style="485" customWidth="1"/>
    <col min="1026" max="1280" width="8.7265625" style="485"/>
    <col min="1281" max="1281" width="40.7265625" style="485" customWidth="1"/>
    <col min="1282" max="1536" width="8.7265625" style="485"/>
    <col min="1537" max="1537" width="40.7265625" style="485" customWidth="1"/>
    <col min="1538" max="1792" width="8.7265625" style="485"/>
    <col min="1793" max="1793" width="40.7265625" style="485" customWidth="1"/>
    <col min="1794" max="2048" width="8.7265625" style="485"/>
    <col min="2049" max="2049" width="40.7265625" style="485" customWidth="1"/>
    <col min="2050" max="2304" width="8.7265625" style="485"/>
    <col min="2305" max="2305" width="40.7265625" style="485" customWidth="1"/>
    <col min="2306" max="2560" width="8.7265625" style="485"/>
    <col min="2561" max="2561" width="40.7265625" style="485" customWidth="1"/>
    <col min="2562" max="2816" width="8.7265625" style="485"/>
    <col min="2817" max="2817" width="40.7265625" style="485" customWidth="1"/>
    <col min="2818" max="3072" width="8.7265625" style="485"/>
    <col min="3073" max="3073" width="40.7265625" style="485" customWidth="1"/>
    <col min="3074" max="3328" width="8.7265625" style="485"/>
    <col min="3329" max="3329" width="40.7265625" style="485" customWidth="1"/>
    <col min="3330" max="3584" width="8.7265625" style="485"/>
    <col min="3585" max="3585" width="40.7265625" style="485" customWidth="1"/>
    <col min="3586" max="3840" width="8.7265625" style="485"/>
    <col min="3841" max="3841" width="40.7265625" style="485" customWidth="1"/>
    <col min="3842" max="4096" width="8.7265625" style="485"/>
    <col min="4097" max="4097" width="40.7265625" style="485" customWidth="1"/>
    <col min="4098" max="4352" width="8.7265625" style="485"/>
    <col min="4353" max="4353" width="40.7265625" style="485" customWidth="1"/>
    <col min="4354" max="4608" width="8.7265625" style="485"/>
    <col min="4609" max="4609" width="40.7265625" style="485" customWidth="1"/>
    <col min="4610" max="4864" width="8.7265625" style="485"/>
    <col min="4865" max="4865" width="40.7265625" style="485" customWidth="1"/>
    <col min="4866" max="5120" width="8.7265625" style="485"/>
    <col min="5121" max="5121" width="40.7265625" style="485" customWidth="1"/>
    <col min="5122" max="5376" width="8.7265625" style="485"/>
    <col min="5377" max="5377" width="40.7265625" style="485" customWidth="1"/>
    <col min="5378" max="5632" width="8.7265625" style="485"/>
    <col min="5633" max="5633" width="40.7265625" style="485" customWidth="1"/>
    <col min="5634" max="5888" width="8.7265625" style="485"/>
    <col min="5889" max="5889" width="40.7265625" style="485" customWidth="1"/>
    <col min="5890" max="6144" width="8.7265625" style="485"/>
    <col min="6145" max="6145" width="40.7265625" style="485" customWidth="1"/>
    <col min="6146" max="6400" width="8.7265625" style="485"/>
    <col min="6401" max="6401" width="40.7265625" style="485" customWidth="1"/>
    <col min="6402" max="6656" width="8.7265625" style="485"/>
    <col min="6657" max="6657" width="40.7265625" style="485" customWidth="1"/>
    <col min="6658" max="6912" width="8.7265625" style="485"/>
    <col min="6913" max="6913" width="40.7265625" style="485" customWidth="1"/>
    <col min="6914" max="7168" width="8.7265625" style="485"/>
    <col min="7169" max="7169" width="40.7265625" style="485" customWidth="1"/>
    <col min="7170" max="7424" width="8.7265625" style="485"/>
    <col min="7425" max="7425" width="40.7265625" style="485" customWidth="1"/>
    <col min="7426" max="7680" width="8.7265625" style="485"/>
    <col min="7681" max="7681" width="40.7265625" style="485" customWidth="1"/>
    <col min="7682" max="7936" width="8.7265625" style="485"/>
    <col min="7937" max="7937" width="40.7265625" style="485" customWidth="1"/>
    <col min="7938" max="8192" width="8.7265625" style="485"/>
    <col min="8193" max="8193" width="40.7265625" style="485" customWidth="1"/>
    <col min="8194" max="8448" width="8.7265625" style="485"/>
    <col min="8449" max="8449" width="40.7265625" style="485" customWidth="1"/>
    <col min="8450" max="8704" width="8.7265625" style="485"/>
    <col min="8705" max="8705" width="40.7265625" style="485" customWidth="1"/>
    <col min="8706" max="8960" width="8.7265625" style="485"/>
    <col min="8961" max="8961" width="40.7265625" style="485" customWidth="1"/>
    <col min="8962" max="9216" width="8.7265625" style="485"/>
    <col min="9217" max="9217" width="40.7265625" style="485" customWidth="1"/>
    <col min="9218" max="9472" width="8.7265625" style="485"/>
    <col min="9473" max="9473" width="40.7265625" style="485" customWidth="1"/>
    <col min="9474" max="9728" width="8.7265625" style="485"/>
    <col min="9729" max="9729" width="40.7265625" style="485" customWidth="1"/>
    <col min="9730" max="9984" width="8.7265625" style="485"/>
    <col min="9985" max="9985" width="40.7265625" style="485" customWidth="1"/>
    <col min="9986" max="10240" width="8.7265625" style="485"/>
    <col min="10241" max="10241" width="40.7265625" style="485" customWidth="1"/>
    <col min="10242" max="10496" width="8.7265625" style="485"/>
    <col min="10497" max="10497" width="40.7265625" style="485" customWidth="1"/>
    <col min="10498" max="10752" width="8.7265625" style="485"/>
    <col min="10753" max="10753" width="40.7265625" style="485" customWidth="1"/>
    <col min="10754" max="11008" width="8.7265625" style="485"/>
    <col min="11009" max="11009" width="40.7265625" style="485" customWidth="1"/>
    <col min="11010" max="11264" width="8.7265625" style="485"/>
    <col min="11265" max="11265" width="40.7265625" style="485" customWidth="1"/>
    <col min="11266" max="11520" width="8.7265625" style="485"/>
    <col min="11521" max="11521" width="40.7265625" style="485" customWidth="1"/>
    <col min="11522" max="11776" width="8.7265625" style="485"/>
    <col min="11777" max="11777" width="40.7265625" style="485" customWidth="1"/>
    <col min="11778" max="12032" width="8.7265625" style="485"/>
    <col min="12033" max="12033" width="40.7265625" style="485" customWidth="1"/>
    <col min="12034" max="12288" width="8.7265625" style="485"/>
    <col min="12289" max="12289" width="40.7265625" style="485" customWidth="1"/>
    <col min="12290" max="12544" width="8.7265625" style="485"/>
    <col min="12545" max="12545" width="40.7265625" style="485" customWidth="1"/>
    <col min="12546" max="12800" width="8.7265625" style="485"/>
    <col min="12801" max="12801" width="40.7265625" style="485" customWidth="1"/>
    <col min="12802" max="13056" width="8.7265625" style="485"/>
    <col min="13057" max="13057" width="40.7265625" style="485" customWidth="1"/>
    <col min="13058" max="13312" width="8.7265625" style="485"/>
    <col min="13313" max="13313" width="40.7265625" style="485" customWidth="1"/>
    <col min="13314" max="13568" width="8.7265625" style="485"/>
    <col min="13569" max="13569" width="40.7265625" style="485" customWidth="1"/>
    <col min="13570" max="13824" width="8.7265625" style="485"/>
    <col min="13825" max="13825" width="40.7265625" style="485" customWidth="1"/>
    <col min="13826" max="14080" width="8.7265625" style="485"/>
    <col min="14081" max="14081" width="40.7265625" style="485" customWidth="1"/>
    <col min="14082" max="14336" width="8.7265625" style="485"/>
    <col min="14337" max="14337" width="40.7265625" style="485" customWidth="1"/>
    <col min="14338" max="14592" width="8.7265625" style="485"/>
    <col min="14593" max="14593" width="40.7265625" style="485" customWidth="1"/>
    <col min="14594" max="14848" width="8.7265625" style="485"/>
    <col min="14849" max="14849" width="40.7265625" style="485" customWidth="1"/>
    <col min="14850" max="15104" width="8.7265625" style="485"/>
    <col min="15105" max="15105" width="40.7265625" style="485" customWidth="1"/>
    <col min="15106" max="15360" width="8.7265625" style="485"/>
    <col min="15361" max="15361" width="40.7265625" style="485" customWidth="1"/>
    <col min="15362" max="15616" width="8.7265625" style="485"/>
    <col min="15617" max="15617" width="40.7265625" style="485" customWidth="1"/>
    <col min="15618" max="15872" width="8.7265625" style="485"/>
    <col min="15873" max="15873" width="40.7265625" style="485" customWidth="1"/>
    <col min="15874" max="16128" width="8.7265625" style="485"/>
    <col min="16129" max="16129" width="40.7265625" style="485" customWidth="1"/>
    <col min="16130" max="16384" width="8.7265625" style="485"/>
  </cols>
  <sheetData>
    <row r="1" spans="1:47" ht="13">
      <c r="A1" s="322" t="s">
        <v>1043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  <c r="AR1" s="323"/>
    </row>
    <row r="2" spans="1:47" ht="13">
      <c r="A2" s="323" t="s">
        <v>931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</row>
    <row r="3" spans="1:47" ht="13.5" thickBot="1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  <c r="AQ3" s="323"/>
      <c r="AR3" s="323"/>
    </row>
    <row r="4" spans="1:47" ht="13.5" thickBot="1">
      <c r="A4" s="325"/>
      <c r="B4" s="486">
        <v>1953</v>
      </c>
      <c r="C4" s="486">
        <v>1954</v>
      </c>
      <c r="D4" s="486">
        <v>1955</v>
      </c>
      <c r="E4" s="486">
        <v>1956</v>
      </c>
      <c r="F4" s="486">
        <v>1957</v>
      </c>
      <c r="G4" s="486">
        <v>1958</v>
      </c>
      <c r="H4" s="486">
        <v>1959</v>
      </c>
      <c r="I4" s="486">
        <v>1960</v>
      </c>
      <c r="J4" s="486">
        <v>1961</v>
      </c>
      <c r="K4" s="486">
        <v>1962</v>
      </c>
      <c r="L4" s="486">
        <v>1963</v>
      </c>
      <c r="M4" s="486">
        <v>1964</v>
      </c>
      <c r="N4" s="486">
        <v>1965</v>
      </c>
      <c r="O4" s="486">
        <v>1966</v>
      </c>
      <c r="P4" s="486">
        <v>1967</v>
      </c>
      <c r="Q4" s="486">
        <v>1968</v>
      </c>
      <c r="R4" s="486">
        <v>1969</v>
      </c>
      <c r="S4" s="486">
        <v>1970</v>
      </c>
      <c r="T4" s="486">
        <v>1971</v>
      </c>
      <c r="U4" s="486">
        <v>1972</v>
      </c>
      <c r="V4" s="486">
        <v>1973</v>
      </c>
      <c r="W4" s="486">
        <v>1974</v>
      </c>
      <c r="X4" s="486">
        <v>1975</v>
      </c>
      <c r="Y4" s="486">
        <v>1976</v>
      </c>
      <c r="Z4" s="486">
        <v>1977</v>
      </c>
      <c r="AA4" s="486">
        <v>1978</v>
      </c>
      <c r="AB4" s="486">
        <v>1979</v>
      </c>
      <c r="AC4" s="486">
        <v>1980</v>
      </c>
      <c r="AD4" s="486">
        <v>1981</v>
      </c>
      <c r="AE4" s="486">
        <v>1982</v>
      </c>
      <c r="AF4" s="486">
        <v>1983</v>
      </c>
      <c r="AG4" s="486">
        <v>1984</v>
      </c>
      <c r="AH4" s="486">
        <v>1985</v>
      </c>
      <c r="AI4" s="486">
        <v>1986</v>
      </c>
      <c r="AJ4" s="486">
        <v>1987</v>
      </c>
      <c r="AK4" s="486">
        <v>1988</v>
      </c>
      <c r="AL4" s="486">
        <v>1989</v>
      </c>
      <c r="AM4" s="486">
        <v>1990</v>
      </c>
      <c r="AN4" s="486">
        <v>1991</v>
      </c>
      <c r="AO4" s="486">
        <v>1992</v>
      </c>
      <c r="AP4" s="486">
        <v>1993</v>
      </c>
      <c r="AQ4" s="486">
        <v>1994</v>
      </c>
      <c r="AR4" s="326">
        <v>1995</v>
      </c>
    </row>
    <row r="5" spans="1:47" ht="13">
      <c r="A5" s="327" t="s">
        <v>1044</v>
      </c>
      <c r="B5" s="568">
        <v>29443.038111480295</v>
      </c>
      <c r="C5" s="568">
        <v>31620.389498743538</v>
      </c>
      <c r="D5" s="568">
        <v>32927.178130944565</v>
      </c>
      <c r="E5" s="568">
        <v>34679.115077276896</v>
      </c>
      <c r="F5" s="568">
        <v>35915.897996581662</v>
      </c>
      <c r="G5" s="568">
        <v>36402.198836668766</v>
      </c>
      <c r="H5" s="568">
        <v>39239.898525318902</v>
      </c>
      <c r="I5" s="568">
        <v>41949.461393567406</v>
      </c>
      <c r="J5" s="568">
        <v>45755.548078053936</v>
      </c>
      <c r="K5" s="568">
        <v>48678.558308430125</v>
      </c>
      <c r="L5" s="568">
        <v>53295.798783682643</v>
      </c>
      <c r="M5" s="568">
        <v>58515.041685937817</v>
      </c>
      <c r="N5" s="568">
        <v>65642.962443193013</v>
      </c>
      <c r="O5" s="568">
        <v>72982.687456775864</v>
      </c>
      <c r="P5" s="568">
        <v>84080.517917721649</v>
      </c>
      <c r="Q5" s="568">
        <v>91328.619533268662</v>
      </c>
      <c r="R5" s="568">
        <v>101753.54737470308</v>
      </c>
      <c r="S5" s="568">
        <v>117964.597878563</v>
      </c>
      <c r="T5" s="568">
        <v>135694.61404894519</v>
      </c>
      <c r="U5" s="568">
        <v>158990.98185402059</v>
      </c>
      <c r="V5" s="568">
        <v>188152.54045520659</v>
      </c>
      <c r="W5" s="568">
        <v>247302.39993240536</v>
      </c>
      <c r="X5" s="568">
        <v>321150.36495308852</v>
      </c>
      <c r="Y5" s="568">
        <v>373076.44584288704</v>
      </c>
      <c r="Z5" s="568">
        <v>438386.15563192056</v>
      </c>
      <c r="AA5" s="568">
        <v>513285.31541991606</v>
      </c>
      <c r="AB5" s="568">
        <v>606788.89636794815</v>
      </c>
      <c r="AC5" s="568">
        <v>772260.36380619777</v>
      </c>
      <c r="AD5" s="568">
        <v>949961.77290922054</v>
      </c>
      <c r="AE5" s="568">
        <v>1177843.1093211407</v>
      </c>
      <c r="AF5" s="568">
        <v>1402427.4031098457</v>
      </c>
      <c r="AG5" s="568">
        <v>1573772.6975696452</v>
      </c>
      <c r="AH5" s="568">
        <v>1894891.1038661071</v>
      </c>
      <c r="AI5" s="568">
        <v>2273020.3445690679</v>
      </c>
      <c r="AJ5" s="568">
        <v>2674018.7308764369</v>
      </c>
      <c r="AK5" s="568">
        <v>3114114.7045964366</v>
      </c>
      <c r="AL5" s="568">
        <v>3782645.6779811885</v>
      </c>
      <c r="AM5" s="568">
        <v>4505870.0581829706</v>
      </c>
      <c r="AN5" s="568">
        <v>5380394.5198513698</v>
      </c>
      <c r="AO5" s="568">
        <v>6312394.4388470957</v>
      </c>
      <c r="AP5" s="568">
        <v>6698000.0492695468</v>
      </c>
      <c r="AQ5" s="568">
        <v>6910980.7896282068</v>
      </c>
      <c r="AR5" s="591">
        <v>7535440.4320103731</v>
      </c>
      <c r="AS5" s="542"/>
      <c r="AT5" s="542"/>
      <c r="AU5" s="542"/>
    </row>
    <row r="6" spans="1:47" ht="13">
      <c r="A6" s="592" t="s">
        <v>1045</v>
      </c>
      <c r="B6" s="568">
        <v>27016.985033709909</v>
      </c>
      <c r="C6" s="568">
        <v>29123.174941002806</v>
      </c>
      <c r="D6" s="568">
        <v>30112.286393429051</v>
      </c>
      <c r="E6" s="568">
        <v>31681.444392740152</v>
      </c>
      <c r="F6" s="568">
        <v>32633.218177182534</v>
      </c>
      <c r="G6" s="568">
        <v>32927.008147958921</v>
      </c>
      <c r="H6" s="568">
        <v>35607.509727209203</v>
      </c>
      <c r="I6" s="568">
        <v>38026.383344240778</v>
      </c>
      <c r="J6" s="568">
        <v>41244.77455729647</v>
      </c>
      <c r="K6" s="568">
        <v>43693.358566235707</v>
      </c>
      <c r="L6" s="568">
        <v>47670.689580838654</v>
      </c>
      <c r="M6" s="568">
        <v>52170.937555750665</v>
      </c>
      <c r="N6" s="568">
        <v>58696.566206467389</v>
      </c>
      <c r="O6" s="568">
        <v>65292.339093008268</v>
      </c>
      <c r="P6" s="568">
        <v>75189.375606888352</v>
      </c>
      <c r="Q6" s="568">
        <v>81464.267291599186</v>
      </c>
      <c r="R6" s="568">
        <v>90414.384913700356</v>
      </c>
      <c r="S6" s="568">
        <v>104106.37207930844</v>
      </c>
      <c r="T6" s="568">
        <v>118277.57807521017</v>
      </c>
      <c r="U6" s="568">
        <v>137751.15448791053</v>
      </c>
      <c r="V6" s="568">
        <v>162368.09836139626</v>
      </c>
      <c r="W6" s="568">
        <v>213137.82227133869</v>
      </c>
      <c r="X6" s="568">
        <v>276981.28569492983</v>
      </c>
      <c r="Y6" s="568">
        <v>321304.66344674974</v>
      </c>
      <c r="Z6" s="568">
        <v>369079.87701092102</v>
      </c>
      <c r="AA6" s="568">
        <v>429915.75389271154</v>
      </c>
      <c r="AB6" s="568">
        <v>504888.88847394974</v>
      </c>
      <c r="AC6" s="568">
        <v>634724.20175807667</v>
      </c>
      <c r="AD6" s="568">
        <v>777194.19303029648</v>
      </c>
      <c r="AE6" s="568">
        <v>940675.07969501277</v>
      </c>
      <c r="AF6" s="568">
        <v>1104946.4788758529</v>
      </c>
      <c r="AG6" s="568">
        <v>1227232.5778084078</v>
      </c>
      <c r="AH6" s="568">
        <v>1472337.1886815685</v>
      </c>
      <c r="AI6" s="568">
        <v>1753398.5040647197</v>
      </c>
      <c r="AJ6" s="568">
        <v>2058175.3196628839</v>
      </c>
      <c r="AK6" s="568">
        <v>2433313.9175171657</v>
      </c>
      <c r="AL6" s="568">
        <v>2963222.9801513464</v>
      </c>
      <c r="AM6" s="568">
        <v>3533077.6620309483</v>
      </c>
      <c r="AN6" s="568">
        <v>4210922.3030437017</v>
      </c>
      <c r="AO6" s="568">
        <v>4830118.3643696131</v>
      </c>
      <c r="AP6" s="568">
        <v>5027474.5579671199</v>
      </c>
      <c r="AQ6" s="568">
        <v>5253880.1100141387</v>
      </c>
      <c r="AR6" s="591">
        <v>5567192.7980562402</v>
      </c>
      <c r="AS6" s="542"/>
      <c r="AT6" s="542"/>
      <c r="AU6" s="542"/>
    </row>
    <row r="7" spans="1:47" ht="13">
      <c r="A7" s="592" t="s">
        <v>1046</v>
      </c>
      <c r="B7" s="568">
        <v>2426.053077770388</v>
      </c>
      <c r="C7" s="568">
        <v>2497.2145577407346</v>
      </c>
      <c r="D7" s="568">
        <v>2814.8917375155193</v>
      </c>
      <c r="E7" s="568">
        <v>2997.6706845367494</v>
      </c>
      <c r="F7" s="568">
        <v>3282.6798193991308</v>
      </c>
      <c r="G7" s="568">
        <v>3475.1906887098426</v>
      </c>
      <c r="H7" s="568">
        <v>3632.3887981096927</v>
      </c>
      <c r="I7" s="568">
        <v>3923.078049326627</v>
      </c>
      <c r="J7" s="568">
        <v>4510.7735207574588</v>
      </c>
      <c r="K7" s="568">
        <v>4985.1997421944152</v>
      </c>
      <c r="L7" s="568">
        <v>5625.1092028439853</v>
      </c>
      <c r="M7" s="568">
        <v>6344.1041301871583</v>
      </c>
      <c r="N7" s="568">
        <v>6946.3962367256254</v>
      </c>
      <c r="O7" s="568">
        <v>7690.348363767599</v>
      </c>
      <c r="P7" s="568">
        <v>8891.1423108332983</v>
      </c>
      <c r="Q7" s="568">
        <v>9864.3522416694723</v>
      </c>
      <c r="R7" s="568">
        <v>11339.162461002716</v>
      </c>
      <c r="S7" s="568">
        <v>13858.225799254555</v>
      </c>
      <c r="T7" s="568">
        <v>17417.03597373503</v>
      </c>
      <c r="U7" s="568">
        <v>21239.827366110068</v>
      </c>
      <c r="V7" s="568">
        <v>25784.442093810336</v>
      </c>
      <c r="W7" s="568">
        <v>34164.577661066658</v>
      </c>
      <c r="X7" s="568">
        <v>44169.079258158643</v>
      </c>
      <c r="Y7" s="568">
        <v>51771.782396137314</v>
      </c>
      <c r="Z7" s="568">
        <v>69306.278620999554</v>
      </c>
      <c r="AA7" s="568">
        <v>83369.561527204467</v>
      </c>
      <c r="AB7" s="568">
        <v>101900.00789399847</v>
      </c>
      <c r="AC7" s="568">
        <v>137536.16204812119</v>
      </c>
      <c r="AD7" s="568">
        <v>172767.57987892412</v>
      </c>
      <c r="AE7" s="568">
        <v>237168.02962612791</v>
      </c>
      <c r="AF7" s="568">
        <v>297480.92423399282</v>
      </c>
      <c r="AG7" s="568">
        <v>346540.11976123753</v>
      </c>
      <c r="AH7" s="568">
        <v>422553.91518453846</v>
      </c>
      <c r="AI7" s="568">
        <v>519621.84050434839</v>
      </c>
      <c r="AJ7" s="568">
        <v>615843.41121355351</v>
      </c>
      <c r="AK7" s="568">
        <v>680800.78707927128</v>
      </c>
      <c r="AL7" s="568">
        <v>819422.69782984187</v>
      </c>
      <c r="AM7" s="568">
        <v>972792.39615202253</v>
      </c>
      <c r="AN7" s="568">
        <v>1169472.2168076688</v>
      </c>
      <c r="AO7" s="568">
        <v>1482276.0744774828</v>
      </c>
      <c r="AP7" s="568">
        <v>1670525.4913024278</v>
      </c>
      <c r="AQ7" s="568">
        <v>1657100.6796140675</v>
      </c>
      <c r="AR7" s="591">
        <v>1968247.6339541331</v>
      </c>
      <c r="AS7" s="542"/>
      <c r="AT7" s="542"/>
      <c r="AU7" s="542"/>
    </row>
    <row r="8" spans="1:47" ht="13">
      <c r="A8" s="592" t="s">
        <v>1047</v>
      </c>
      <c r="B8" s="568">
        <v>1399.3233790516206</v>
      </c>
      <c r="C8" s="568">
        <v>1431.3777548019209</v>
      </c>
      <c r="D8" s="568">
        <v>1592.8648739495798</v>
      </c>
      <c r="E8" s="568">
        <v>1687.479037515006</v>
      </c>
      <c r="F8" s="568">
        <v>1832.0577355942378</v>
      </c>
      <c r="G8" s="568">
        <v>1934.0667415966388</v>
      </c>
      <c r="H8" s="568">
        <v>2012.6391982176926</v>
      </c>
      <c r="I8" s="568">
        <v>2161.905596672354</v>
      </c>
      <c r="J8" s="568">
        <v>2462.6596779564793</v>
      </c>
      <c r="K8" s="568">
        <v>2703.9162861354998</v>
      </c>
      <c r="L8" s="568">
        <v>3036.3955321083481</v>
      </c>
      <c r="M8" s="568">
        <v>3371.5294509796017</v>
      </c>
      <c r="N8" s="568">
        <v>3884.1691345161762</v>
      </c>
      <c r="O8" s="568">
        <v>4493.997128233721</v>
      </c>
      <c r="P8" s="568">
        <v>5021.1010322767834</v>
      </c>
      <c r="Q8" s="568">
        <v>5875.1635406497708</v>
      </c>
      <c r="R8" s="568">
        <v>6688.9300589373042</v>
      </c>
      <c r="S8" s="568">
        <v>7884.3739628473932</v>
      </c>
      <c r="T8" s="568">
        <v>9483.3957330816174</v>
      </c>
      <c r="U8" s="568">
        <v>11933.634883894674</v>
      </c>
      <c r="V8" s="568">
        <v>14800.566086147195</v>
      </c>
      <c r="W8" s="568">
        <v>18454.15861942363</v>
      </c>
      <c r="X8" s="568">
        <v>27430.760152514926</v>
      </c>
      <c r="Y8" s="568">
        <v>34197.732241276135</v>
      </c>
      <c r="Z8" s="568">
        <v>46861.091378961093</v>
      </c>
      <c r="AA8" s="568">
        <v>55250.987460611446</v>
      </c>
      <c r="AB8" s="568">
        <v>68396.884830474432</v>
      </c>
      <c r="AC8" s="568">
        <v>84839.70631098919</v>
      </c>
      <c r="AD8" s="568">
        <v>106848.36818092552</v>
      </c>
      <c r="AE8" s="568">
        <v>143845.05998661602</v>
      </c>
      <c r="AF8" s="568">
        <v>175009.28179638553</v>
      </c>
      <c r="AG8" s="568">
        <v>215729.28049274452</v>
      </c>
      <c r="AH8" s="568">
        <v>256864.74370725107</v>
      </c>
      <c r="AI8" s="568">
        <v>385107.88588066091</v>
      </c>
      <c r="AJ8" s="568">
        <v>448239.34877386759</v>
      </c>
      <c r="AK8" s="568">
        <v>500175.55027910921</v>
      </c>
      <c r="AL8" s="568">
        <v>587690.80162779021</v>
      </c>
      <c r="AM8" s="568">
        <v>702609.28399999999</v>
      </c>
      <c r="AN8" s="568">
        <v>828285.86899999995</v>
      </c>
      <c r="AO8" s="568">
        <v>1048774.378</v>
      </c>
      <c r="AP8" s="568">
        <v>1287608.1399999999</v>
      </c>
      <c r="AQ8" s="568">
        <v>1289406.0209999999</v>
      </c>
      <c r="AR8" s="591">
        <v>1578625.676</v>
      </c>
      <c r="AS8" s="542"/>
      <c r="AT8" s="542"/>
      <c r="AU8" s="542"/>
    </row>
    <row r="9" spans="1:47" ht="13">
      <c r="A9" s="592" t="s">
        <v>1048</v>
      </c>
      <c r="B9" s="568">
        <v>1026.7296987187676</v>
      </c>
      <c r="C9" s="568">
        <v>1065.8368029388137</v>
      </c>
      <c r="D9" s="568">
        <v>1222.0268635659393</v>
      </c>
      <c r="E9" s="568">
        <v>1310.1916470217434</v>
      </c>
      <c r="F9" s="568">
        <v>1450.6220838048926</v>
      </c>
      <c r="G9" s="568">
        <v>1541.1239471132035</v>
      </c>
      <c r="H9" s="568">
        <v>1619.7495998920003</v>
      </c>
      <c r="I9" s="568">
        <v>1761.172452654273</v>
      </c>
      <c r="J9" s="568">
        <v>2048.1138428009795</v>
      </c>
      <c r="K9" s="568">
        <v>2281.2834560589154</v>
      </c>
      <c r="L9" s="568">
        <v>2588.7136707356367</v>
      </c>
      <c r="M9" s="568">
        <v>2972.5746792075561</v>
      </c>
      <c r="N9" s="568">
        <v>3062.2271022094487</v>
      </c>
      <c r="O9" s="568">
        <v>3196.3512355338785</v>
      </c>
      <c r="P9" s="568">
        <v>3870.0412785565163</v>
      </c>
      <c r="Q9" s="568">
        <v>3989.1887010197015</v>
      </c>
      <c r="R9" s="568">
        <v>4650.2324020654114</v>
      </c>
      <c r="S9" s="568">
        <v>5973.8518364071624</v>
      </c>
      <c r="T9" s="568">
        <v>7933.6402406534116</v>
      </c>
      <c r="U9" s="568">
        <v>9306.1924822153924</v>
      </c>
      <c r="V9" s="568">
        <v>10983.876007663137</v>
      </c>
      <c r="W9" s="568">
        <v>15710.419041643027</v>
      </c>
      <c r="X9" s="568">
        <v>16738.319105643717</v>
      </c>
      <c r="Y9" s="568">
        <v>17574.050154861176</v>
      </c>
      <c r="Z9" s="568">
        <v>22445.187242038461</v>
      </c>
      <c r="AA9" s="568">
        <v>28118.574066593017</v>
      </c>
      <c r="AB9" s="568">
        <v>33503.123063524035</v>
      </c>
      <c r="AC9" s="568">
        <v>52696.455737132004</v>
      </c>
      <c r="AD9" s="568">
        <v>65919.211697998602</v>
      </c>
      <c r="AE9" s="568">
        <v>93322.969639511895</v>
      </c>
      <c r="AF9" s="568">
        <v>122471.6424376073</v>
      </c>
      <c r="AG9" s="568">
        <v>130810.839268493</v>
      </c>
      <c r="AH9" s="568">
        <v>165689.17147728737</v>
      </c>
      <c r="AI9" s="568">
        <v>134513.95462368746</v>
      </c>
      <c r="AJ9" s="568">
        <v>167604.06243968589</v>
      </c>
      <c r="AK9" s="568">
        <v>180625.23680016209</v>
      </c>
      <c r="AL9" s="568">
        <v>231731.89620205175</v>
      </c>
      <c r="AM9" s="568">
        <v>270183.1121520226</v>
      </c>
      <c r="AN9" s="568">
        <v>341186.34780766879</v>
      </c>
      <c r="AO9" s="568">
        <v>433501.69647748262</v>
      </c>
      <c r="AP9" s="568">
        <v>382917.35130242765</v>
      </c>
      <c r="AQ9" s="568">
        <v>367694.65861406765</v>
      </c>
      <c r="AR9" s="591">
        <v>389621.95795413322</v>
      </c>
      <c r="AS9" s="542"/>
      <c r="AT9" s="542"/>
      <c r="AU9" s="542"/>
    </row>
    <row r="10" spans="1:47" ht="13">
      <c r="A10" s="327" t="s">
        <v>1049</v>
      </c>
      <c r="B10" s="568">
        <v>26220.532082876307</v>
      </c>
      <c r="C10" s="568">
        <v>27438.366004223757</v>
      </c>
      <c r="D10" s="568">
        <v>28644.728243729973</v>
      </c>
      <c r="E10" s="568">
        <v>31148.186135410378</v>
      </c>
      <c r="F10" s="568">
        <v>33974.699297984596</v>
      </c>
      <c r="G10" s="568">
        <v>38239.683739055872</v>
      </c>
      <c r="H10" s="568">
        <v>39788.004510105973</v>
      </c>
      <c r="I10" s="568">
        <v>41493.881825419907</v>
      </c>
      <c r="J10" s="568">
        <v>40612.499257789059</v>
      </c>
      <c r="K10" s="568">
        <v>48599.919769332708</v>
      </c>
      <c r="L10" s="568">
        <v>46987.198078108479</v>
      </c>
      <c r="M10" s="568">
        <v>50101.616175855634</v>
      </c>
      <c r="N10" s="568">
        <v>61118.444667702635</v>
      </c>
      <c r="O10" s="568">
        <v>61871.082507147454</v>
      </c>
      <c r="P10" s="568">
        <v>65489.588126483613</v>
      </c>
      <c r="Q10" s="568">
        <v>70450.001175355399</v>
      </c>
      <c r="R10" s="568">
        <v>70906.070612565687</v>
      </c>
      <c r="S10" s="568">
        <v>75813.183846567306</v>
      </c>
      <c r="T10" s="568">
        <v>90426.844809149363</v>
      </c>
      <c r="U10" s="568">
        <v>108318.71187534073</v>
      </c>
      <c r="V10" s="568">
        <v>127324.99667486409</v>
      </c>
      <c r="W10" s="568">
        <v>129401.04236582264</v>
      </c>
      <c r="X10" s="568">
        <v>113966.21159530352</v>
      </c>
      <c r="Y10" s="568">
        <v>144719.8381147141</v>
      </c>
      <c r="Z10" s="568">
        <v>224807.83032886364</v>
      </c>
      <c r="AA10" s="568">
        <v>318696.63139511656</v>
      </c>
      <c r="AB10" s="568">
        <v>454051.90087516198</v>
      </c>
      <c r="AC10" s="568">
        <v>611415.40153848985</v>
      </c>
      <c r="AD10" s="568">
        <v>737142.64164589997</v>
      </c>
      <c r="AE10" s="568">
        <v>791417.19145359006</v>
      </c>
      <c r="AF10" s="568">
        <v>1112860.2126283078</v>
      </c>
      <c r="AG10" s="568">
        <v>1627892.0998726618</v>
      </c>
      <c r="AH10" s="568">
        <v>1949013.3852036677</v>
      </c>
      <c r="AI10" s="568">
        <v>2178084.548257147</v>
      </c>
      <c r="AJ10" s="568">
        <v>2574834.3255221257</v>
      </c>
      <c r="AK10" s="568">
        <v>3087122.2908168077</v>
      </c>
      <c r="AL10" s="568">
        <v>3560456.4783040155</v>
      </c>
      <c r="AM10" s="568">
        <v>4342916.0205471879</v>
      </c>
      <c r="AN10" s="568">
        <v>4762833.7542950455</v>
      </c>
      <c r="AO10" s="568">
        <v>4973092.6862854753</v>
      </c>
      <c r="AP10" s="568">
        <v>5215242.0404136311</v>
      </c>
      <c r="AQ10" s="568">
        <v>5926713.8046310665</v>
      </c>
      <c r="AR10" s="591">
        <v>6335542.4348758794</v>
      </c>
      <c r="AS10" s="542"/>
      <c r="AT10" s="542"/>
      <c r="AU10" s="542"/>
    </row>
    <row r="11" spans="1:47" ht="13">
      <c r="A11" s="327" t="s">
        <v>1050</v>
      </c>
      <c r="B11" s="568">
        <v>55663.570194356602</v>
      </c>
      <c r="C11" s="568">
        <v>59058.755502967295</v>
      </c>
      <c r="D11" s="568">
        <v>61571.906374674538</v>
      </c>
      <c r="E11" s="568">
        <v>65827.301212687278</v>
      </c>
      <c r="F11" s="568">
        <v>69890.597294566265</v>
      </c>
      <c r="G11" s="568">
        <v>74641.882575724638</v>
      </c>
      <c r="H11" s="568">
        <v>79027.903035424868</v>
      </c>
      <c r="I11" s="568">
        <v>83443.343218987313</v>
      </c>
      <c r="J11" s="568">
        <v>86368.047335842988</v>
      </c>
      <c r="K11" s="568">
        <v>97278.478077762833</v>
      </c>
      <c r="L11" s="568">
        <v>100282.99686179112</v>
      </c>
      <c r="M11" s="568">
        <v>108616.65786179344</v>
      </c>
      <c r="N11" s="568">
        <v>126761.40711089564</v>
      </c>
      <c r="O11" s="568">
        <v>134853.76996392332</v>
      </c>
      <c r="P11" s="568">
        <v>149570.10604420525</v>
      </c>
      <c r="Q11" s="568">
        <v>161778.62070862405</v>
      </c>
      <c r="R11" s="568">
        <v>172659.61798726875</v>
      </c>
      <c r="S11" s="568">
        <v>193777.78172513031</v>
      </c>
      <c r="T11" s="568">
        <v>226121.45885809456</v>
      </c>
      <c r="U11" s="568">
        <v>267309.69372936129</v>
      </c>
      <c r="V11" s="568">
        <v>315477.53713007068</v>
      </c>
      <c r="W11" s="568">
        <v>376703.44229822798</v>
      </c>
      <c r="X11" s="568">
        <v>435116.57654839201</v>
      </c>
      <c r="Y11" s="568">
        <v>517796.28395760118</v>
      </c>
      <c r="Z11" s="568">
        <v>663193.98596078414</v>
      </c>
      <c r="AA11" s="568">
        <v>831981.94681503263</v>
      </c>
      <c r="AB11" s="568">
        <v>1060840.7972431101</v>
      </c>
      <c r="AC11" s="568">
        <v>1383675.7653446875</v>
      </c>
      <c r="AD11" s="568">
        <v>1687104.4145551205</v>
      </c>
      <c r="AE11" s="568">
        <v>1969260.3007747307</v>
      </c>
      <c r="AF11" s="568">
        <v>2515287.6157381535</v>
      </c>
      <c r="AG11" s="568">
        <v>3201664.7974423068</v>
      </c>
      <c r="AH11" s="568">
        <v>3843904.4890697747</v>
      </c>
      <c r="AI11" s="568">
        <v>4451104.8928262154</v>
      </c>
      <c r="AJ11" s="568">
        <v>5248853.0563985622</v>
      </c>
      <c r="AK11" s="568">
        <v>6201236.9954132447</v>
      </c>
      <c r="AL11" s="568">
        <v>7343102.156285204</v>
      </c>
      <c r="AM11" s="568">
        <v>8848786.0787301585</v>
      </c>
      <c r="AN11" s="568">
        <v>10143228.274146415</v>
      </c>
      <c r="AO11" s="568">
        <v>11285487.125132572</v>
      </c>
      <c r="AP11" s="568">
        <v>11913242.089683179</v>
      </c>
      <c r="AQ11" s="568">
        <v>12837694.594259271</v>
      </c>
      <c r="AR11" s="591">
        <v>13870982.866886254</v>
      </c>
      <c r="AS11" s="542"/>
      <c r="AT11" s="542"/>
      <c r="AU11" s="542"/>
    </row>
    <row r="12" spans="1:47" ht="13">
      <c r="A12" s="327" t="s">
        <v>1051</v>
      </c>
      <c r="B12" s="568">
        <v>3329.8284324540346</v>
      </c>
      <c r="C12" s="568">
        <v>3504.8530761671786</v>
      </c>
      <c r="D12" s="568">
        <v>3874.6010928977998</v>
      </c>
      <c r="E12" s="568">
        <v>4115.3033888437567</v>
      </c>
      <c r="F12" s="568">
        <v>4359.8220637284603</v>
      </c>
      <c r="G12" s="568">
        <v>4548.7867836546056</v>
      </c>
      <c r="H12" s="568">
        <v>5014.2433034261221</v>
      </c>
      <c r="I12" s="568">
        <v>5550.32108410009</v>
      </c>
      <c r="J12" s="568">
        <v>6279.8496472460429</v>
      </c>
      <c r="K12" s="568">
        <v>6708.3285243559039</v>
      </c>
      <c r="L12" s="568">
        <v>7154.724466154973</v>
      </c>
      <c r="M12" s="568">
        <v>8009.4213540967303</v>
      </c>
      <c r="N12" s="568">
        <v>8920.084018991698</v>
      </c>
      <c r="O12" s="568">
        <v>9958.425309172093</v>
      </c>
      <c r="P12" s="568">
        <v>12647.043243466815</v>
      </c>
      <c r="Q12" s="568">
        <v>13653.085409184798</v>
      </c>
      <c r="R12" s="568">
        <v>15568.894442463994</v>
      </c>
      <c r="S12" s="568">
        <v>18580.454426877634</v>
      </c>
      <c r="T12" s="568">
        <v>19646.689040698977</v>
      </c>
      <c r="U12" s="568">
        <v>22644.811970345549</v>
      </c>
      <c r="V12" s="568">
        <v>27339.169950000003</v>
      </c>
      <c r="W12" s="568">
        <v>29041.002600000007</v>
      </c>
      <c r="X12" s="568">
        <v>34659.8341</v>
      </c>
      <c r="Y12" s="568">
        <v>44151.059100000006</v>
      </c>
      <c r="Z12" s="568">
        <v>59062.734731039061</v>
      </c>
      <c r="AA12" s="568">
        <v>61382.515532067904</v>
      </c>
      <c r="AB12" s="568">
        <v>75063.848040102894</v>
      </c>
      <c r="AC12" s="568">
        <v>92640.256716349555</v>
      </c>
      <c r="AD12" s="568">
        <v>86621.115862406805</v>
      </c>
      <c r="AE12" s="568">
        <v>175559.92029402024</v>
      </c>
      <c r="AF12" s="568">
        <v>225051.45258530744</v>
      </c>
      <c r="AG12" s="568">
        <v>163434.02519143137</v>
      </c>
      <c r="AH12" s="568">
        <v>287109.61149999994</v>
      </c>
      <c r="AI12" s="568">
        <v>597396</v>
      </c>
      <c r="AJ12" s="568">
        <v>699578.8</v>
      </c>
      <c r="AK12" s="568">
        <v>899119.76500000001</v>
      </c>
      <c r="AL12" s="568">
        <v>1045327</v>
      </c>
      <c r="AM12" s="568">
        <v>1223277</v>
      </c>
      <c r="AN12" s="568">
        <v>1406153</v>
      </c>
      <c r="AO12" s="568">
        <v>1698903</v>
      </c>
      <c r="AP12" s="568">
        <v>1666064</v>
      </c>
      <c r="AQ12" s="568">
        <v>1885269</v>
      </c>
      <c r="AR12" s="591">
        <v>2041890</v>
      </c>
      <c r="AS12" s="542"/>
      <c r="AT12" s="542"/>
      <c r="AU12" s="542"/>
    </row>
    <row r="13" spans="1:47" ht="13">
      <c r="A13" s="327" t="s">
        <v>1052</v>
      </c>
      <c r="B13" s="568">
        <v>58993.398626810638</v>
      </c>
      <c r="C13" s="568">
        <v>62563.608579134474</v>
      </c>
      <c r="D13" s="568">
        <v>65446.507467572344</v>
      </c>
      <c r="E13" s="568">
        <v>69942.604601531028</v>
      </c>
      <c r="F13" s="568">
        <v>74250.419358294719</v>
      </c>
      <c r="G13" s="568">
        <v>79190.669359379244</v>
      </c>
      <c r="H13" s="568">
        <v>84042.146338851002</v>
      </c>
      <c r="I13" s="568">
        <v>88993.664303087397</v>
      </c>
      <c r="J13" s="568">
        <v>92647.896983089027</v>
      </c>
      <c r="K13" s="568">
        <v>103986.80660211873</v>
      </c>
      <c r="L13" s="568">
        <v>107437.7213279461</v>
      </c>
      <c r="M13" s="568">
        <v>116626.07921589017</v>
      </c>
      <c r="N13" s="568">
        <v>135681.49112988735</v>
      </c>
      <c r="O13" s="568">
        <v>144812.19527309542</v>
      </c>
      <c r="P13" s="568">
        <v>162217.14928767207</v>
      </c>
      <c r="Q13" s="568">
        <v>175431.70611780885</v>
      </c>
      <c r="R13" s="568">
        <v>188228.51242973274</v>
      </c>
      <c r="S13" s="568">
        <v>212358.23615200791</v>
      </c>
      <c r="T13" s="568">
        <v>245768.14789879357</v>
      </c>
      <c r="U13" s="568">
        <v>289954.50569970685</v>
      </c>
      <c r="V13" s="568">
        <v>342816.70708007069</v>
      </c>
      <c r="W13" s="568">
        <v>405744.44489822799</v>
      </c>
      <c r="X13" s="568">
        <v>469776.41064839199</v>
      </c>
      <c r="Y13" s="568">
        <v>561947.34305760113</v>
      </c>
      <c r="Z13" s="568">
        <v>722256.72069182328</v>
      </c>
      <c r="AA13" s="568">
        <v>893364.46234710061</v>
      </c>
      <c r="AB13" s="568">
        <v>1135904.6452832129</v>
      </c>
      <c r="AC13" s="568">
        <v>1476316.0220610371</v>
      </c>
      <c r="AD13" s="568">
        <v>1773725.5304175273</v>
      </c>
      <c r="AE13" s="568">
        <v>2144820.2210687511</v>
      </c>
      <c r="AF13" s="568">
        <v>2740339.0683234609</v>
      </c>
      <c r="AG13" s="568">
        <v>3365098.8226337382</v>
      </c>
      <c r="AH13" s="568">
        <v>4131014.1005697744</v>
      </c>
      <c r="AI13" s="568">
        <v>5048500.8928262154</v>
      </c>
      <c r="AJ13" s="568">
        <v>5948431.8563985629</v>
      </c>
      <c r="AK13" s="568">
        <v>7100356.7604132453</v>
      </c>
      <c r="AL13" s="568">
        <v>8388429.1562852031</v>
      </c>
      <c r="AM13" s="568">
        <v>10072063.078730159</v>
      </c>
      <c r="AN13" s="568">
        <v>11549381.274146415</v>
      </c>
      <c r="AO13" s="568">
        <v>12984390.125132572</v>
      </c>
      <c r="AP13" s="568">
        <v>13579306.089683179</v>
      </c>
      <c r="AQ13" s="568">
        <v>14722963.594259271</v>
      </c>
      <c r="AR13" s="591">
        <v>15912872.866886253</v>
      </c>
      <c r="AS13" s="542"/>
      <c r="AT13" s="542"/>
      <c r="AU13" s="542"/>
    </row>
    <row r="14" spans="1:47" ht="13">
      <c r="A14" s="327" t="s">
        <v>1053</v>
      </c>
      <c r="B14" s="568">
        <v>267.22123586098559</v>
      </c>
      <c r="C14" s="568">
        <v>303.59175385263399</v>
      </c>
      <c r="D14" s="568">
        <v>248.00235826448079</v>
      </c>
      <c r="E14" s="568">
        <v>270.21737124994797</v>
      </c>
      <c r="F14" s="568">
        <v>356.59366245491304</v>
      </c>
      <c r="G14" s="568">
        <v>333.67286020613898</v>
      </c>
      <c r="H14" s="568">
        <v>254.23122426110589</v>
      </c>
      <c r="I14" s="568">
        <v>334.33844761515121</v>
      </c>
      <c r="J14" s="568">
        <v>32.382652308184447</v>
      </c>
      <c r="K14" s="568">
        <v>155.56864771945948</v>
      </c>
      <c r="L14" s="568">
        <v>141.19087933767662</v>
      </c>
      <c r="M14" s="568">
        <v>417.50800000000004</v>
      </c>
      <c r="N14" s="568">
        <v>580.25400000000002</v>
      </c>
      <c r="O14" s="568">
        <v>424.476</v>
      </c>
      <c r="P14" s="568">
        <v>1090.885</v>
      </c>
      <c r="Q14" s="568">
        <v>954.81600000000003</v>
      </c>
      <c r="R14" s="568">
        <v>717.32429999999999</v>
      </c>
      <c r="S14" s="568">
        <v>-54.598000000000027</v>
      </c>
      <c r="T14" s="568">
        <v>-852.71500000000003</v>
      </c>
      <c r="U14" s="568">
        <v>-1169.8010000000002</v>
      </c>
      <c r="V14" s="568">
        <v>-1414.23</v>
      </c>
      <c r="W14" s="568">
        <v>-1383.4280000000001</v>
      </c>
      <c r="X14" s="568">
        <v>-4218.4780000000001</v>
      </c>
      <c r="Y14" s="568">
        <v>-8767.6</v>
      </c>
      <c r="Z14" s="568">
        <v>-11834.294</v>
      </c>
      <c r="AA14" s="568">
        <v>-18030.059000000001</v>
      </c>
      <c r="AB14" s="568">
        <v>-23854.433000000001</v>
      </c>
      <c r="AC14" s="568">
        <v>-35441.107000000004</v>
      </c>
      <c r="AD14" s="568">
        <v>-69748.088000000003</v>
      </c>
      <c r="AE14" s="568">
        <v>-120337.963</v>
      </c>
      <c r="AF14" s="568">
        <v>-148376.89799999999</v>
      </c>
      <c r="AG14" s="568">
        <v>-209329.27</v>
      </c>
      <c r="AH14" s="568">
        <v>-229085.084</v>
      </c>
      <c r="AI14" s="568">
        <v>-191985.476</v>
      </c>
      <c r="AJ14" s="568">
        <v>-152642.587</v>
      </c>
      <c r="AK14" s="568">
        <v>-146431.66</v>
      </c>
      <c r="AL14" s="568">
        <v>-116546.205</v>
      </c>
      <c r="AM14" s="568">
        <v>-75765.558000000005</v>
      </c>
      <c r="AN14" s="568">
        <v>-73413.115999999995</v>
      </c>
      <c r="AO14" s="568">
        <v>-18973.191477124186</v>
      </c>
      <c r="AP14" s="568">
        <v>-22819</v>
      </c>
      <c r="AQ14" s="568">
        <v>-78244</v>
      </c>
      <c r="AR14" s="591">
        <v>-29922</v>
      </c>
      <c r="AS14" s="542"/>
      <c r="AT14" s="542"/>
      <c r="AU14" s="542"/>
    </row>
    <row r="15" spans="1:47" ht="13">
      <c r="A15" s="327" t="s">
        <v>1054</v>
      </c>
      <c r="B15" s="568">
        <v>59260.619862671621</v>
      </c>
      <c r="C15" s="568">
        <v>62867.200332987108</v>
      </c>
      <c r="D15" s="568">
        <v>65694.509825836838</v>
      </c>
      <c r="E15" s="568">
        <v>70212.821972780977</v>
      </c>
      <c r="F15" s="568">
        <v>74607.01302074964</v>
      </c>
      <c r="G15" s="568">
        <v>79524.342219585378</v>
      </c>
      <c r="H15" s="568">
        <v>84296.377563112095</v>
      </c>
      <c r="I15" s="568">
        <v>89328.002750702552</v>
      </c>
      <c r="J15" s="568">
        <v>92680.279635397208</v>
      </c>
      <c r="K15" s="568">
        <v>104142.37524983819</v>
      </c>
      <c r="L15" s="568">
        <v>107578.91220728376</v>
      </c>
      <c r="M15" s="568">
        <v>117043.58721589018</v>
      </c>
      <c r="N15" s="568">
        <v>136261.74512988733</v>
      </c>
      <c r="O15" s="568">
        <v>145236.67127309542</v>
      </c>
      <c r="P15" s="568">
        <v>163308.03428767205</v>
      </c>
      <c r="Q15" s="568">
        <v>176386.52211780884</v>
      </c>
      <c r="R15" s="568">
        <v>188945.83672973275</v>
      </c>
      <c r="S15" s="568">
        <v>212303.63815200792</v>
      </c>
      <c r="T15" s="568">
        <v>244915.43289879357</v>
      </c>
      <c r="U15" s="568">
        <v>288784.70469970681</v>
      </c>
      <c r="V15" s="568">
        <v>341402.4770800707</v>
      </c>
      <c r="W15" s="568">
        <v>404361.01689822803</v>
      </c>
      <c r="X15" s="568">
        <v>465557.93264839199</v>
      </c>
      <c r="Y15" s="568">
        <v>553179.74305760115</v>
      </c>
      <c r="Z15" s="568">
        <v>710422.42669182329</v>
      </c>
      <c r="AA15" s="568">
        <v>875334.40334710048</v>
      </c>
      <c r="AB15" s="568">
        <v>1112050.2122832129</v>
      </c>
      <c r="AC15" s="568">
        <v>1440874.9150610371</v>
      </c>
      <c r="AD15" s="568">
        <v>1703977.4424175273</v>
      </c>
      <c r="AE15" s="568">
        <v>2024482.2580687511</v>
      </c>
      <c r="AF15" s="568">
        <v>2591962.1703234608</v>
      </c>
      <c r="AG15" s="568">
        <v>3155769.5526337381</v>
      </c>
      <c r="AH15" s="568">
        <v>3901929.0165697746</v>
      </c>
      <c r="AI15" s="568">
        <v>4856515.4168262156</v>
      </c>
      <c r="AJ15" s="568">
        <v>5795789.2693985626</v>
      </c>
      <c r="AK15" s="568">
        <v>6953925.1004132451</v>
      </c>
      <c r="AL15" s="568">
        <v>8271882.951285203</v>
      </c>
      <c r="AM15" s="568">
        <v>9996297.5207301583</v>
      </c>
      <c r="AN15" s="568">
        <v>11475968.158146415</v>
      </c>
      <c r="AO15" s="568">
        <v>12965416.933655448</v>
      </c>
      <c r="AP15" s="568">
        <v>13556487.089683181</v>
      </c>
      <c r="AQ15" s="568">
        <v>14644719.594259271</v>
      </c>
      <c r="AR15" s="591">
        <v>15882950.866886253</v>
      </c>
      <c r="AS15" s="542"/>
      <c r="AT15" s="542"/>
      <c r="AU15" s="542"/>
    </row>
    <row r="16" spans="1:47" ht="13">
      <c r="A16" s="327" t="s">
        <v>1055</v>
      </c>
      <c r="B16" s="568">
        <v>1198.5617461781649</v>
      </c>
      <c r="C16" s="568">
        <v>1244.9464711669725</v>
      </c>
      <c r="D16" s="568">
        <v>1493.3506017538464</v>
      </c>
      <c r="E16" s="568">
        <v>1822.7966487606009</v>
      </c>
      <c r="F16" s="568">
        <v>2411.9407832888</v>
      </c>
      <c r="G16" s="568">
        <v>2536.3970970261689</v>
      </c>
      <c r="H16" s="568">
        <v>2807.9572071483972</v>
      </c>
      <c r="I16" s="568">
        <v>2857.4041451079056</v>
      </c>
      <c r="J16" s="568">
        <v>2441.0447016354269</v>
      </c>
      <c r="K16" s="568">
        <v>3313.650699918986</v>
      </c>
      <c r="L16" s="568">
        <v>3700.3114370588437</v>
      </c>
      <c r="M16" s="568">
        <v>4108</v>
      </c>
      <c r="N16" s="568">
        <v>4824</v>
      </c>
      <c r="O16" s="568">
        <v>5974</v>
      </c>
      <c r="P16" s="568">
        <v>7819</v>
      </c>
      <c r="Q16" s="568">
        <v>9133</v>
      </c>
      <c r="R16" s="568">
        <v>12226</v>
      </c>
      <c r="S16" s="568">
        <v>14559</v>
      </c>
      <c r="T16" s="568">
        <v>19022</v>
      </c>
      <c r="U16" s="568">
        <v>23885</v>
      </c>
      <c r="V16" s="568">
        <v>27118</v>
      </c>
      <c r="W16" s="568">
        <v>29286</v>
      </c>
      <c r="X16" s="568">
        <v>28700</v>
      </c>
      <c r="Y16" s="568">
        <v>28574</v>
      </c>
      <c r="Z16" s="568">
        <v>43469</v>
      </c>
      <c r="AA16" s="568">
        <v>72579</v>
      </c>
      <c r="AB16" s="568">
        <v>121208</v>
      </c>
      <c r="AC16" s="568">
        <v>150113</v>
      </c>
      <c r="AD16" s="568">
        <v>178627</v>
      </c>
      <c r="AE16" s="568">
        <v>215002</v>
      </c>
      <c r="AF16" s="568">
        <v>242205</v>
      </c>
      <c r="AG16" s="568">
        <v>320302</v>
      </c>
      <c r="AH16" s="568">
        <v>379686</v>
      </c>
      <c r="AI16" s="568">
        <v>411814</v>
      </c>
      <c r="AJ16" s="568">
        <v>506522</v>
      </c>
      <c r="AK16" s="568">
        <v>552400</v>
      </c>
      <c r="AL16" s="568">
        <v>617306</v>
      </c>
      <c r="AM16" s="568">
        <v>649567</v>
      </c>
      <c r="AN16" s="568">
        <v>658913</v>
      </c>
      <c r="AO16" s="568">
        <v>690577</v>
      </c>
      <c r="AP16" s="568">
        <v>699895</v>
      </c>
      <c r="AQ16" s="568">
        <v>584123</v>
      </c>
      <c r="AR16" s="591">
        <v>638509</v>
      </c>
      <c r="AS16" s="542"/>
      <c r="AT16" s="542"/>
      <c r="AU16" s="542"/>
    </row>
    <row r="17" spans="1:47" ht="13">
      <c r="A17" s="327" t="s">
        <v>1056</v>
      </c>
      <c r="B17" s="568">
        <v>60459.181608849787</v>
      </c>
      <c r="C17" s="568">
        <v>64112.146804154079</v>
      </c>
      <c r="D17" s="568">
        <v>67187.860427590684</v>
      </c>
      <c r="E17" s="568">
        <v>72035.61862154158</v>
      </c>
      <c r="F17" s="568">
        <v>77018.953804038436</v>
      </c>
      <c r="G17" s="568">
        <v>82060.739316611551</v>
      </c>
      <c r="H17" s="568">
        <v>87104.334770260495</v>
      </c>
      <c r="I17" s="568">
        <v>92185.406895810462</v>
      </c>
      <c r="J17" s="568">
        <v>95121.324337032638</v>
      </c>
      <c r="K17" s="568">
        <v>107456.02594975718</v>
      </c>
      <c r="L17" s="568">
        <v>111279.22364434261</v>
      </c>
      <c r="M17" s="568">
        <v>121151.58721589018</v>
      </c>
      <c r="N17" s="568">
        <v>141085.74512988736</v>
      </c>
      <c r="O17" s="568">
        <v>151210.67127309542</v>
      </c>
      <c r="P17" s="568">
        <v>171127.03428767205</v>
      </c>
      <c r="Q17" s="568">
        <v>185519.52211780887</v>
      </c>
      <c r="R17" s="568">
        <v>201171.83672973275</v>
      </c>
      <c r="S17" s="568">
        <v>226862.63815200792</v>
      </c>
      <c r="T17" s="568">
        <v>263937.4328987936</v>
      </c>
      <c r="U17" s="568">
        <v>312669.70469970681</v>
      </c>
      <c r="V17" s="568">
        <v>368520.4770800707</v>
      </c>
      <c r="W17" s="568">
        <v>433647.01689822803</v>
      </c>
      <c r="X17" s="568">
        <v>494257.93264839199</v>
      </c>
      <c r="Y17" s="568">
        <v>581753.74305760115</v>
      </c>
      <c r="Z17" s="568">
        <v>753891.42669182329</v>
      </c>
      <c r="AA17" s="568">
        <v>947913.40334710048</v>
      </c>
      <c r="AB17" s="568">
        <v>1233258.2122832129</v>
      </c>
      <c r="AC17" s="568">
        <v>1590987.9150610371</v>
      </c>
      <c r="AD17" s="568">
        <v>1882604.4424175273</v>
      </c>
      <c r="AE17" s="568">
        <v>2239484.2580687511</v>
      </c>
      <c r="AF17" s="568">
        <v>2834167.1703234604</v>
      </c>
      <c r="AG17" s="568">
        <v>3476071.5526337381</v>
      </c>
      <c r="AH17" s="568">
        <v>4281615.0165697746</v>
      </c>
      <c r="AI17" s="568">
        <v>5268329.4168262156</v>
      </c>
      <c r="AJ17" s="568">
        <v>6302311.2693985626</v>
      </c>
      <c r="AK17" s="568">
        <v>7506325.1004132451</v>
      </c>
      <c r="AL17" s="568">
        <v>8889188.9512852039</v>
      </c>
      <c r="AM17" s="568">
        <v>10645864.52073016</v>
      </c>
      <c r="AN17" s="568">
        <v>12134881.158146417</v>
      </c>
      <c r="AO17" s="568">
        <v>13655993.933655446</v>
      </c>
      <c r="AP17" s="568">
        <v>14256382.089683181</v>
      </c>
      <c r="AQ17" s="568">
        <v>15228842.594259271</v>
      </c>
      <c r="AR17" s="591">
        <v>16521459.866886253</v>
      </c>
      <c r="AS17" s="542"/>
      <c r="AT17" s="542"/>
      <c r="AU17" s="542"/>
    </row>
    <row r="18" spans="1:47" ht="13">
      <c r="A18" s="327" t="s">
        <v>1057</v>
      </c>
      <c r="B18" s="568">
        <v>47958.522135756008</v>
      </c>
      <c r="C18" s="568">
        <v>51997.292707453416</v>
      </c>
      <c r="D18" s="568">
        <v>54096.069822434751</v>
      </c>
      <c r="E18" s="568">
        <v>58119.673034558131</v>
      </c>
      <c r="F18" s="568">
        <v>59891.961176525343</v>
      </c>
      <c r="G18" s="568">
        <v>62154.325043169047</v>
      </c>
      <c r="H18" s="568">
        <v>66097.56902529503</v>
      </c>
      <c r="I18" s="568">
        <v>70426.995401445922</v>
      </c>
      <c r="J18" s="568">
        <v>73407.081978108035</v>
      </c>
      <c r="K18" s="568">
        <v>80358.478111479431</v>
      </c>
      <c r="L18" s="568">
        <v>86030.144943196792</v>
      </c>
      <c r="M18" s="568">
        <v>93154.09235461599</v>
      </c>
      <c r="N18" s="568">
        <v>104022.10390000157</v>
      </c>
      <c r="O18" s="568">
        <v>113934.47643779604</v>
      </c>
      <c r="P18" s="568">
        <v>131412.95285073525</v>
      </c>
      <c r="Q18" s="568">
        <v>143289.04513337315</v>
      </c>
      <c r="R18" s="568">
        <v>157003.63740793141</v>
      </c>
      <c r="S18" s="568">
        <v>177871.14822822178</v>
      </c>
      <c r="T18" s="568">
        <v>208060.65174096238</v>
      </c>
      <c r="U18" s="568">
        <v>248589.87450776159</v>
      </c>
      <c r="V18" s="568">
        <v>292004.81095575378</v>
      </c>
      <c r="W18" s="568">
        <v>354894.23825762281</v>
      </c>
      <c r="X18" s="568">
        <v>444767.3409018949</v>
      </c>
      <c r="Y18" s="568">
        <v>520325.27523752186</v>
      </c>
      <c r="Z18" s="568">
        <v>583226.46436027589</v>
      </c>
      <c r="AA18" s="568">
        <v>736442.8733814325</v>
      </c>
      <c r="AB18" s="568">
        <v>932623.7319025133</v>
      </c>
      <c r="AC18" s="568">
        <v>1204923.6378126862</v>
      </c>
      <c r="AD18" s="568">
        <v>1523729.2285536865</v>
      </c>
      <c r="AE18" s="568">
        <v>1915810.4088154361</v>
      </c>
      <c r="AF18" s="568">
        <v>2356919.9423593231</v>
      </c>
      <c r="AG18" s="568">
        <v>2872204.0018974557</v>
      </c>
      <c r="AH18" s="568">
        <v>3448086.5781266754</v>
      </c>
      <c r="AI18" s="568">
        <v>4048217.8749689977</v>
      </c>
      <c r="AJ18" s="568">
        <v>4762457.4802640397</v>
      </c>
      <c r="AK18" s="568">
        <v>5332681.7237713393</v>
      </c>
      <c r="AL18" s="568">
        <v>6402906.9321268536</v>
      </c>
      <c r="AM18" s="568">
        <v>7663183.7259528367</v>
      </c>
      <c r="AN18" s="568">
        <v>9000582.0292002745</v>
      </c>
      <c r="AO18" s="568">
        <v>10061058.913237449</v>
      </c>
      <c r="AP18" s="568">
        <v>10587329.73210706</v>
      </c>
      <c r="AQ18" s="568">
        <v>11028119.519727534</v>
      </c>
      <c r="AR18" s="591">
        <v>11839425.818364117</v>
      </c>
      <c r="AS18" s="542"/>
      <c r="AT18" s="542"/>
      <c r="AU18" s="542"/>
    </row>
    <row r="19" spans="1:47" ht="13">
      <c r="A19" s="327" t="s">
        <v>1058</v>
      </c>
      <c r="B19" s="568">
        <v>6818.9191294939274</v>
      </c>
      <c r="C19" s="568">
        <v>7075.4495264652633</v>
      </c>
      <c r="D19" s="568">
        <v>7671.1427070532645</v>
      </c>
      <c r="E19" s="568">
        <v>8272.4974700641724</v>
      </c>
      <c r="F19" s="568">
        <v>8817.8448406087264</v>
      </c>
      <c r="G19" s="568">
        <v>9317.930558102431</v>
      </c>
      <c r="H19" s="568">
        <v>10015.774169670667</v>
      </c>
      <c r="I19" s="568">
        <v>10716.624962799007</v>
      </c>
      <c r="J19" s="568">
        <v>11890.121010231376</v>
      </c>
      <c r="K19" s="568">
        <v>13448.799574391725</v>
      </c>
      <c r="L19" s="568">
        <v>14190.031171856777</v>
      </c>
      <c r="M19" s="568">
        <v>15596.513502024083</v>
      </c>
      <c r="N19" s="568">
        <v>17848.744769617275</v>
      </c>
      <c r="O19" s="568">
        <v>20000.946126937863</v>
      </c>
      <c r="P19" s="568">
        <v>23194.526574973297</v>
      </c>
      <c r="Q19" s="568">
        <v>25898.013359454188</v>
      </c>
      <c r="R19" s="568">
        <v>29844.634065476333</v>
      </c>
      <c r="S19" s="568">
        <v>36201.600683850258</v>
      </c>
      <c r="T19" s="568">
        <v>38773.126656654</v>
      </c>
      <c r="U19" s="568">
        <v>42385.317848583087</v>
      </c>
      <c r="V19" s="568">
        <v>50879.043002482329</v>
      </c>
      <c r="W19" s="568">
        <v>55423.295641641664</v>
      </c>
      <c r="X19" s="568">
        <v>58071.932411603157</v>
      </c>
      <c r="Y19" s="568">
        <v>63214.916102687697</v>
      </c>
      <c r="Z19" s="568">
        <v>91938.061433238938</v>
      </c>
      <c r="AA19" s="568">
        <v>99420.452479973465</v>
      </c>
      <c r="AB19" s="568">
        <v>135141.69924777269</v>
      </c>
      <c r="AC19" s="568">
        <v>146425.09848540381</v>
      </c>
      <c r="AD19" s="568">
        <v>125548.885775451</v>
      </c>
      <c r="AE19" s="568">
        <v>244403.19227096782</v>
      </c>
      <c r="AF19" s="568">
        <v>330704.36817170895</v>
      </c>
      <c r="AG19" s="568">
        <v>255427.96275285684</v>
      </c>
      <c r="AH19" s="568">
        <v>335219.00287770759</v>
      </c>
      <c r="AI19" s="568">
        <v>622725.60885118553</v>
      </c>
      <c r="AJ19" s="568">
        <v>702059.69426669169</v>
      </c>
      <c r="AK19" s="568">
        <v>1055559.6211733376</v>
      </c>
      <c r="AL19" s="568">
        <v>1359432.076940665</v>
      </c>
      <c r="AM19" s="568">
        <v>1380401.0935759484</v>
      </c>
      <c r="AN19" s="568">
        <v>1650399.1967803985</v>
      </c>
      <c r="AO19" s="568">
        <v>2313308.4738368485</v>
      </c>
      <c r="AP19" s="568">
        <v>2117849.3619945464</v>
      </c>
      <c r="AQ19" s="568">
        <v>2143105.5359144998</v>
      </c>
      <c r="AR19" s="591">
        <v>2411665.0538206603</v>
      </c>
      <c r="AS19" s="542"/>
      <c r="AT19" s="542"/>
      <c r="AU19" s="542"/>
    </row>
    <row r="20" spans="1:47" ht="13.5" thickBot="1">
      <c r="A20" s="334" t="s">
        <v>1059</v>
      </c>
      <c r="B20" s="572">
        <v>5681.7403435998558</v>
      </c>
      <c r="C20" s="572">
        <v>5039.4045702353978</v>
      </c>
      <c r="D20" s="572">
        <v>5420.6478981026639</v>
      </c>
      <c r="E20" s="572">
        <v>5643.4481169192686</v>
      </c>
      <c r="F20" s="572">
        <v>8309.1477869043629</v>
      </c>
      <c r="G20" s="572">
        <v>10588.483715340069</v>
      </c>
      <c r="H20" s="572">
        <v>10990.991575294796</v>
      </c>
      <c r="I20" s="572">
        <v>11041.786531565529</v>
      </c>
      <c r="J20" s="572">
        <v>9824.1213486932174</v>
      </c>
      <c r="K20" s="572">
        <v>13648.748263886024</v>
      </c>
      <c r="L20" s="572">
        <v>11059.047529289042</v>
      </c>
      <c r="M20" s="572">
        <v>12400.981359250109</v>
      </c>
      <c r="N20" s="572">
        <v>19214.896460268512</v>
      </c>
      <c r="O20" s="572">
        <v>17275.248708361516</v>
      </c>
      <c r="P20" s="572">
        <v>16519.554861963497</v>
      </c>
      <c r="Q20" s="572">
        <v>16332.463624981525</v>
      </c>
      <c r="R20" s="572">
        <v>14323.56525632499</v>
      </c>
      <c r="S20" s="572">
        <v>12789.889239935874</v>
      </c>
      <c r="T20" s="572">
        <v>17103.654501177203</v>
      </c>
      <c r="U20" s="572">
        <v>21694.512343362148</v>
      </c>
      <c r="V20" s="572">
        <v>25636.623121834582</v>
      </c>
      <c r="W20" s="572">
        <v>23329.482998963522</v>
      </c>
      <c r="X20" s="572">
        <v>-8581.3406651060541</v>
      </c>
      <c r="Y20" s="572">
        <v>-1786.4482826084186</v>
      </c>
      <c r="Z20" s="572">
        <v>78726.900898308435</v>
      </c>
      <c r="AA20" s="572">
        <v>112050.07748569454</v>
      </c>
      <c r="AB20" s="572">
        <v>165492.78113292696</v>
      </c>
      <c r="AC20" s="572">
        <v>239639.17876294706</v>
      </c>
      <c r="AD20" s="572">
        <v>233326.32808838983</v>
      </c>
      <c r="AE20" s="572">
        <v>79270.656982347165</v>
      </c>
      <c r="AF20" s="572">
        <v>146542.8597924285</v>
      </c>
      <c r="AG20" s="572">
        <v>348439.58798342542</v>
      </c>
      <c r="AH20" s="572">
        <v>498309.43556539173</v>
      </c>
      <c r="AI20" s="572">
        <v>597385.93300603214</v>
      </c>
      <c r="AJ20" s="572">
        <v>837794.09486783051</v>
      </c>
      <c r="AK20" s="572">
        <v>1118083.7554685683</v>
      </c>
      <c r="AL20" s="572">
        <v>1126849.9422176846</v>
      </c>
      <c r="AM20" s="572">
        <v>1602279.7012013749</v>
      </c>
      <c r="AN20" s="572">
        <v>1483899.9321657419</v>
      </c>
      <c r="AO20" s="572">
        <v>1281626.5465811507</v>
      </c>
      <c r="AP20" s="572">
        <v>1551202.9955815733</v>
      </c>
      <c r="AQ20" s="572">
        <v>2057617.5386172377</v>
      </c>
      <c r="AR20" s="593">
        <v>2270368.9947014744</v>
      </c>
      <c r="AS20" s="542"/>
      <c r="AT20" s="542"/>
      <c r="AU20" s="542"/>
    </row>
    <row r="21" spans="1:47" ht="39">
      <c r="A21" s="594" t="s">
        <v>1060</v>
      </c>
      <c r="B21" s="595"/>
      <c r="C21" s="595"/>
      <c r="D21" s="595"/>
      <c r="E21" s="595"/>
      <c r="F21" s="595"/>
      <c r="G21" s="595"/>
      <c r="H21" s="595"/>
      <c r="I21" s="595"/>
      <c r="J21" s="595"/>
      <c r="K21" s="595"/>
      <c r="L21" s="595"/>
      <c r="M21" s="595"/>
      <c r="N21" s="595"/>
      <c r="O21" s="595"/>
      <c r="P21" s="595"/>
      <c r="Q21" s="595"/>
      <c r="R21" s="595"/>
      <c r="S21" s="595"/>
      <c r="T21" s="595"/>
      <c r="U21" s="595"/>
      <c r="V21" s="595"/>
      <c r="W21" s="595"/>
      <c r="X21" s="595"/>
      <c r="Y21" s="595"/>
      <c r="Z21" s="595"/>
      <c r="AA21" s="595"/>
      <c r="AB21" s="595"/>
      <c r="AC21" s="595"/>
      <c r="AD21" s="595"/>
      <c r="AE21" s="595"/>
      <c r="AF21" s="595"/>
      <c r="AG21" s="595"/>
      <c r="AH21" s="595"/>
      <c r="AI21" s="595"/>
      <c r="AJ21" s="595"/>
      <c r="AK21" s="595"/>
      <c r="AL21" s="595"/>
      <c r="AM21" s="595"/>
      <c r="AN21" s="595"/>
      <c r="AO21" s="595"/>
      <c r="AP21" s="595"/>
      <c r="AQ21" s="596"/>
      <c r="AR21" s="596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fitToWidth="3" orientation="landscape" horizontalDpi="4294967292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03F0-418E-444F-986C-FE988E5E1A21}">
  <sheetPr>
    <pageSetUpPr fitToPage="1"/>
  </sheetPr>
  <dimension ref="A1:AV4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R40" sqref="R40"/>
    </sheetView>
  </sheetViews>
  <sheetFormatPr defaultRowHeight="12.5"/>
  <cols>
    <col min="1" max="1" width="65.7265625" style="396" customWidth="1"/>
    <col min="2" max="256" width="8.7265625" style="396"/>
    <col min="257" max="257" width="65.7265625" style="396" customWidth="1"/>
    <col min="258" max="512" width="8.7265625" style="396"/>
    <col min="513" max="513" width="65.7265625" style="396" customWidth="1"/>
    <col min="514" max="768" width="8.7265625" style="396"/>
    <col min="769" max="769" width="65.7265625" style="396" customWidth="1"/>
    <col min="770" max="1024" width="8.7265625" style="396"/>
    <col min="1025" max="1025" width="65.7265625" style="396" customWidth="1"/>
    <col min="1026" max="1280" width="8.7265625" style="396"/>
    <col min="1281" max="1281" width="65.7265625" style="396" customWidth="1"/>
    <col min="1282" max="1536" width="8.7265625" style="396"/>
    <col min="1537" max="1537" width="65.7265625" style="396" customWidth="1"/>
    <col min="1538" max="1792" width="8.7265625" style="396"/>
    <col min="1793" max="1793" width="65.7265625" style="396" customWidth="1"/>
    <col min="1794" max="2048" width="8.7265625" style="396"/>
    <col min="2049" max="2049" width="65.7265625" style="396" customWidth="1"/>
    <col min="2050" max="2304" width="8.7265625" style="396"/>
    <col min="2305" max="2305" width="65.7265625" style="396" customWidth="1"/>
    <col min="2306" max="2560" width="8.7265625" style="396"/>
    <col min="2561" max="2561" width="65.7265625" style="396" customWidth="1"/>
    <col min="2562" max="2816" width="8.7265625" style="396"/>
    <col min="2817" max="2817" width="65.7265625" style="396" customWidth="1"/>
    <col min="2818" max="3072" width="8.7265625" style="396"/>
    <col min="3073" max="3073" width="65.7265625" style="396" customWidth="1"/>
    <col min="3074" max="3328" width="8.7265625" style="396"/>
    <col min="3329" max="3329" width="65.7265625" style="396" customWidth="1"/>
    <col min="3330" max="3584" width="8.7265625" style="396"/>
    <col min="3585" max="3585" width="65.7265625" style="396" customWidth="1"/>
    <col min="3586" max="3840" width="8.7265625" style="396"/>
    <col min="3841" max="3841" width="65.7265625" style="396" customWidth="1"/>
    <col min="3842" max="4096" width="8.7265625" style="396"/>
    <col min="4097" max="4097" width="65.7265625" style="396" customWidth="1"/>
    <col min="4098" max="4352" width="8.7265625" style="396"/>
    <col min="4353" max="4353" width="65.7265625" style="396" customWidth="1"/>
    <col min="4354" max="4608" width="8.7265625" style="396"/>
    <col min="4609" max="4609" width="65.7265625" style="396" customWidth="1"/>
    <col min="4610" max="4864" width="8.7265625" style="396"/>
    <col min="4865" max="4865" width="65.7265625" style="396" customWidth="1"/>
    <col min="4866" max="5120" width="8.7265625" style="396"/>
    <col min="5121" max="5121" width="65.7265625" style="396" customWidth="1"/>
    <col min="5122" max="5376" width="8.7265625" style="396"/>
    <col min="5377" max="5377" width="65.7265625" style="396" customWidth="1"/>
    <col min="5378" max="5632" width="8.7265625" style="396"/>
    <col min="5633" max="5633" width="65.7265625" style="396" customWidth="1"/>
    <col min="5634" max="5888" width="8.7265625" style="396"/>
    <col min="5889" max="5889" width="65.7265625" style="396" customWidth="1"/>
    <col min="5890" max="6144" width="8.7265625" style="396"/>
    <col min="6145" max="6145" width="65.7265625" style="396" customWidth="1"/>
    <col min="6146" max="6400" width="8.7265625" style="396"/>
    <col min="6401" max="6401" width="65.7265625" style="396" customWidth="1"/>
    <col min="6402" max="6656" width="8.7265625" style="396"/>
    <col min="6657" max="6657" width="65.7265625" style="396" customWidth="1"/>
    <col min="6658" max="6912" width="8.7265625" style="396"/>
    <col min="6913" max="6913" width="65.7265625" style="396" customWidth="1"/>
    <col min="6914" max="7168" width="8.7265625" style="396"/>
    <col min="7169" max="7169" width="65.7265625" style="396" customWidth="1"/>
    <col min="7170" max="7424" width="8.7265625" style="396"/>
    <col min="7425" max="7425" width="65.7265625" style="396" customWidth="1"/>
    <col min="7426" max="7680" width="8.7265625" style="396"/>
    <col min="7681" max="7681" width="65.7265625" style="396" customWidth="1"/>
    <col min="7682" max="7936" width="8.7265625" style="396"/>
    <col min="7937" max="7937" width="65.7265625" style="396" customWidth="1"/>
    <col min="7938" max="8192" width="8.7265625" style="396"/>
    <col min="8193" max="8193" width="65.7265625" style="396" customWidth="1"/>
    <col min="8194" max="8448" width="8.7265625" style="396"/>
    <col min="8449" max="8449" width="65.7265625" style="396" customWidth="1"/>
    <col min="8450" max="8704" width="8.7265625" style="396"/>
    <col min="8705" max="8705" width="65.7265625" style="396" customWidth="1"/>
    <col min="8706" max="8960" width="8.7265625" style="396"/>
    <col min="8961" max="8961" width="65.7265625" style="396" customWidth="1"/>
    <col min="8962" max="9216" width="8.7265625" style="396"/>
    <col min="9217" max="9217" width="65.7265625" style="396" customWidth="1"/>
    <col min="9218" max="9472" width="8.7265625" style="396"/>
    <col min="9473" max="9473" width="65.7265625" style="396" customWidth="1"/>
    <col min="9474" max="9728" width="8.7265625" style="396"/>
    <col min="9729" max="9729" width="65.7265625" style="396" customWidth="1"/>
    <col min="9730" max="9984" width="8.7265625" style="396"/>
    <col min="9985" max="9985" width="65.7265625" style="396" customWidth="1"/>
    <col min="9986" max="10240" width="8.7265625" style="396"/>
    <col min="10241" max="10241" width="65.7265625" style="396" customWidth="1"/>
    <col min="10242" max="10496" width="8.7265625" style="396"/>
    <col min="10497" max="10497" width="65.7265625" style="396" customWidth="1"/>
    <col min="10498" max="10752" width="8.7265625" style="396"/>
    <col min="10753" max="10753" width="65.7265625" style="396" customWidth="1"/>
    <col min="10754" max="11008" width="8.7265625" style="396"/>
    <col min="11009" max="11009" width="65.7265625" style="396" customWidth="1"/>
    <col min="11010" max="11264" width="8.7265625" style="396"/>
    <col min="11265" max="11265" width="65.7265625" style="396" customWidth="1"/>
    <col min="11266" max="11520" width="8.7265625" style="396"/>
    <col min="11521" max="11521" width="65.7265625" style="396" customWidth="1"/>
    <col min="11522" max="11776" width="8.7265625" style="396"/>
    <col min="11777" max="11777" width="65.7265625" style="396" customWidth="1"/>
    <col min="11778" max="12032" width="8.7265625" style="396"/>
    <col min="12033" max="12033" width="65.7265625" style="396" customWidth="1"/>
    <col min="12034" max="12288" width="8.7265625" style="396"/>
    <col min="12289" max="12289" width="65.7265625" style="396" customWidth="1"/>
    <col min="12290" max="12544" width="8.7265625" style="396"/>
    <col min="12545" max="12545" width="65.7265625" style="396" customWidth="1"/>
    <col min="12546" max="12800" width="8.7265625" style="396"/>
    <col min="12801" max="12801" width="65.7265625" style="396" customWidth="1"/>
    <col min="12802" max="13056" width="8.7265625" style="396"/>
    <col min="13057" max="13057" width="65.7265625" style="396" customWidth="1"/>
    <col min="13058" max="13312" width="8.7265625" style="396"/>
    <col min="13313" max="13313" width="65.7265625" style="396" customWidth="1"/>
    <col min="13314" max="13568" width="8.7265625" style="396"/>
    <col min="13569" max="13569" width="65.7265625" style="396" customWidth="1"/>
    <col min="13570" max="13824" width="8.7265625" style="396"/>
    <col min="13825" max="13825" width="65.7265625" style="396" customWidth="1"/>
    <col min="13826" max="14080" width="8.7265625" style="396"/>
    <col min="14081" max="14081" width="65.7265625" style="396" customWidth="1"/>
    <col min="14082" max="14336" width="8.7265625" style="396"/>
    <col min="14337" max="14337" width="65.7265625" style="396" customWidth="1"/>
    <col min="14338" max="14592" width="8.7265625" style="396"/>
    <col min="14593" max="14593" width="65.7265625" style="396" customWidth="1"/>
    <col min="14594" max="14848" width="8.7265625" style="396"/>
    <col min="14849" max="14849" width="65.7265625" style="396" customWidth="1"/>
    <col min="14850" max="15104" width="8.7265625" style="396"/>
    <col min="15105" max="15105" width="65.7265625" style="396" customWidth="1"/>
    <col min="15106" max="15360" width="8.7265625" style="396"/>
    <col min="15361" max="15361" width="65.7265625" style="396" customWidth="1"/>
    <col min="15362" max="15616" width="8.7265625" style="396"/>
    <col min="15617" max="15617" width="65.7265625" style="396" customWidth="1"/>
    <col min="15618" max="15872" width="8.7265625" style="396"/>
    <col min="15873" max="15873" width="65.7265625" style="396" customWidth="1"/>
    <col min="15874" max="16128" width="8.7265625" style="396"/>
    <col min="16129" max="16129" width="65.7265625" style="396" customWidth="1"/>
    <col min="16130" max="16384" width="8.7265625" style="396"/>
  </cols>
  <sheetData>
    <row r="1" spans="1:47" ht="13">
      <c r="A1" s="440" t="s">
        <v>1061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597"/>
      <c r="AR1" s="597"/>
    </row>
    <row r="2" spans="1:47" ht="13">
      <c r="A2" s="441" t="s">
        <v>931</v>
      </c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1"/>
      <c r="AL2" s="441"/>
      <c r="AM2" s="441"/>
      <c r="AN2" s="441"/>
      <c r="AO2" s="441"/>
      <c r="AP2" s="441"/>
      <c r="AQ2" s="597"/>
      <c r="AR2" s="597"/>
    </row>
    <row r="3" spans="1:47" ht="13.5" thickBot="1">
      <c r="A3" s="441"/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1"/>
      <c r="S3" s="441"/>
      <c r="T3" s="441"/>
      <c r="U3" s="441"/>
      <c r="V3" s="441"/>
      <c r="W3" s="441"/>
      <c r="X3" s="441"/>
      <c r="Y3" s="441"/>
      <c r="Z3" s="441"/>
      <c r="AA3" s="441"/>
      <c r="AB3" s="441"/>
      <c r="AC3" s="441"/>
      <c r="AD3" s="441"/>
      <c r="AE3" s="441"/>
      <c r="AF3" s="441"/>
      <c r="AG3" s="441"/>
      <c r="AH3" s="441"/>
      <c r="AI3" s="441"/>
      <c r="AJ3" s="441"/>
      <c r="AK3" s="441"/>
      <c r="AL3" s="441"/>
      <c r="AM3" s="441"/>
      <c r="AN3" s="441"/>
      <c r="AO3" s="441"/>
      <c r="AP3" s="441"/>
      <c r="AQ3" s="597"/>
      <c r="AR3" s="597"/>
    </row>
    <row r="4" spans="1:47" ht="13.5" thickBot="1">
      <c r="A4" s="598"/>
      <c r="B4" s="599">
        <v>1953</v>
      </c>
      <c r="C4" s="599">
        <v>1954</v>
      </c>
      <c r="D4" s="599">
        <v>1955</v>
      </c>
      <c r="E4" s="599">
        <v>1956</v>
      </c>
      <c r="F4" s="599">
        <v>1957</v>
      </c>
      <c r="G4" s="599">
        <v>1958</v>
      </c>
      <c r="H4" s="599">
        <v>1959</v>
      </c>
      <c r="I4" s="599">
        <v>1960</v>
      </c>
      <c r="J4" s="599">
        <v>1961</v>
      </c>
      <c r="K4" s="599">
        <v>1962</v>
      </c>
      <c r="L4" s="599">
        <v>1963</v>
      </c>
      <c r="M4" s="599">
        <v>1964</v>
      </c>
      <c r="N4" s="599">
        <v>1965</v>
      </c>
      <c r="O4" s="599">
        <v>1966</v>
      </c>
      <c r="P4" s="599">
        <v>1967</v>
      </c>
      <c r="Q4" s="599">
        <v>1968</v>
      </c>
      <c r="R4" s="599">
        <v>1969</v>
      </c>
      <c r="S4" s="599">
        <v>1970</v>
      </c>
      <c r="T4" s="599">
        <v>1971</v>
      </c>
      <c r="U4" s="599">
        <v>1972</v>
      </c>
      <c r="V4" s="599">
        <v>1973</v>
      </c>
      <c r="W4" s="599">
        <v>1974</v>
      </c>
      <c r="X4" s="599">
        <v>1975</v>
      </c>
      <c r="Y4" s="599">
        <v>1976</v>
      </c>
      <c r="Z4" s="599">
        <v>1977</v>
      </c>
      <c r="AA4" s="599">
        <v>1978</v>
      </c>
      <c r="AB4" s="599">
        <v>1979</v>
      </c>
      <c r="AC4" s="599">
        <v>1980</v>
      </c>
      <c r="AD4" s="599">
        <v>1981</v>
      </c>
      <c r="AE4" s="599">
        <v>1982</v>
      </c>
      <c r="AF4" s="599">
        <v>1983</v>
      </c>
      <c r="AG4" s="599">
        <v>1984</v>
      </c>
      <c r="AH4" s="599">
        <v>1985</v>
      </c>
      <c r="AI4" s="599">
        <v>1986</v>
      </c>
      <c r="AJ4" s="599">
        <v>1987</v>
      </c>
      <c r="AK4" s="599">
        <v>1988</v>
      </c>
      <c r="AL4" s="599">
        <v>1989</v>
      </c>
      <c r="AM4" s="599">
        <v>1990</v>
      </c>
      <c r="AN4" s="599">
        <v>1991</v>
      </c>
      <c r="AO4" s="599">
        <v>1992</v>
      </c>
      <c r="AP4" s="599">
        <v>1993</v>
      </c>
      <c r="AQ4" s="600">
        <v>1994</v>
      </c>
      <c r="AR4" s="601">
        <v>1995</v>
      </c>
    </row>
    <row r="5" spans="1:47" ht="13">
      <c r="A5" s="602" t="s">
        <v>1062</v>
      </c>
      <c r="B5" s="603">
        <v>29473.994677532388</v>
      </c>
      <c r="C5" s="603">
        <v>31648.574105059633</v>
      </c>
      <c r="D5" s="603">
        <v>32959.001742808381</v>
      </c>
      <c r="E5" s="603">
        <v>34762.387514127491</v>
      </c>
      <c r="F5" s="603">
        <v>36017.239003105693</v>
      </c>
      <c r="G5" s="603">
        <v>36558.236764760397</v>
      </c>
      <c r="H5" s="603">
        <v>39324.145531974231</v>
      </c>
      <c r="I5" s="603">
        <v>42055.073606520942</v>
      </c>
      <c r="J5" s="603">
        <v>45773.164537828212</v>
      </c>
      <c r="K5" s="603">
        <v>48821.822283975453</v>
      </c>
      <c r="L5" s="603">
        <v>53381.361392278362</v>
      </c>
      <c r="M5" s="603">
        <v>58483.468685937813</v>
      </c>
      <c r="N5" s="603">
        <v>65698.770443193018</v>
      </c>
      <c r="O5" s="603">
        <v>73087.082456775854</v>
      </c>
      <c r="P5" s="603">
        <v>84602.675917721659</v>
      </c>
      <c r="Q5" s="603">
        <v>91790.891533268659</v>
      </c>
      <c r="R5" s="603">
        <v>101893.24737470307</v>
      </c>
      <c r="S5" s="603">
        <v>118035.791878563</v>
      </c>
      <c r="T5" s="603">
        <v>135966.69904894521</v>
      </c>
      <c r="U5" s="603">
        <v>159317.1218540206</v>
      </c>
      <c r="V5" s="603">
        <v>188379.66945520657</v>
      </c>
      <c r="W5" s="603">
        <v>247324.79593240534</v>
      </c>
      <c r="X5" s="603">
        <v>321187.45895308856</v>
      </c>
      <c r="Y5" s="603">
        <v>372919.54584288702</v>
      </c>
      <c r="Z5" s="603">
        <v>438290.45163192053</v>
      </c>
      <c r="AA5" s="603">
        <v>513524.68441991607</v>
      </c>
      <c r="AB5" s="603">
        <v>607577.15336794825</v>
      </c>
      <c r="AC5" s="603">
        <v>772672.04980619787</v>
      </c>
      <c r="AD5" s="603">
        <v>951668.00890922057</v>
      </c>
      <c r="AE5" s="603">
        <v>1179254.0383211405</v>
      </c>
      <c r="AF5" s="603">
        <v>1404673.3001098458</v>
      </c>
      <c r="AG5" s="603">
        <v>1579310.1565696453</v>
      </c>
      <c r="AH5" s="603">
        <v>1904729.4428661068</v>
      </c>
      <c r="AI5" s="603">
        <v>2278377.3095690683</v>
      </c>
      <c r="AJ5" s="603">
        <v>2686860.540876437</v>
      </c>
      <c r="AK5" s="603">
        <v>3131069.2235964364</v>
      </c>
      <c r="AL5" s="603">
        <v>3799623.2119811885</v>
      </c>
      <c r="AM5" s="603">
        <v>4523304.3061829703</v>
      </c>
      <c r="AN5" s="603">
        <v>5393471.7848513704</v>
      </c>
      <c r="AO5" s="603">
        <v>6312601.496847095</v>
      </c>
      <c r="AP5" s="603">
        <v>6711518.0492695468</v>
      </c>
      <c r="AQ5" s="604">
        <v>6922560.7896282068</v>
      </c>
      <c r="AR5" s="605">
        <v>7546738.4320103731</v>
      </c>
      <c r="AT5" s="455"/>
      <c r="AU5" s="455"/>
    </row>
    <row r="6" spans="1:47" ht="13">
      <c r="A6" s="606" t="s">
        <v>1045</v>
      </c>
      <c r="B6" s="603">
        <v>27016.985033709909</v>
      </c>
      <c r="C6" s="603">
        <v>29123.174941002806</v>
      </c>
      <c r="D6" s="603">
        <v>30112.286393429051</v>
      </c>
      <c r="E6" s="603">
        <v>31681.444392740152</v>
      </c>
      <c r="F6" s="603">
        <v>32633.218177182534</v>
      </c>
      <c r="G6" s="603">
        <v>32927.008147958921</v>
      </c>
      <c r="H6" s="603">
        <v>35607.509727209203</v>
      </c>
      <c r="I6" s="603">
        <v>38026.383344240778</v>
      </c>
      <c r="J6" s="603">
        <v>41244.77455729647</v>
      </c>
      <c r="K6" s="603">
        <v>43693.358566235707</v>
      </c>
      <c r="L6" s="603">
        <v>47670.689580838654</v>
      </c>
      <c r="M6" s="603">
        <v>52170.937555750665</v>
      </c>
      <c r="N6" s="603">
        <v>58696.566206467389</v>
      </c>
      <c r="O6" s="603">
        <v>65292.339093008268</v>
      </c>
      <c r="P6" s="603">
        <v>75189.375606888352</v>
      </c>
      <c r="Q6" s="603">
        <v>81464.267291599186</v>
      </c>
      <c r="R6" s="603">
        <v>90414.384913700356</v>
      </c>
      <c r="S6" s="603">
        <v>104106.37207930844</v>
      </c>
      <c r="T6" s="603">
        <v>118277.57807521017</v>
      </c>
      <c r="U6" s="603">
        <v>137751.15448791053</v>
      </c>
      <c r="V6" s="603">
        <v>162368.09836139626</v>
      </c>
      <c r="W6" s="603">
        <v>213137.82227133869</v>
      </c>
      <c r="X6" s="603">
        <v>276981.28569492983</v>
      </c>
      <c r="Y6" s="603">
        <v>321304.66344674974</v>
      </c>
      <c r="Z6" s="603">
        <v>369079.87701092102</v>
      </c>
      <c r="AA6" s="603">
        <v>429915.75389271154</v>
      </c>
      <c r="AB6" s="603">
        <v>504888.88847394974</v>
      </c>
      <c r="AC6" s="603">
        <v>634724.20175807667</v>
      </c>
      <c r="AD6" s="603">
        <v>777194.19303029648</v>
      </c>
      <c r="AE6" s="603">
        <v>940675.07969501277</v>
      </c>
      <c r="AF6" s="603">
        <v>1104946.4788758529</v>
      </c>
      <c r="AG6" s="603">
        <v>1227232.5778084078</v>
      </c>
      <c r="AH6" s="603">
        <v>1472337.1886815685</v>
      </c>
      <c r="AI6" s="603">
        <v>1753398.5040647197</v>
      </c>
      <c r="AJ6" s="603">
        <v>2058175.3196628839</v>
      </c>
      <c r="AK6" s="603">
        <v>2433313.9175171657</v>
      </c>
      <c r="AL6" s="603">
        <v>2963222.9801513464</v>
      </c>
      <c r="AM6" s="603">
        <v>3533077.6620309483</v>
      </c>
      <c r="AN6" s="603">
        <v>4210922.3030437017</v>
      </c>
      <c r="AO6" s="603">
        <v>4830118.3643696131</v>
      </c>
      <c r="AP6" s="603">
        <v>5027474.5579671199</v>
      </c>
      <c r="AQ6" s="604">
        <v>5253880.1100141387</v>
      </c>
      <c r="AR6" s="605">
        <v>5567192.7980562402</v>
      </c>
      <c r="AT6" s="455"/>
      <c r="AU6" s="455"/>
    </row>
    <row r="7" spans="1:47" ht="13">
      <c r="A7" s="606" t="s">
        <v>1063</v>
      </c>
      <c r="B7" s="603">
        <v>2426.053077770388</v>
      </c>
      <c r="C7" s="603">
        <v>2497.2145577407346</v>
      </c>
      <c r="D7" s="603">
        <v>2814.8917375155193</v>
      </c>
      <c r="E7" s="603">
        <v>2997.6706845367494</v>
      </c>
      <c r="F7" s="603">
        <v>3282.6798193991308</v>
      </c>
      <c r="G7" s="603">
        <v>3475.1906887098426</v>
      </c>
      <c r="H7" s="603">
        <v>3632.3887981096927</v>
      </c>
      <c r="I7" s="603">
        <v>3923.078049326627</v>
      </c>
      <c r="J7" s="603">
        <v>4510.7735207574588</v>
      </c>
      <c r="K7" s="603">
        <v>4985.1997421944152</v>
      </c>
      <c r="L7" s="603">
        <v>5625.1092028439853</v>
      </c>
      <c r="M7" s="603">
        <v>6344.1041301871583</v>
      </c>
      <c r="N7" s="603">
        <v>6946.3962367256254</v>
      </c>
      <c r="O7" s="603">
        <v>7690.348363767599</v>
      </c>
      <c r="P7" s="603">
        <v>8891.1423108332983</v>
      </c>
      <c r="Q7" s="603">
        <v>9864.3522416694723</v>
      </c>
      <c r="R7" s="603">
        <v>11339.162461002716</v>
      </c>
      <c r="S7" s="603">
        <v>13858.225799254555</v>
      </c>
      <c r="T7" s="603">
        <v>17417.03597373503</v>
      </c>
      <c r="U7" s="603">
        <v>21239.827366110068</v>
      </c>
      <c r="V7" s="603">
        <v>25784.442093810336</v>
      </c>
      <c r="W7" s="603">
        <v>34164.577661066658</v>
      </c>
      <c r="X7" s="603">
        <v>44169.079258158643</v>
      </c>
      <c r="Y7" s="603">
        <v>51771.782396137314</v>
      </c>
      <c r="Z7" s="603">
        <v>69306.278620999554</v>
      </c>
      <c r="AA7" s="603">
        <v>83369.561527204467</v>
      </c>
      <c r="AB7" s="603">
        <v>101900.00789399847</v>
      </c>
      <c r="AC7" s="603">
        <v>137536.16204812119</v>
      </c>
      <c r="AD7" s="603">
        <v>172767.57987892412</v>
      </c>
      <c r="AE7" s="603">
        <v>237168.02962612791</v>
      </c>
      <c r="AF7" s="603">
        <v>297480.92423399282</v>
      </c>
      <c r="AG7" s="603">
        <v>346540.11976123753</v>
      </c>
      <c r="AH7" s="603">
        <v>422553.91518453846</v>
      </c>
      <c r="AI7" s="603">
        <v>519621.84050434839</v>
      </c>
      <c r="AJ7" s="603">
        <v>615843.41121355351</v>
      </c>
      <c r="AK7" s="603">
        <v>680800.78707927128</v>
      </c>
      <c r="AL7" s="603">
        <v>819422.69782984187</v>
      </c>
      <c r="AM7" s="603">
        <v>972792.39615202253</v>
      </c>
      <c r="AN7" s="603">
        <v>1169472.2168076688</v>
      </c>
      <c r="AO7" s="603">
        <v>1482276.0744774828</v>
      </c>
      <c r="AP7" s="603">
        <v>1670525.4913024278</v>
      </c>
      <c r="AQ7" s="604">
        <v>1657100.6796140675</v>
      </c>
      <c r="AR7" s="605">
        <v>1968247.6339541331</v>
      </c>
      <c r="AT7" s="455"/>
      <c r="AU7" s="455"/>
    </row>
    <row r="8" spans="1:47" ht="13">
      <c r="A8" s="606" t="s">
        <v>1064</v>
      </c>
      <c r="B8" s="603">
        <v>30.956566052093102</v>
      </c>
      <c r="C8" s="603">
        <v>28.184606316093856</v>
      </c>
      <c r="D8" s="603">
        <v>31.823611863815238</v>
      </c>
      <c r="E8" s="603">
        <v>83.272436850595284</v>
      </c>
      <c r="F8" s="603">
        <v>101.3410065240312</v>
      </c>
      <c r="G8" s="603">
        <v>156.0379280916278</v>
      </c>
      <c r="H8" s="603">
        <v>84.247006655330068</v>
      </c>
      <c r="I8" s="603">
        <v>105.61221295353843</v>
      </c>
      <c r="J8" s="603">
        <v>17.616459774284436</v>
      </c>
      <c r="K8" s="603">
        <v>143.26397554532591</v>
      </c>
      <c r="L8" s="603">
        <v>85.562608595724328</v>
      </c>
      <c r="M8" s="603">
        <v>-31.572999999999976</v>
      </c>
      <c r="N8" s="603">
        <v>55.808000000000021</v>
      </c>
      <c r="O8" s="603">
        <v>104.395</v>
      </c>
      <c r="P8" s="603">
        <v>522.1579999999999</v>
      </c>
      <c r="Q8" s="603">
        <v>462.27200000000005</v>
      </c>
      <c r="R8" s="603">
        <v>139.69999999999999</v>
      </c>
      <c r="S8" s="603">
        <v>71.19399999999996</v>
      </c>
      <c r="T8" s="603">
        <v>272.08499999999998</v>
      </c>
      <c r="U8" s="603">
        <v>326.14</v>
      </c>
      <c r="V8" s="603">
        <v>227.12900000000002</v>
      </c>
      <c r="W8" s="603">
        <v>22.395999999999958</v>
      </c>
      <c r="X8" s="603">
        <v>37.093999999999937</v>
      </c>
      <c r="Y8" s="603">
        <v>-156.9</v>
      </c>
      <c r="Z8" s="603">
        <v>-95.703999999999951</v>
      </c>
      <c r="AA8" s="603">
        <v>239.36899999999991</v>
      </c>
      <c r="AB8" s="603">
        <v>788.25700000000006</v>
      </c>
      <c r="AC8" s="603">
        <v>411.68600000000015</v>
      </c>
      <c r="AD8" s="603">
        <v>1706.2360000000001</v>
      </c>
      <c r="AE8" s="603">
        <v>1410.9290000000001</v>
      </c>
      <c r="AF8" s="603">
        <v>2245.8969999999999</v>
      </c>
      <c r="AG8" s="603">
        <v>5537.4589999999998</v>
      </c>
      <c r="AH8" s="603">
        <v>9838.3389999999999</v>
      </c>
      <c r="AI8" s="603">
        <v>5356.9650000000011</v>
      </c>
      <c r="AJ8" s="603">
        <v>12841.81</v>
      </c>
      <c r="AK8" s="603">
        <v>16954.519</v>
      </c>
      <c r="AL8" s="603">
        <v>16977.534</v>
      </c>
      <c r="AM8" s="603">
        <v>17434.248</v>
      </c>
      <c r="AN8" s="603">
        <v>13077.264999999999</v>
      </c>
      <c r="AO8" s="603">
        <v>207.05799999999908</v>
      </c>
      <c r="AP8" s="603">
        <v>13518</v>
      </c>
      <c r="AQ8" s="604">
        <v>11580</v>
      </c>
      <c r="AR8" s="605">
        <v>11298</v>
      </c>
      <c r="AT8" s="455"/>
      <c r="AU8" s="455"/>
    </row>
    <row r="9" spans="1:47" ht="13">
      <c r="A9" s="602" t="s">
        <v>1065</v>
      </c>
      <c r="B9" s="603">
        <v>13048.458161488854</v>
      </c>
      <c r="C9" s="603">
        <v>13943.851774257109</v>
      </c>
      <c r="D9" s="603">
        <v>14454.807124079229</v>
      </c>
      <c r="E9" s="603">
        <v>15015.116720493601</v>
      </c>
      <c r="F9" s="603">
        <v>15783.916182939685</v>
      </c>
      <c r="G9" s="603">
        <v>16875.433967499255</v>
      </c>
      <c r="H9" s="603">
        <v>17182.393197692138</v>
      </c>
      <c r="I9" s="603">
        <v>18481.192505205232</v>
      </c>
      <c r="J9" s="603">
        <v>18179.541841565169</v>
      </c>
      <c r="K9" s="603">
        <v>21367.118069938428</v>
      </c>
      <c r="L9" s="603">
        <v>21524.031228835491</v>
      </c>
      <c r="M9" s="603">
        <v>22760.682842091534</v>
      </c>
      <c r="N9" s="603">
        <v>25995.49276798272</v>
      </c>
      <c r="O9" s="603">
        <v>26859.70568270603</v>
      </c>
      <c r="P9" s="603">
        <v>29911.732120181299</v>
      </c>
      <c r="Q9" s="603">
        <v>32449.023691691094</v>
      </c>
      <c r="R9" s="603">
        <v>33292.737820547205</v>
      </c>
      <c r="S9" s="603">
        <v>36285.896298609812</v>
      </c>
      <c r="T9" s="603">
        <v>43724.308763210902</v>
      </c>
      <c r="U9" s="603">
        <v>52264.136617631069</v>
      </c>
      <c r="V9" s="603">
        <v>60898.298539728072</v>
      </c>
      <c r="W9" s="603">
        <v>67410.052866591752</v>
      </c>
      <c r="X9" s="603">
        <v>81342.087461506555</v>
      </c>
      <c r="Y9" s="603">
        <v>95177.528060837998</v>
      </c>
      <c r="Z9" s="603">
        <v>73191.560474946353</v>
      </c>
      <c r="AA9" s="603">
        <v>108288.34472089916</v>
      </c>
      <c r="AB9" s="603">
        <v>153919.22949344479</v>
      </c>
      <c r="AC9" s="603">
        <v>204893.71221079287</v>
      </c>
      <c r="AD9" s="603">
        <v>259139.69983378815</v>
      </c>
      <c r="AE9" s="603">
        <v>354028.90948837594</v>
      </c>
      <c r="AF9" s="603">
        <v>453096.95351132442</v>
      </c>
      <c r="AG9" s="603">
        <v>552997.63137792365</v>
      </c>
      <c r="AH9" s="603">
        <v>695680.36959753407</v>
      </c>
      <c r="AI9" s="603">
        <v>825237.57462733414</v>
      </c>
      <c r="AJ9" s="603">
        <v>971182.60779790103</v>
      </c>
      <c r="AK9" s="603">
        <v>1098706.3987801415</v>
      </c>
      <c r="AL9" s="603">
        <v>1407860.4959531229</v>
      </c>
      <c r="AM9" s="603">
        <v>1692813.8886942517</v>
      </c>
      <c r="AN9" s="603">
        <v>1899952.6734553417</v>
      </c>
      <c r="AO9" s="603">
        <v>2036837.4618521573</v>
      </c>
      <c r="AP9" s="603">
        <v>2164042.4264304703</v>
      </c>
      <c r="AQ9" s="604">
        <v>2440024.3847426944</v>
      </c>
      <c r="AR9" s="605">
        <v>2801882.9436500231</v>
      </c>
      <c r="AT9" s="455"/>
      <c r="AU9" s="455"/>
    </row>
    <row r="10" spans="1:47" ht="13">
      <c r="A10" s="602" t="s">
        <v>1066</v>
      </c>
      <c r="B10" s="603">
        <v>2704.9292102206055</v>
      </c>
      <c r="C10" s="603">
        <v>2914.6110280314347</v>
      </c>
      <c r="D10" s="603">
        <v>3119.2016477986776</v>
      </c>
      <c r="E10" s="603">
        <v>3312.3600760276117</v>
      </c>
      <c r="F10" s="603">
        <v>3600.7666352552683</v>
      </c>
      <c r="G10" s="603">
        <v>3870.4671635136583</v>
      </c>
      <c r="H10" s="603">
        <v>4228.3391873299743</v>
      </c>
      <c r="I10" s="603">
        <v>4582.4507152751057</v>
      </c>
      <c r="J10" s="603">
        <v>4928.0999180573581</v>
      </c>
      <c r="K10" s="603">
        <v>5380.7501317034848</v>
      </c>
      <c r="L10" s="603">
        <v>5810.7722389365126</v>
      </c>
      <c r="M10" s="603">
        <v>6299.2837622595434</v>
      </c>
      <c r="N10" s="603">
        <v>6770.7007780529657</v>
      </c>
      <c r="O10" s="603">
        <v>7457.7715377856002</v>
      </c>
      <c r="P10" s="603">
        <v>8169.2833996584204</v>
      </c>
      <c r="Q10" s="603">
        <v>9124.5785426432431</v>
      </c>
      <c r="R10" s="603">
        <v>9957.404353517235</v>
      </c>
      <c r="S10" s="603">
        <v>10963.596222616332</v>
      </c>
      <c r="T10" s="603">
        <v>12605.790824027232</v>
      </c>
      <c r="U10" s="603">
        <v>14436.134968869241</v>
      </c>
      <c r="V10" s="603">
        <v>17110.607728120896</v>
      </c>
      <c r="W10" s="603">
        <v>19340.522737210984</v>
      </c>
      <c r="X10" s="603">
        <v>21305.530623536113</v>
      </c>
      <c r="Y10" s="603">
        <v>24694.859339705181</v>
      </c>
      <c r="Z10" s="603">
        <v>27173.101024524076</v>
      </c>
      <c r="AA10" s="603">
        <v>30441.306024667829</v>
      </c>
      <c r="AB10" s="603">
        <v>34866.876519077254</v>
      </c>
      <c r="AC10" s="603">
        <v>39085.070538356747</v>
      </c>
      <c r="AD10" s="603">
        <v>44209.15143286551</v>
      </c>
      <c r="AE10" s="603">
        <v>54194.483756776572</v>
      </c>
      <c r="AF10" s="603">
        <v>70076.001825434811</v>
      </c>
      <c r="AG10" s="603">
        <v>93665.113687991077</v>
      </c>
      <c r="AH10" s="603">
        <v>113911.40103645803</v>
      </c>
      <c r="AI10" s="603">
        <v>127290.85149119157</v>
      </c>
      <c r="AJ10" s="603">
        <v>156294.91416232008</v>
      </c>
      <c r="AK10" s="603">
        <v>183628.16370450388</v>
      </c>
      <c r="AL10" s="603">
        <v>237300.82621081316</v>
      </c>
      <c r="AM10" s="603">
        <v>306648.52466418542</v>
      </c>
      <c r="AN10" s="603">
        <v>406986.55690505262</v>
      </c>
      <c r="AO10" s="603">
        <v>518255.43375896668</v>
      </c>
      <c r="AP10" s="603">
        <v>578118.9682665827</v>
      </c>
      <c r="AQ10" s="604">
        <v>634890.81771262095</v>
      </c>
      <c r="AR10" s="605">
        <v>708645.48699977132</v>
      </c>
      <c r="AT10" s="455"/>
      <c r="AU10" s="455"/>
    </row>
    <row r="11" spans="1:47" ht="13">
      <c r="A11" s="602" t="s">
        <v>1067</v>
      </c>
      <c r="B11" s="603">
        <v>3724.1012136077129</v>
      </c>
      <c r="C11" s="603">
        <v>4380.6761660153534</v>
      </c>
      <c r="D11" s="603">
        <v>4552.7635325592582</v>
      </c>
      <c r="E11" s="603">
        <v>5760.6950207443306</v>
      </c>
      <c r="F11" s="603">
        <v>4897.9256067082952</v>
      </c>
      <c r="G11" s="603">
        <v>5278.1639582026019</v>
      </c>
      <c r="H11" s="603">
        <v>5577.1150894775319</v>
      </c>
      <c r="I11" s="603">
        <v>5677.3364717727982</v>
      </c>
      <c r="J11" s="603">
        <v>5481.7763579023995</v>
      </c>
      <c r="K11" s="603">
        <v>5691.1518242618322</v>
      </c>
      <c r="L11" s="603">
        <v>5970.252966284429</v>
      </c>
      <c r="M11" s="603">
        <v>6572.316811828774</v>
      </c>
      <c r="N11" s="603">
        <v>6853.6471679346441</v>
      </c>
      <c r="O11" s="603">
        <v>7383.5511046626907</v>
      </c>
      <c r="P11" s="603">
        <v>7993.561637123863</v>
      </c>
      <c r="Q11" s="603">
        <v>8874.5358619273629</v>
      </c>
      <c r="R11" s="603">
        <v>9101.4637966749942</v>
      </c>
      <c r="S11" s="603">
        <v>9832.53569125998</v>
      </c>
      <c r="T11" s="603">
        <v>10883.59224802151</v>
      </c>
      <c r="U11" s="603">
        <v>13159.692148687645</v>
      </c>
      <c r="V11" s="603">
        <v>15129.675142348837</v>
      </c>
      <c r="W11" s="603">
        <v>10691.50693633118</v>
      </c>
      <c r="X11" s="603">
        <v>13484.392525876729</v>
      </c>
      <c r="Y11" s="603">
        <v>15953.581212640816</v>
      </c>
      <c r="Z11" s="603">
        <v>27211.478407138031</v>
      </c>
      <c r="AA11" s="603">
        <v>49023.30507452022</v>
      </c>
      <c r="AB11" s="603">
        <v>63430.289323604025</v>
      </c>
      <c r="AC11" s="603">
        <v>90273.311225630838</v>
      </c>
      <c r="AD11" s="603">
        <v>155205.30015161081</v>
      </c>
      <c r="AE11" s="603">
        <v>216079.24639579392</v>
      </c>
      <c r="AF11" s="603">
        <v>319914.86877427937</v>
      </c>
      <c r="AG11" s="603">
        <v>488123.30033753888</v>
      </c>
      <c r="AH11" s="603">
        <v>555824.47588511708</v>
      </c>
      <c r="AI11" s="603">
        <v>622901.50320457714</v>
      </c>
      <c r="AJ11" s="603">
        <v>660864.42254416738</v>
      </c>
      <c r="AK11" s="603">
        <v>710234.14919411729</v>
      </c>
      <c r="AL11" s="603">
        <v>837925.48561577196</v>
      </c>
      <c r="AM11" s="603">
        <v>1008377.5367811451</v>
      </c>
      <c r="AN11" s="603">
        <v>1212924.4839959533</v>
      </c>
      <c r="AO11" s="603">
        <v>1330805.8344598743</v>
      </c>
      <c r="AP11" s="603">
        <v>1320804.7319322715</v>
      </c>
      <c r="AQ11" s="604">
        <v>1159285.0988898282</v>
      </c>
      <c r="AR11" s="605">
        <v>1136307.7690400882</v>
      </c>
      <c r="AT11" s="455"/>
      <c r="AU11" s="455"/>
    </row>
    <row r="12" spans="1:47" ht="13">
      <c r="A12" s="602" t="s">
        <v>1068</v>
      </c>
      <c r="B12" s="603">
        <v>132.07103201405451</v>
      </c>
      <c r="C12" s="603">
        <v>210.96353744301493</v>
      </c>
      <c r="D12" s="603">
        <v>199.42391382731657</v>
      </c>
      <c r="E12" s="603">
        <v>217.6168789673809</v>
      </c>
      <c r="F12" s="603">
        <v>237.57536896642839</v>
      </c>
      <c r="G12" s="603">
        <v>249.59842836687992</v>
      </c>
      <c r="H12" s="603">
        <v>334.58946005002116</v>
      </c>
      <c r="I12" s="603">
        <v>381.82133699649347</v>
      </c>
      <c r="J12" s="603">
        <v>424.88637156167277</v>
      </c>
      <c r="K12" s="603">
        <v>518.6964391409042</v>
      </c>
      <c r="L12" s="603">
        <v>560.79063850306227</v>
      </c>
      <c r="M12" s="603">
        <v>738.45632769388158</v>
      </c>
      <c r="N12" s="603">
        <v>643.90249782026422</v>
      </c>
      <c r="O12" s="603">
        <v>673.58312565876304</v>
      </c>
      <c r="P12" s="603">
        <v>820.16743106154638</v>
      </c>
      <c r="Q12" s="603">
        <v>1177.0535834742427</v>
      </c>
      <c r="R12" s="603">
        <v>1130.7504504011006</v>
      </c>
      <c r="S12" s="603">
        <v>1534.4225434973293</v>
      </c>
      <c r="T12" s="603">
        <v>2725.8713783338508</v>
      </c>
      <c r="U12" s="603">
        <v>3925.5831366068328</v>
      </c>
      <c r="V12" s="603">
        <v>5081.1484584608352</v>
      </c>
      <c r="W12" s="603">
        <v>6814.58396123477</v>
      </c>
      <c r="X12" s="603">
        <v>11336.450574856428</v>
      </c>
      <c r="Y12" s="603">
        <v>13657.273559810939</v>
      </c>
      <c r="Z12" s="603">
        <v>20057.624868392664</v>
      </c>
      <c r="AA12" s="603">
        <v>39308.095948226022</v>
      </c>
      <c r="AB12" s="603">
        <v>52553.838434885576</v>
      </c>
      <c r="AC12" s="603">
        <v>74328.823619964794</v>
      </c>
      <c r="AD12" s="603">
        <v>133145.60881628111</v>
      </c>
      <c r="AE12" s="603">
        <v>192490.49953385672</v>
      </c>
      <c r="AF12" s="603">
        <v>295436.29531258205</v>
      </c>
      <c r="AG12" s="603">
        <v>454324.31459404499</v>
      </c>
      <c r="AH12" s="603">
        <v>518873.91654313647</v>
      </c>
      <c r="AI12" s="603">
        <v>560366.13426978688</v>
      </c>
      <c r="AJ12" s="603">
        <v>578614.92331840063</v>
      </c>
      <c r="AK12" s="603">
        <v>608210.72904587421</v>
      </c>
      <c r="AL12" s="603">
        <v>713701.64345146785</v>
      </c>
      <c r="AM12" s="603">
        <v>922170.26889106969</v>
      </c>
      <c r="AN12" s="603">
        <v>1132479.7486419207</v>
      </c>
      <c r="AO12" s="603">
        <v>1257403.9431792342</v>
      </c>
      <c r="AP12" s="603">
        <v>1265809.7476258604</v>
      </c>
      <c r="AQ12" s="604">
        <v>1063735.6350289916</v>
      </c>
      <c r="AR12" s="605">
        <v>1019738.6385670772</v>
      </c>
      <c r="AT12" s="455"/>
      <c r="AU12" s="455"/>
    </row>
    <row r="13" spans="1:47" ht="13">
      <c r="A13" s="602" t="s">
        <v>1069</v>
      </c>
      <c r="B13" s="603">
        <v>218.11094669783677</v>
      </c>
      <c r="C13" s="603">
        <v>301.26983524601525</v>
      </c>
      <c r="D13" s="603">
        <v>298.19936759562728</v>
      </c>
      <c r="E13" s="603">
        <v>332.40561004837417</v>
      </c>
      <c r="F13" s="603">
        <v>362.17622175281662</v>
      </c>
      <c r="G13" s="603">
        <v>394.36987589596538</v>
      </c>
      <c r="H13" s="603">
        <v>485.76286203677614</v>
      </c>
      <c r="I13" s="603">
        <v>557.66676291968884</v>
      </c>
      <c r="J13" s="603">
        <v>616.45101244515388</v>
      </c>
      <c r="K13" s="603">
        <v>714.96338954852183</v>
      </c>
      <c r="L13" s="603">
        <v>785.84199229292949</v>
      </c>
      <c r="M13" s="603">
        <v>993.72793183968588</v>
      </c>
      <c r="N13" s="603">
        <v>969.57964862913434</v>
      </c>
      <c r="O13" s="603">
        <v>998.07472515215102</v>
      </c>
      <c r="P13" s="603">
        <v>1173.4558622365064</v>
      </c>
      <c r="Q13" s="603">
        <v>1635.5910815133248</v>
      </c>
      <c r="R13" s="603">
        <v>1941.4596832497632</v>
      </c>
      <c r="S13" s="603">
        <v>2564.0166469225214</v>
      </c>
      <c r="T13" s="603">
        <v>4024.5423664209411</v>
      </c>
      <c r="U13" s="603">
        <v>5541.6544899978599</v>
      </c>
      <c r="V13" s="603">
        <v>6751.008247837387</v>
      </c>
      <c r="W13" s="603">
        <v>8270.5512195568972</v>
      </c>
      <c r="X13" s="603">
        <v>13236.514947077305</v>
      </c>
      <c r="Y13" s="603">
        <v>16235.599022958748</v>
      </c>
      <c r="Z13" s="603">
        <v>23841.031974759182</v>
      </c>
      <c r="AA13" s="603">
        <v>44214.177273457244</v>
      </c>
      <c r="AB13" s="603">
        <v>67958.2473466683</v>
      </c>
      <c r="AC13" s="603">
        <v>97994.328164603445</v>
      </c>
      <c r="AD13" s="603">
        <v>170249.45453194695</v>
      </c>
      <c r="AE13" s="603">
        <v>252333.044506748</v>
      </c>
      <c r="AF13" s="603">
        <v>387876.22365179413</v>
      </c>
      <c r="AG13" s="603">
        <v>588611.73837137769</v>
      </c>
      <c r="AH13" s="603">
        <v>691566.74560987251</v>
      </c>
      <c r="AI13" s="603">
        <v>740406.94819153205</v>
      </c>
      <c r="AJ13" s="603">
        <v>745043.80194462615</v>
      </c>
      <c r="AK13" s="603">
        <v>777264.68272232288</v>
      </c>
      <c r="AL13" s="603">
        <v>913118.70252510789</v>
      </c>
      <c r="AM13" s="603">
        <v>1202308.5029758343</v>
      </c>
      <c r="AN13" s="603">
        <v>1507001.3494378093</v>
      </c>
      <c r="AO13" s="603">
        <v>1699512.9665257749</v>
      </c>
      <c r="AP13" s="603">
        <v>1750400.7107487984</v>
      </c>
      <c r="AQ13" s="604">
        <v>1561763.9217940117</v>
      </c>
      <c r="AR13" s="605">
        <v>1562017.6336391803</v>
      </c>
      <c r="AT13" s="455"/>
      <c r="AU13" s="455"/>
    </row>
    <row r="14" spans="1:47" ht="13">
      <c r="A14" s="602" t="s">
        <v>1070</v>
      </c>
      <c r="B14" s="603">
        <v>86.039914683782257</v>
      </c>
      <c r="C14" s="603">
        <v>90.306297803000334</v>
      </c>
      <c r="D14" s="603">
        <v>98.775453768310726</v>
      </c>
      <c r="E14" s="603">
        <v>114.78873108099326</v>
      </c>
      <c r="F14" s="603">
        <v>124.60085278638822</v>
      </c>
      <c r="G14" s="603">
        <v>144.77144752908546</v>
      </c>
      <c r="H14" s="603">
        <v>151.17340198675498</v>
      </c>
      <c r="I14" s="603">
        <v>175.84542592319545</v>
      </c>
      <c r="J14" s="603">
        <v>191.56464088348113</v>
      </c>
      <c r="K14" s="603">
        <v>196.26695040761751</v>
      </c>
      <c r="L14" s="603">
        <v>225.05135378986725</v>
      </c>
      <c r="M14" s="603">
        <v>255.2716041458043</v>
      </c>
      <c r="N14" s="603">
        <v>325.67715080887018</v>
      </c>
      <c r="O14" s="603">
        <v>324.49159949338804</v>
      </c>
      <c r="P14" s="603">
        <v>353.28843117496001</v>
      </c>
      <c r="Q14" s="603">
        <v>458.53749803908227</v>
      </c>
      <c r="R14" s="603">
        <v>810.70923284866274</v>
      </c>
      <c r="S14" s="603">
        <v>1029.5941034251921</v>
      </c>
      <c r="T14" s="603">
        <v>1298.6709880870903</v>
      </c>
      <c r="U14" s="603">
        <v>1616.0713533910262</v>
      </c>
      <c r="V14" s="603">
        <v>1669.8597893765511</v>
      </c>
      <c r="W14" s="603">
        <v>1455.9672583221263</v>
      </c>
      <c r="X14" s="603">
        <v>1900.0643722208765</v>
      </c>
      <c r="Y14" s="603">
        <v>2578.3254631478089</v>
      </c>
      <c r="Z14" s="603">
        <v>3783.407106366516</v>
      </c>
      <c r="AA14" s="603">
        <v>4906.0813252312237</v>
      </c>
      <c r="AB14" s="603">
        <v>15404.408911782726</v>
      </c>
      <c r="AC14" s="603">
        <v>23665.504544638647</v>
      </c>
      <c r="AD14" s="603">
        <v>37103.845715665833</v>
      </c>
      <c r="AE14" s="603">
        <v>59842.544972891257</v>
      </c>
      <c r="AF14" s="603">
        <v>92439.928339212056</v>
      </c>
      <c r="AG14" s="603">
        <v>134225.42377733265</v>
      </c>
      <c r="AH14" s="603">
        <v>172128.8290667361</v>
      </c>
      <c r="AI14" s="603">
        <v>179483.81392174505</v>
      </c>
      <c r="AJ14" s="603">
        <v>165402.87862622549</v>
      </c>
      <c r="AK14" s="603">
        <v>167631.95367644861</v>
      </c>
      <c r="AL14" s="603">
        <v>196830.05907364015</v>
      </c>
      <c r="AM14" s="603">
        <v>276053.23408476455</v>
      </c>
      <c r="AN14" s="603">
        <v>368941.60079588875</v>
      </c>
      <c r="AO14" s="603">
        <v>435653.02334654081</v>
      </c>
      <c r="AP14" s="603">
        <v>479888.96312293812</v>
      </c>
      <c r="AQ14" s="604">
        <v>498028.2867650204</v>
      </c>
      <c r="AR14" s="605">
        <v>542537.10828816518</v>
      </c>
      <c r="AT14" s="455"/>
      <c r="AU14" s="455"/>
    </row>
    <row r="15" spans="1:47" ht="13">
      <c r="A15" s="602" t="s">
        <v>1071</v>
      </c>
      <c r="B15" s="603">
        <v>340.82233582263359</v>
      </c>
      <c r="C15" s="603">
        <v>341.13244318814304</v>
      </c>
      <c r="D15" s="603">
        <v>343.1141376509625</v>
      </c>
      <c r="E15" s="603">
        <v>347.14409209798873</v>
      </c>
      <c r="F15" s="603">
        <v>351.28828024693746</v>
      </c>
      <c r="G15" s="603">
        <v>354.19538854639922</v>
      </c>
      <c r="H15" s="603">
        <v>356.96513240035699</v>
      </c>
      <c r="I15" s="603">
        <v>358.81961463391912</v>
      </c>
      <c r="J15" s="603">
        <v>364.90881711484383</v>
      </c>
      <c r="K15" s="603">
        <v>371.04917545507777</v>
      </c>
      <c r="L15" s="603">
        <v>377.19590041495724</v>
      </c>
      <c r="M15" s="603">
        <v>380.57736938259103</v>
      </c>
      <c r="N15" s="603">
        <v>384.89694539039482</v>
      </c>
      <c r="O15" s="603">
        <v>364.56565511903483</v>
      </c>
      <c r="P15" s="603">
        <v>382.57285461801229</v>
      </c>
      <c r="Q15" s="603">
        <v>495.61075351437972</v>
      </c>
      <c r="R15" s="603">
        <v>567.1268664977564</v>
      </c>
      <c r="S15" s="603">
        <v>567.1788915532386</v>
      </c>
      <c r="T15" s="603">
        <v>990.64234347186061</v>
      </c>
      <c r="U15" s="603">
        <v>859.54598205827949</v>
      </c>
      <c r="V15" s="603">
        <v>1047.1757821578758</v>
      </c>
      <c r="W15" s="603">
        <v>1022.6360963665968</v>
      </c>
      <c r="X15" s="603">
        <v>1154.3345455458252</v>
      </c>
      <c r="Y15" s="603">
        <v>1137.9976733072617</v>
      </c>
      <c r="Z15" s="603">
        <v>1528.3711277726932</v>
      </c>
      <c r="AA15" s="603">
        <v>1210.6851459523518</v>
      </c>
      <c r="AB15" s="603">
        <v>988.53686132742109</v>
      </c>
      <c r="AC15" s="603">
        <v>1601.6960638692908</v>
      </c>
      <c r="AD15" s="603">
        <v>2613.4461567025623</v>
      </c>
      <c r="AE15" s="603">
        <v>3207.7406238395843</v>
      </c>
      <c r="AF15" s="603">
        <v>3162.8061641292238</v>
      </c>
      <c r="AG15" s="603">
        <v>4996.4220200519867</v>
      </c>
      <c r="AH15" s="603">
        <v>4942.7905681396223</v>
      </c>
      <c r="AI15" s="603">
        <v>7807</v>
      </c>
      <c r="AJ15" s="603">
        <v>9826</v>
      </c>
      <c r="AK15" s="603">
        <v>11764</v>
      </c>
      <c r="AL15" s="603">
        <v>12442</v>
      </c>
      <c r="AM15" s="603">
        <v>12657</v>
      </c>
      <c r="AN15" s="603">
        <v>12507</v>
      </c>
      <c r="AO15" s="603">
        <v>12184</v>
      </c>
      <c r="AP15" s="603">
        <v>11716</v>
      </c>
      <c r="AQ15" s="604">
        <v>11248</v>
      </c>
      <c r="AR15" s="605">
        <v>11639</v>
      </c>
      <c r="AT15" s="455"/>
      <c r="AU15" s="455"/>
    </row>
    <row r="16" spans="1:47" ht="13">
      <c r="A16" s="602" t="s">
        <v>1072</v>
      </c>
      <c r="B16" s="603">
        <v>3251.2078457710249</v>
      </c>
      <c r="C16" s="603">
        <v>3828.5801853841963</v>
      </c>
      <c r="D16" s="603">
        <v>4010.2254810809795</v>
      </c>
      <c r="E16" s="603">
        <v>5195.9340496789619</v>
      </c>
      <c r="F16" s="603">
        <v>4309.0619574949296</v>
      </c>
      <c r="G16" s="603">
        <v>4674.3701412893233</v>
      </c>
      <c r="H16" s="603">
        <v>4885.5604970271534</v>
      </c>
      <c r="I16" s="603">
        <v>4936.6955201423852</v>
      </c>
      <c r="J16" s="603">
        <v>4691.9811692258827</v>
      </c>
      <c r="K16" s="603">
        <v>4801.4062096658508</v>
      </c>
      <c r="L16" s="603">
        <v>5032.2664273664086</v>
      </c>
      <c r="M16" s="603">
        <v>5453.283114752302</v>
      </c>
      <c r="N16" s="603">
        <v>5824.8477247239853</v>
      </c>
      <c r="O16" s="603">
        <v>6345.4023238848931</v>
      </c>
      <c r="P16" s="603">
        <v>6790.8213514443041</v>
      </c>
      <c r="Q16" s="603">
        <v>7201.8715249387405</v>
      </c>
      <c r="R16" s="603">
        <v>7403.586479776136</v>
      </c>
      <c r="S16" s="603">
        <v>7730.9342562094134</v>
      </c>
      <c r="T16" s="603">
        <v>7167.0785262157997</v>
      </c>
      <c r="U16" s="603">
        <v>8374.563030022533</v>
      </c>
      <c r="V16" s="603">
        <v>9001.3509017301258</v>
      </c>
      <c r="W16" s="603">
        <v>2854.2868787298135</v>
      </c>
      <c r="X16" s="603">
        <v>993.60740547447529</v>
      </c>
      <c r="Y16" s="603">
        <v>1158.3099795226167</v>
      </c>
      <c r="Z16" s="603">
        <v>5625.4824109726724</v>
      </c>
      <c r="AA16" s="603">
        <v>8504.5239803418481</v>
      </c>
      <c r="AB16" s="603">
        <v>9887.914027391038</v>
      </c>
      <c r="AC16" s="603">
        <v>14342.791541796747</v>
      </c>
      <c r="AD16" s="603">
        <v>19446.245178627134</v>
      </c>
      <c r="AE16" s="603">
        <v>20381.006238097594</v>
      </c>
      <c r="AF16" s="603">
        <v>21315.767297568054</v>
      </c>
      <c r="AG16" s="603">
        <v>28802.563723441875</v>
      </c>
      <c r="AH16" s="603">
        <v>32007.768773841002</v>
      </c>
      <c r="AI16" s="603">
        <v>54728.368934790211</v>
      </c>
      <c r="AJ16" s="603">
        <v>72423.49922576666</v>
      </c>
      <c r="AK16" s="603">
        <v>90259.420148243051</v>
      </c>
      <c r="AL16" s="603">
        <v>111781.84216430412</v>
      </c>
      <c r="AM16" s="603">
        <v>73550.267890075527</v>
      </c>
      <c r="AN16" s="603">
        <v>67937.735354032513</v>
      </c>
      <c r="AO16" s="603">
        <v>61217.891280640324</v>
      </c>
      <c r="AP16" s="603">
        <v>43278.984306411367</v>
      </c>
      <c r="AQ16" s="604">
        <v>84301.463860836579</v>
      </c>
      <c r="AR16" s="605">
        <v>104930.13047301114</v>
      </c>
      <c r="AT16" s="455"/>
      <c r="AU16" s="455"/>
    </row>
    <row r="17" spans="1:48" ht="13">
      <c r="A17" s="602" t="s">
        <v>1073</v>
      </c>
      <c r="B17" s="603">
        <v>1845.6511497882777</v>
      </c>
      <c r="C17" s="603">
        <v>2065.8052263394829</v>
      </c>
      <c r="D17" s="603">
        <v>2229.5916524128547</v>
      </c>
      <c r="E17" s="603">
        <v>2425.9297641270628</v>
      </c>
      <c r="F17" s="603">
        <v>2555.9531647927392</v>
      </c>
      <c r="G17" s="603">
        <v>2807.6710235156434</v>
      </c>
      <c r="H17" s="603">
        <v>3169.6853928300079</v>
      </c>
      <c r="I17" s="603">
        <v>3412.4823638929406</v>
      </c>
      <c r="J17" s="603">
        <v>3957.2793524207295</v>
      </c>
      <c r="K17" s="603">
        <v>4411.3742447353789</v>
      </c>
      <c r="L17" s="603">
        <v>4976.6720716449681</v>
      </c>
      <c r="M17" s="603">
        <v>5379.6766921436847</v>
      </c>
      <c r="N17" s="603">
        <v>5715.4514114640169</v>
      </c>
      <c r="O17" s="603">
        <v>6290.8648285487325</v>
      </c>
      <c r="P17" s="603">
        <v>7568.3565571731124</v>
      </c>
      <c r="Q17" s="603">
        <v>8199.8651509019746</v>
      </c>
      <c r="R17" s="603">
        <v>9588.6987344962836</v>
      </c>
      <c r="S17" s="603">
        <v>11159.2863481444</v>
      </c>
      <c r="T17" s="603">
        <v>13582.624304156327</v>
      </c>
      <c r="U17" s="603">
        <v>18727.369927230939</v>
      </c>
      <c r="V17" s="603">
        <v>23700.583184666946</v>
      </c>
      <c r="W17" s="603">
        <v>33329.100945642087</v>
      </c>
      <c r="X17" s="603">
        <v>47639.055747204002</v>
      </c>
      <c r="Y17" s="603">
        <v>69575.337985154649</v>
      </c>
      <c r="Z17" s="603">
        <v>86763.993643757814</v>
      </c>
      <c r="AA17" s="603">
        <v>102426.48653337341</v>
      </c>
      <c r="AB17" s="603">
        <v>123796.27933256955</v>
      </c>
      <c r="AC17" s="603">
        <v>176838.89906709045</v>
      </c>
      <c r="AD17" s="603">
        <v>233252.36435835657</v>
      </c>
      <c r="AE17" s="603">
        <v>296362.75377948978</v>
      </c>
      <c r="AF17" s="603">
        <v>375030.33424344327</v>
      </c>
      <c r="AG17" s="603">
        <v>451518.30498816527</v>
      </c>
      <c r="AH17" s="603">
        <v>572659.59765956574</v>
      </c>
      <c r="AI17" s="603">
        <v>650980.05382362998</v>
      </c>
      <c r="AJ17" s="603">
        <v>805262.720435319</v>
      </c>
      <c r="AK17" s="603">
        <v>912114.39840124734</v>
      </c>
      <c r="AL17" s="603">
        <v>1094585.4289768068</v>
      </c>
      <c r="AM17" s="603">
        <v>1340798.9680196045</v>
      </c>
      <c r="AN17" s="603">
        <v>1700232.2121401515</v>
      </c>
      <c r="AO17" s="603">
        <v>2095572.7759282559</v>
      </c>
      <c r="AP17" s="603">
        <v>2300289.7556083533</v>
      </c>
      <c r="AQ17" s="604">
        <v>2494047.7216140674</v>
      </c>
      <c r="AR17" s="605">
        <v>2769331.4229541332</v>
      </c>
      <c r="AT17" s="455"/>
      <c r="AU17" s="455"/>
    </row>
    <row r="18" spans="1:48" ht="13">
      <c r="A18" s="602" t="s">
        <v>1074</v>
      </c>
      <c r="B18" s="603">
        <v>1207.0606952896105</v>
      </c>
      <c r="C18" s="603">
        <v>1244.5762556758327</v>
      </c>
      <c r="D18" s="603">
        <v>1306.1627414619807</v>
      </c>
      <c r="E18" s="603">
        <v>1408.9392751858084</v>
      </c>
      <c r="F18" s="603">
        <v>1495.8681301659976</v>
      </c>
      <c r="G18" s="603">
        <v>1666.6179926388256</v>
      </c>
      <c r="H18" s="603">
        <v>1863.8652309651343</v>
      </c>
      <c r="I18" s="603">
        <v>1941.5137015739008</v>
      </c>
      <c r="J18" s="603">
        <v>2083.4010341342027</v>
      </c>
      <c r="K18" s="603">
        <v>2272.8879692648061</v>
      </c>
      <c r="L18" s="603">
        <v>2438.3980707739474</v>
      </c>
      <c r="M18" s="603">
        <v>2759.4526747755062</v>
      </c>
      <c r="N18" s="603">
        <v>3355.3911801506351</v>
      </c>
      <c r="O18" s="603">
        <v>3672.3742805648185</v>
      </c>
      <c r="P18" s="603">
        <v>4035.0483802585454</v>
      </c>
      <c r="Q18" s="603">
        <v>4492.6059321101375</v>
      </c>
      <c r="R18" s="603">
        <v>5057.2477416149541</v>
      </c>
      <c r="S18" s="603">
        <v>6070.8310932172917</v>
      </c>
      <c r="T18" s="603">
        <v>6723.8970201897318</v>
      </c>
      <c r="U18" s="603">
        <v>7566.6488347313325</v>
      </c>
      <c r="V18" s="603">
        <v>9144.3192205826726</v>
      </c>
      <c r="W18" s="603">
        <v>11284.790295631126</v>
      </c>
      <c r="X18" s="603">
        <v>14041.852303673268</v>
      </c>
      <c r="Y18" s="603">
        <v>21402.57404884266</v>
      </c>
      <c r="Z18" s="603">
        <v>27642.514020614803</v>
      </c>
      <c r="AA18" s="603">
        <v>35356.842295351278</v>
      </c>
      <c r="AB18" s="603">
        <v>46554.438028506338</v>
      </c>
      <c r="AC18" s="603">
        <v>56998.0492982508</v>
      </c>
      <c r="AD18" s="603">
        <v>81177.226434156721</v>
      </c>
      <c r="AE18" s="603">
        <v>105922.26628662889</v>
      </c>
      <c r="AF18" s="603">
        <v>136003.67166739784</v>
      </c>
      <c r="AG18" s="603">
        <v>176576.51179531531</v>
      </c>
      <c r="AH18" s="603">
        <v>227160.02544081945</v>
      </c>
      <c r="AI18" s="603">
        <v>204524.72212311588</v>
      </c>
      <c r="AJ18" s="603">
        <v>205994.53218135206</v>
      </c>
      <c r="AK18" s="603">
        <v>315534.07159356907</v>
      </c>
      <c r="AL18" s="603">
        <v>465288.66568122216</v>
      </c>
      <c r="AM18" s="603">
        <v>536100.1022373006</v>
      </c>
      <c r="AN18" s="603">
        <v>685528.46533992409</v>
      </c>
      <c r="AO18" s="603">
        <v>906418.01513141789</v>
      </c>
      <c r="AP18" s="603">
        <v>923783.70809773903</v>
      </c>
      <c r="AQ18" s="604">
        <v>970471.61324581667</v>
      </c>
      <c r="AR18" s="605">
        <v>1034843.6023361364</v>
      </c>
      <c r="AT18" s="455"/>
      <c r="AU18" s="455"/>
    </row>
    <row r="19" spans="1:48" ht="13">
      <c r="A19" s="602" t="s">
        <v>1075</v>
      </c>
      <c r="B19" s="603">
        <v>2847.113327770388</v>
      </c>
      <c r="C19" s="603">
        <v>2939.5958077407345</v>
      </c>
      <c r="D19" s="603">
        <v>3343.4837375155189</v>
      </c>
      <c r="E19" s="603">
        <v>3570.6734345367495</v>
      </c>
      <c r="F19" s="603">
        <v>3900.9120693991308</v>
      </c>
      <c r="G19" s="603">
        <v>4119.4269387098429</v>
      </c>
      <c r="H19" s="603">
        <v>4346.2013501921201</v>
      </c>
      <c r="I19" s="603">
        <v>4703.4307047551129</v>
      </c>
      <c r="J19" s="603">
        <v>5377.4236971670589</v>
      </c>
      <c r="K19" s="603">
        <v>5969.5011737893255</v>
      </c>
      <c r="L19" s="603">
        <v>6725.8583210678626</v>
      </c>
      <c r="M19" s="603">
        <v>7561.8837648698754</v>
      </c>
      <c r="N19" s="603">
        <v>8209.5674884751588</v>
      </c>
      <c r="O19" s="603">
        <v>9235.1248921180522</v>
      </c>
      <c r="P19" s="603">
        <v>10607.608400864501</v>
      </c>
      <c r="Q19" s="603">
        <v>11742.243714949045</v>
      </c>
      <c r="R19" s="603">
        <v>13793.66693039241</v>
      </c>
      <c r="S19" s="603">
        <v>16954.127117754455</v>
      </c>
      <c r="T19" s="603">
        <v>21187.466427209059</v>
      </c>
      <c r="U19" s="603">
        <v>25794.93217394657</v>
      </c>
      <c r="V19" s="603">
        <v>31397.703873734798</v>
      </c>
      <c r="W19" s="603">
        <v>41204.950864927414</v>
      </c>
      <c r="X19" s="603">
        <v>55765.33210564372</v>
      </c>
      <c r="Y19" s="603">
        <v>65945.003154861188</v>
      </c>
      <c r="Z19" s="603">
        <v>86272.302801395868</v>
      </c>
      <c r="AA19" s="603">
        <v>104527.41109659303</v>
      </c>
      <c r="AB19" s="603">
        <v>126116.65810562404</v>
      </c>
      <c r="AC19" s="603">
        <v>172277.35573713199</v>
      </c>
      <c r="AD19" s="603">
        <v>216951.06969799861</v>
      </c>
      <c r="AE19" s="603">
        <v>291354.75663951191</v>
      </c>
      <c r="AF19" s="603">
        <v>369431.84443760733</v>
      </c>
      <c r="AG19" s="603">
        <v>431927.99326849304</v>
      </c>
      <c r="AH19" s="603">
        <v>525876.68347728741</v>
      </c>
      <c r="AI19" s="603">
        <v>647663.69562368747</v>
      </c>
      <c r="AJ19" s="603">
        <v>791936.19337075367</v>
      </c>
      <c r="AK19" s="603">
        <v>908130.53831153747</v>
      </c>
      <c r="AL19" s="603">
        <v>1097031.8509296279</v>
      </c>
      <c r="AM19" s="603">
        <v>1310967.3961520225</v>
      </c>
      <c r="AN19" s="603">
        <v>1593645.2168076688</v>
      </c>
      <c r="AO19" s="603">
        <v>1968122.0744774828</v>
      </c>
      <c r="AP19" s="603">
        <v>2178755.4913024278</v>
      </c>
      <c r="AQ19" s="604">
        <v>2226653.6796140675</v>
      </c>
      <c r="AR19" s="605">
        <v>2598544.6339541329</v>
      </c>
      <c r="AT19" s="455"/>
      <c r="AU19" s="455"/>
    </row>
    <row r="20" spans="1:48" ht="13">
      <c r="A20" s="602" t="s">
        <v>1063</v>
      </c>
      <c r="B20" s="603">
        <v>2426.053077770388</v>
      </c>
      <c r="C20" s="603">
        <v>2497.2145577407346</v>
      </c>
      <c r="D20" s="603">
        <v>2814.8917375155193</v>
      </c>
      <c r="E20" s="603">
        <v>2997.6706845367494</v>
      </c>
      <c r="F20" s="603">
        <v>3282.6798193991308</v>
      </c>
      <c r="G20" s="603">
        <v>3475.1906887098426</v>
      </c>
      <c r="H20" s="603">
        <v>3632.3887981096927</v>
      </c>
      <c r="I20" s="603">
        <v>3923.078049326627</v>
      </c>
      <c r="J20" s="603">
        <v>4510.7735207574588</v>
      </c>
      <c r="K20" s="603">
        <v>4985.1997421944152</v>
      </c>
      <c r="L20" s="603">
        <v>5625.1092028439853</v>
      </c>
      <c r="M20" s="603">
        <v>6344.1041301871583</v>
      </c>
      <c r="N20" s="603">
        <v>6946.3962367256254</v>
      </c>
      <c r="O20" s="603">
        <v>7690.348363767599</v>
      </c>
      <c r="P20" s="603">
        <v>8891.1423108332983</v>
      </c>
      <c r="Q20" s="603">
        <v>9864.3522416694723</v>
      </c>
      <c r="R20" s="603">
        <v>11339.162461002716</v>
      </c>
      <c r="S20" s="603">
        <v>13858.225799254555</v>
      </c>
      <c r="T20" s="603">
        <v>17417.03597373503</v>
      </c>
      <c r="U20" s="603">
        <v>21239.827366110068</v>
      </c>
      <c r="V20" s="603">
        <v>25784.442093810336</v>
      </c>
      <c r="W20" s="603">
        <v>34164.577661066658</v>
      </c>
      <c r="X20" s="603">
        <v>44169.079258158643</v>
      </c>
      <c r="Y20" s="603">
        <v>51771.782396137314</v>
      </c>
      <c r="Z20" s="603">
        <v>69306.278620999554</v>
      </c>
      <c r="AA20" s="603">
        <v>83369.561527204467</v>
      </c>
      <c r="AB20" s="603">
        <v>101900.00789399847</v>
      </c>
      <c r="AC20" s="603">
        <v>137536.16204812119</v>
      </c>
      <c r="AD20" s="603">
        <v>172767.57987892412</v>
      </c>
      <c r="AE20" s="603">
        <v>237168.02962612791</v>
      </c>
      <c r="AF20" s="603">
        <v>297480.92423399282</v>
      </c>
      <c r="AG20" s="603">
        <v>346540.11976123753</v>
      </c>
      <c r="AH20" s="603">
        <v>422553.91518453846</v>
      </c>
      <c r="AI20" s="603">
        <v>519621.84050434839</v>
      </c>
      <c r="AJ20" s="603">
        <v>615843.41121355351</v>
      </c>
      <c r="AK20" s="603">
        <v>680800.78707927128</v>
      </c>
      <c r="AL20" s="603">
        <v>819422.69782984187</v>
      </c>
      <c r="AM20" s="603">
        <v>972792.39615202253</v>
      </c>
      <c r="AN20" s="603">
        <v>1169472.2168076688</v>
      </c>
      <c r="AO20" s="603">
        <v>1482276.0744774828</v>
      </c>
      <c r="AP20" s="603">
        <v>1670525.4913024278</v>
      </c>
      <c r="AQ20" s="604">
        <v>1657100.6796140675</v>
      </c>
      <c r="AR20" s="605">
        <v>1968247.6339541331</v>
      </c>
      <c r="AT20" s="455"/>
      <c r="AU20" s="455"/>
    </row>
    <row r="21" spans="1:48" ht="13">
      <c r="A21" s="602" t="s">
        <v>1076</v>
      </c>
      <c r="B21" s="603" t="s">
        <v>640</v>
      </c>
      <c r="C21" s="603" t="s">
        <v>640</v>
      </c>
      <c r="D21" s="603" t="s">
        <v>640</v>
      </c>
      <c r="E21" s="603" t="s">
        <v>640</v>
      </c>
      <c r="F21" s="603" t="s">
        <v>640</v>
      </c>
      <c r="G21" s="603" t="s">
        <v>640</v>
      </c>
      <c r="H21" s="603" t="s">
        <v>640</v>
      </c>
      <c r="I21" s="603" t="s">
        <v>640</v>
      </c>
      <c r="J21" s="603" t="s">
        <v>640</v>
      </c>
      <c r="K21" s="603" t="s">
        <v>640</v>
      </c>
      <c r="L21" s="603" t="s">
        <v>640</v>
      </c>
      <c r="M21" s="603" t="s">
        <v>640</v>
      </c>
      <c r="N21" s="603" t="s">
        <v>640</v>
      </c>
      <c r="O21" s="603" t="s">
        <v>640</v>
      </c>
      <c r="P21" s="603" t="s">
        <v>640</v>
      </c>
      <c r="Q21" s="603" t="s">
        <v>640</v>
      </c>
      <c r="R21" s="603" t="s">
        <v>640</v>
      </c>
      <c r="S21" s="603" t="s">
        <v>640</v>
      </c>
      <c r="T21" s="603" t="s">
        <v>640</v>
      </c>
      <c r="U21" s="603" t="s">
        <v>640</v>
      </c>
      <c r="V21" s="603" t="s">
        <v>640</v>
      </c>
      <c r="W21" s="603" t="s">
        <v>640</v>
      </c>
      <c r="X21" s="603" t="s">
        <v>640</v>
      </c>
      <c r="Y21" s="603" t="s">
        <v>640</v>
      </c>
      <c r="Z21" s="603">
        <v>1060.4007916515934</v>
      </c>
      <c r="AA21" s="603">
        <v>1068.9056424625437</v>
      </c>
      <c r="AB21" s="603">
        <v>1376.3447091362855</v>
      </c>
      <c r="AC21" s="603">
        <v>2051.2213022093706</v>
      </c>
      <c r="AD21" s="603">
        <v>2451.4694744860963</v>
      </c>
      <c r="AE21" s="603">
        <v>3334.6770048998551</v>
      </c>
      <c r="AF21" s="603">
        <v>4701.9687591044676</v>
      </c>
      <c r="AG21" s="603">
        <v>5536.7425432104219</v>
      </c>
      <c r="AH21" s="603">
        <v>6515.9008526874277</v>
      </c>
      <c r="AI21" s="603">
        <v>9148.7529771904956</v>
      </c>
      <c r="AJ21" s="603">
        <v>15791.704346488801</v>
      </c>
      <c r="AK21" s="603">
        <v>22206.430524357023</v>
      </c>
      <c r="AL21" s="603">
        <v>25308.457204771545</v>
      </c>
      <c r="AM21" s="603">
        <v>28883</v>
      </c>
      <c r="AN21" s="603">
        <v>35146</v>
      </c>
      <c r="AO21" s="603">
        <v>39189</v>
      </c>
      <c r="AP21" s="603">
        <v>45462</v>
      </c>
      <c r="AQ21" s="604">
        <v>62622</v>
      </c>
      <c r="AR21" s="605">
        <v>78052</v>
      </c>
      <c r="AT21" s="455"/>
      <c r="AU21" s="455"/>
    </row>
    <row r="22" spans="1:48" ht="13">
      <c r="A22" s="602" t="s">
        <v>1077</v>
      </c>
      <c r="B22" s="603">
        <v>421.06025</v>
      </c>
      <c r="C22" s="603">
        <v>442.38125000000002</v>
      </c>
      <c r="D22" s="603">
        <v>528.59199999999998</v>
      </c>
      <c r="E22" s="603">
        <v>573.00275000000011</v>
      </c>
      <c r="F22" s="603">
        <v>618.23225000000002</v>
      </c>
      <c r="G22" s="603">
        <v>644.23625000000004</v>
      </c>
      <c r="H22" s="603">
        <v>713.8125520824276</v>
      </c>
      <c r="I22" s="603">
        <v>780.35265542848617</v>
      </c>
      <c r="J22" s="603">
        <v>866.65017640959979</v>
      </c>
      <c r="K22" s="603">
        <v>984.30143159491058</v>
      </c>
      <c r="L22" s="603">
        <v>1100.7491182238773</v>
      </c>
      <c r="M22" s="603">
        <v>1217.7796346827176</v>
      </c>
      <c r="N22" s="603">
        <v>1263.1712517495328</v>
      </c>
      <c r="O22" s="603">
        <v>1544.7765283504532</v>
      </c>
      <c r="P22" s="603">
        <v>1716.4660900312024</v>
      </c>
      <c r="Q22" s="603">
        <v>1877.891473279574</v>
      </c>
      <c r="R22" s="603">
        <v>2454.5044693896953</v>
      </c>
      <c r="S22" s="603">
        <v>3095.9013184999003</v>
      </c>
      <c r="T22" s="603">
        <v>3770.4304534740313</v>
      </c>
      <c r="U22" s="603">
        <v>4555.1048078365047</v>
      </c>
      <c r="V22" s="603">
        <v>5613.2617799244663</v>
      </c>
      <c r="W22" s="603">
        <v>7040.3732038607568</v>
      </c>
      <c r="X22" s="603">
        <v>11596.252847485071</v>
      </c>
      <c r="Y22" s="603">
        <v>14173.220758723864</v>
      </c>
      <c r="Z22" s="603">
        <v>15905.623388744732</v>
      </c>
      <c r="AA22" s="603">
        <v>20088.943926926015</v>
      </c>
      <c r="AB22" s="603">
        <v>22840.305502489282</v>
      </c>
      <c r="AC22" s="603">
        <v>32689.972386801437</v>
      </c>
      <c r="AD22" s="603">
        <v>41732.020344588396</v>
      </c>
      <c r="AE22" s="603">
        <v>50852.050008484133</v>
      </c>
      <c r="AF22" s="603">
        <v>67248.951444510007</v>
      </c>
      <c r="AG22" s="603">
        <v>79851.130964045049</v>
      </c>
      <c r="AH22" s="603">
        <v>96806.867440061513</v>
      </c>
      <c r="AI22" s="603">
        <v>118893.10214214859</v>
      </c>
      <c r="AJ22" s="603">
        <v>160301.07781071131</v>
      </c>
      <c r="AK22" s="603">
        <v>205123.32070790921</v>
      </c>
      <c r="AL22" s="603">
        <v>252300.69589501436</v>
      </c>
      <c r="AM22" s="603">
        <v>309292</v>
      </c>
      <c r="AN22" s="603">
        <v>389027</v>
      </c>
      <c r="AO22" s="603">
        <v>446657</v>
      </c>
      <c r="AP22" s="603">
        <v>462768</v>
      </c>
      <c r="AQ22" s="604">
        <v>506931</v>
      </c>
      <c r="AR22" s="605">
        <v>552245</v>
      </c>
      <c r="AT22" s="455"/>
      <c r="AU22" s="455"/>
    </row>
    <row r="23" spans="1:48" ht="13">
      <c r="A23" s="602" t="s">
        <v>1078</v>
      </c>
      <c r="B23" s="603">
        <v>1215.5617461781649</v>
      </c>
      <c r="C23" s="603">
        <v>1227.9464711669725</v>
      </c>
      <c r="D23" s="603">
        <v>1430.3506017538464</v>
      </c>
      <c r="E23" s="603">
        <v>1822.7966487606009</v>
      </c>
      <c r="F23" s="603">
        <v>2432.9407832888</v>
      </c>
      <c r="G23" s="603">
        <v>2550.3970970261689</v>
      </c>
      <c r="H23" s="603">
        <v>2825.9572071483972</v>
      </c>
      <c r="I23" s="603">
        <v>2863.4041451079056</v>
      </c>
      <c r="J23" s="603">
        <v>2548.0447016354269</v>
      </c>
      <c r="K23" s="603">
        <v>2928.650699918986</v>
      </c>
      <c r="L23" s="603">
        <v>3531.3114370588437</v>
      </c>
      <c r="M23" s="603">
        <v>3980</v>
      </c>
      <c r="N23" s="603">
        <v>4553</v>
      </c>
      <c r="O23" s="603">
        <v>5763</v>
      </c>
      <c r="P23" s="603">
        <v>7810</v>
      </c>
      <c r="Q23" s="603">
        <v>9085</v>
      </c>
      <c r="R23" s="603">
        <v>12021</v>
      </c>
      <c r="S23" s="603">
        <v>14619</v>
      </c>
      <c r="T23" s="603">
        <v>19209</v>
      </c>
      <c r="U23" s="603">
        <v>24047</v>
      </c>
      <c r="V23" s="603">
        <v>27328</v>
      </c>
      <c r="W23" s="603">
        <v>29288</v>
      </c>
      <c r="X23" s="603">
        <v>29616</v>
      </c>
      <c r="Y23" s="603">
        <v>29352</v>
      </c>
      <c r="Z23" s="603">
        <v>44510.695999999996</v>
      </c>
      <c r="AA23" s="603">
        <v>72623</v>
      </c>
      <c r="AB23" s="603">
        <v>121705</v>
      </c>
      <c r="AC23" s="603">
        <v>150436</v>
      </c>
      <c r="AD23" s="603">
        <v>178383</v>
      </c>
      <c r="AE23" s="603">
        <v>213168</v>
      </c>
      <c r="AF23" s="603">
        <v>239564</v>
      </c>
      <c r="AG23" s="603">
        <v>315094</v>
      </c>
      <c r="AH23" s="603">
        <v>358318</v>
      </c>
      <c r="AI23" s="603">
        <v>395619</v>
      </c>
      <c r="AJ23" s="603">
        <v>479923</v>
      </c>
      <c r="AK23" s="603">
        <v>520594</v>
      </c>
      <c r="AL23" s="603">
        <v>587932</v>
      </c>
      <c r="AM23" s="603">
        <v>638308</v>
      </c>
      <c r="AN23" s="603">
        <v>666188</v>
      </c>
      <c r="AO23" s="603">
        <v>641526</v>
      </c>
      <c r="AP23" s="603">
        <v>615095</v>
      </c>
      <c r="AQ23" s="604">
        <v>574436</v>
      </c>
      <c r="AR23" s="605">
        <v>509908</v>
      </c>
      <c r="AT23" s="455"/>
      <c r="AU23" s="455"/>
    </row>
    <row r="24" spans="1:48" ht="13">
      <c r="A24" s="602" t="s">
        <v>1079</v>
      </c>
      <c r="B24" s="603" t="s">
        <v>640</v>
      </c>
      <c r="C24" s="603" t="s">
        <v>640</v>
      </c>
      <c r="D24" s="603" t="s">
        <v>640</v>
      </c>
      <c r="E24" s="603" t="s">
        <v>640</v>
      </c>
      <c r="F24" s="603" t="s">
        <v>640</v>
      </c>
      <c r="G24" s="603" t="s">
        <v>640</v>
      </c>
      <c r="H24" s="603" t="s">
        <v>640</v>
      </c>
      <c r="I24" s="603" t="s">
        <v>640</v>
      </c>
      <c r="J24" s="603" t="s">
        <v>640</v>
      </c>
      <c r="K24" s="603" t="s">
        <v>640</v>
      </c>
      <c r="L24" s="603" t="s">
        <v>640</v>
      </c>
      <c r="M24" s="603" t="s">
        <v>640</v>
      </c>
      <c r="N24" s="603" t="s">
        <v>640</v>
      </c>
      <c r="O24" s="603" t="s">
        <v>640</v>
      </c>
      <c r="P24" s="603" t="s">
        <v>640</v>
      </c>
      <c r="Q24" s="603" t="s">
        <v>640</v>
      </c>
      <c r="R24" s="603" t="s">
        <v>640</v>
      </c>
      <c r="S24" s="603" t="s">
        <v>640</v>
      </c>
      <c r="T24" s="603" t="s">
        <v>640</v>
      </c>
      <c r="U24" s="603" t="s">
        <v>640</v>
      </c>
      <c r="V24" s="603" t="s">
        <v>640</v>
      </c>
      <c r="W24" s="603" t="s">
        <v>640</v>
      </c>
      <c r="X24" s="603">
        <v>20975</v>
      </c>
      <c r="Y24" s="603">
        <v>27623</v>
      </c>
      <c r="Z24" s="603">
        <v>44972</v>
      </c>
      <c r="AA24" s="603">
        <v>74120</v>
      </c>
      <c r="AB24" s="603">
        <v>120175</v>
      </c>
      <c r="AC24" s="603">
        <v>146589</v>
      </c>
      <c r="AD24" s="603">
        <v>175126</v>
      </c>
      <c r="AE24" s="603">
        <v>208380</v>
      </c>
      <c r="AF24" s="603">
        <v>239377</v>
      </c>
      <c r="AG24" s="603">
        <v>316698</v>
      </c>
      <c r="AH24" s="603">
        <v>353665</v>
      </c>
      <c r="AI24" s="603">
        <v>385122</v>
      </c>
      <c r="AJ24" s="603">
        <v>458941</v>
      </c>
      <c r="AK24" s="603">
        <v>488878</v>
      </c>
      <c r="AL24" s="603">
        <v>561919</v>
      </c>
      <c r="AM24" s="603">
        <v>603734</v>
      </c>
      <c r="AN24" s="603">
        <v>655077</v>
      </c>
      <c r="AO24" s="603">
        <v>622786</v>
      </c>
      <c r="AP24" s="603">
        <v>607368</v>
      </c>
      <c r="AQ24" s="604">
        <v>553560</v>
      </c>
      <c r="AR24" s="605">
        <v>505061</v>
      </c>
      <c r="AT24" s="455"/>
      <c r="AU24" s="455"/>
    </row>
    <row r="25" spans="1:48" ht="13">
      <c r="A25" s="602" t="s">
        <v>1080</v>
      </c>
      <c r="B25" s="603" t="s">
        <v>640</v>
      </c>
      <c r="C25" s="603" t="s">
        <v>640</v>
      </c>
      <c r="D25" s="603" t="s">
        <v>640</v>
      </c>
      <c r="E25" s="603" t="s">
        <v>640</v>
      </c>
      <c r="F25" s="603" t="s">
        <v>640</v>
      </c>
      <c r="G25" s="603" t="s">
        <v>640</v>
      </c>
      <c r="H25" s="603" t="s">
        <v>640</v>
      </c>
      <c r="I25" s="603" t="s">
        <v>640</v>
      </c>
      <c r="J25" s="603" t="s">
        <v>640</v>
      </c>
      <c r="K25" s="603" t="s">
        <v>640</v>
      </c>
      <c r="L25" s="603" t="s">
        <v>640</v>
      </c>
      <c r="M25" s="603" t="s">
        <v>640</v>
      </c>
      <c r="N25" s="603" t="s">
        <v>640</v>
      </c>
      <c r="O25" s="603" t="s">
        <v>640</v>
      </c>
      <c r="P25" s="603" t="s">
        <v>640</v>
      </c>
      <c r="Q25" s="603" t="s">
        <v>640</v>
      </c>
      <c r="R25" s="603" t="s">
        <v>640</v>
      </c>
      <c r="S25" s="603" t="s">
        <v>640</v>
      </c>
      <c r="T25" s="603" t="s">
        <v>640</v>
      </c>
      <c r="U25" s="603" t="s">
        <v>640</v>
      </c>
      <c r="V25" s="603" t="s">
        <v>640</v>
      </c>
      <c r="W25" s="603" t="s">
        <v>640</v>
      </c>
      <c r="X25" s="603">
        <v>8641</v>
      </c>
      <c r="Y25" s="603">
        <v>1729</v>
      </c>
      <c r="Z25" s="603">
        <v>-461.30400000000549</v>
      </c>
      <c r="AA25" s="603">
        <v>-1497</v>
      </c>
      <c r="AB25" s="603">
        <v>1530</v>
      </c>
      <c r="AC25" s="603">
        <v>3847.0000000000082</v>
      </c>
      <c r="AD25" s="603">
        <v>3257.000000000005</v>
      </c>
      <c r="AE25" s="603">
        <v>4788.0000000000109</v>
      </c>
      <c r="AF25" s="603">
        <v>186.9999999999834</v>
      </c>
      <c r="AG25" s="603">
        <v>-1603.999999999985</v>
      </c>
      <c r="AH25" s="603">
        <v>4652.9999999999636</v>
      </c>
      <c r="AI25" s="603">
        <v>10497</v>
      </c>
      <c r="AJ25" s="603">
        <v>20982</v>
      </c>
      <c r="AK25" s="603">
        <v>31716.000000000065</v>
      </c>
      <c r="AL25" s="603">
        <v>26013</v>
      </c>
      <c r="AM25" s="603">
        <v>34574</v>
      </c>
      <c r="AN25" s="603">
        <v>11111</v>
      </c>
      <c r="AO25" s="603">
        <v>18740</v>
      </c>
      <c r="AP25" s="603">
        <v>7726.9999999999754</v>
      </c>
      <c r="AQ25" s="604">
        <v>20876.000000000091</v>
      </c>
      <c r="AR25" s="605">
        <v>4847.0000000000364</v>
      </c>
      <c r="AT25" s="455"/>
      <c r="AU25" s="455"/>
    </row>
    <row r="26" spans="1:48" ht="13">
      <c r="A26" s="602" t="s">
        <v>1081</v>
      </c>
      <c r="B26" s="603">
        <v>47958.522135756008</v>
      </c>
      <c r="C26" s="603">
        <v>51997.292707453416</v>
      </c>
      <c r="D26" s="603">
        <v>54096.069822434751</v>
      </c>
      <c r="E26" s="603">
        <v>58119.673034558131</v>
      </c>
      <c r="F26" s="603">
        <v>59891.961176525343</v>
      </c>
      <c r="G26" s="603">
        <v>62154.325043169047</v>
      </c>
      <c r="H26" s="603">
        <v>66097.56902529503</v>
      </c>
      <c r="I26" s="603">
        <v>70426.995401445922</v>
      </c>
      <c r="J26" s="603">
        <v>73407.081978108035</v>
      </c>
      <c r="K26" s="603">
        <v>80358.478111479431</v>
      </c>
      <c r="L26" s="603">
        <v>86030.144943196792</v>
      </c>
      <c r="M26" s="603">
        <v>93154.09235461599</v>
      </c>
      <c r="N26" s="603">
        <v>104022.10390000157</v>
      </c>
      <c r="O26" s="603">
        <v>113934.47643779604</v>
      </c>
      <c r="P26" s="603">
        <v>131412.95285073525</v>
      </c>
      <c r="Q26" s="603">
        <v>143289.04513337315</v>
      </c>
      <c r="R26" s="603">
        <v>157003.63740793141</v>
      </c>
      <c r="S26" s="603">
        <v>177871.14822822178</v>
      </c>
      <c r="T26" s="603">
        <v>208060.65174096238</v>
      </c>
      <c r="U26" s="603">
        <v>248589.87450776159</v>
      </c>
      <c r="V26" s="603">
        <v>292004.81095575378</v>
      </c>
      <c r="W26" s="603">
        <v>354894.23825762281</v>
      </c>
      <c r="X26" s="603">
        <v>444767.3409018949</v>
      </c>
      <c r="Y26" s="603">
        <v>520325.27523752186</v>
      </c>
      <c r="Z26" s="603">
        <v>583226.46436027589</v>
      </c>
      <c r="AA26" s="603">
        <v>736442.8733814325</v>
      </c>
      <c r="AB26" s="603">
        <v>932623.7319025133</v>
      </c>
      <c r="AC26" s="603">
        <v>1204923.6378126862</v>
      </c>
      <c r="AD26" s="603">
        <v>1523729.2285536865</v>
      </c>
      <c r="AE26" s="603">
        <v>1915810.4088154361</v>
      </c>
      <c r="AF26" s="603">
        <v>2356919.9423593231</v>
      </c>
      <c r="AG26" s="603">
        <v>2872204.0018974557</v>
      </c>
      <c r="AH26" s="603">
        <v>3448086.5781266754</v>
      </c>
      <c r="AI26" s="603">
        <v>4048217.8749689977</v>
      </c>
      <c r="AJ26" s="603">
        <v>4762457.4802640397</v>
      </c>
      <c r="AK26" s="603">
        <v>5332681.7237713393</v>
      </c>
      <c r="AL26" s="603">
        <v>6402906.9321268536</v>
      </c>
      <c r="AM26" s="603">
        <v>7663183.7259528367</v>
      </c>
      <c r="AN26" s="603">
        <v>9000582.0292002745</v>
      </c>
      <c r="AO26" s="603">
        <v>10061058.913237449</v>
      </c>
      <c r="AP26" s="603">
        <v>10587329.73210706</v>
      </c>
      <c r="AQ26" s="604">
        <v>11028119.519727534</v>
      </c>
      <c r="AR26" s="605">
        <v>11839425.818364117</v>
      </c>
      <c r="AS26" s="455"/>
      <c r="AT26" s="455"/>
      <c r="AU26" s="455"/>
      <c r="AV26" s="455"/>
    </row>
    <row r="27" spans="1:48" ht="13">
      <c r="A27" s="602" t="s">
        <v>1082</v>
      </c>
      <c r="B27" s="603">
        <v>46230.327393793144</v>
      </c>
      <c r="C27" s="603">
        <v>48314.066372244924</v>
      </c>
      <c r="D27" s="603">
        <v>50945.51870770879</v>
      </c>
      <c r="E27" s="603">
        <v>52390.72005878255</v>
      </c>
      <c r="F27" s="603">
        <v>56389.226146859939</v>
      </c>
      <c r="G27" s="603">
        <v>57673.534002906061</v>
      </c>
      <c r="H27" s="603">
        <v>61522.797800721099</v>
      </c>
      <c r="I27" s="603">
        <v>66199.649523392887</v>
      </c>
      <c r="J27" s="603">
        <v>68361.879868757664</v>
      </c>
      <c r="K27" s="603">
        <v>72990.540252347942</v>
      </c>
      <c r="L27" s="603">
        <v>75519.209169446505</v>
      </c>
      <c r="M27" s="603">
        <v>79904.238756503197</v>
      </c>
      <c r="N27" s="603">
        <v>92884.836477706631</v>
      </c>
      <c r="O27" s="603">
        <v>95022.648921394109</v>
      </c>
      <c r="P27" s="603">
        <v>106639.0266138374</v>
      </c>
      <c r="Q27" s="603">
        <v>118474.76718141047</v>
      </c>
      <c r="R27" s="603">
        <v>122494.11170260918</v>
      </c>
      <c r="S27" s="603">
        <v>138213.47355115786</v>
      </c>
      <c r="T27" s="603">
        <v>153960.5892709808</v>
      </c>
      <c r="U27" s="603">
        <v>173103.97716479262</v>
      </c>
      <c r="V27" s="603">
        <v>211388.76842327195</v>
      </c>
      <c r="W27" s="603">
        <v>275314.0818083465</v>
      </c>
      <c r="X27" s="603">
        <v>326199.41686338861</v>
      </c>
      <c r="Y27" s="603">
        <v>383984.60214033822</v>
      </c>
      <c r="Z27" s="603">
        <v>465406.23051456152</v>
      </c>
      <c r="AA27" s="603">
        <v>566044.12186422769</v>
      </c>
      <c r="AB27" s="603">
        <v>705994.03849614621</v>
      </c>
      <c r="AC27" s="603">
        <v>929534.44880419876</v>
      </c>
      <c r="AD27" s="603">
        <v>1156023.8536032569</v>
      </c>
      <c r="AE27" s="603">
        <v>1400531.1465849287</v>
      </c>
      <c r="AF27" s="603">
        <v>1755968.4415770704</v>
      </c>
      <c r="AG27" s="603">
        <v>2200839.2828469463</v>
      </c>
      <c r="AH27" s="603">
        <v>2576368.8081422271</v>
      </c>
      <c r="AI27" s="603">
        <v>3094471.7551785158</v>
      </c>
      <c r="AJ27" s="603">
        <v>3598136.8669861131</v>
      </c>
      <c r="AK27" s="603">
        <v>4403302.5636519091</v>
      </c>
      <c r="AL27" s="603">
        <v>5086215.7137179812</v>
      </c>
      <c r="AM27" s="603">
        <v>6079552.1645582356</v>
      </c>
      <c r="AN27" s="603">
        <v>7318463.5741781089</v>
      </c>
      <c r="AO27" s="603">
        <v>8287971.833317291</v>
      </c>
      <c r="AP27" s="603">
        <v>8952242.5305399932</v>
      </c>
      <c r="AQ27" s="604">
        <v>9621220.7472581435</v>
      </c>
      <c r="AR27" s="605">
        <v>10288199.628722729</v>
      </c>
      <c r="AT27" s="455"/>
      <c r="AU27" s="455"/>
    </row>
    <row r="28" spans="1:48" ht="13">
      <c r="A28" s="602" t="s">
        <v>1083</v>
      </c>
      <c r="B28" s="603">
        <v>46443.158318016925</v>
      </c>
      <c r="C28" s="603">
        <v>48612.889906111675</v>
      </c>
      <c r="D28" s="603">
        <v>51294.453445818515</v>
      </c>
      <c r="E28" s="603">
        <v>52882.645751435084</v>
      </c>
      <c r="F28" s="603">
        <v>57029.381893707308</v>
      </c>
      <c r="G28" s="603">
        <v>58278.682027881478</v>
      </c>
      <c r="H28" s="603">
        <v>62132.193258606487</v>
      </c>
      <c r="I28" s="603">
        <v>66738.035628956364</v>
      </c>
      <c r="J28" s="603">
        <v>69047.101128946349</v>
      </c>
      <c r="K28" s="603">
        <v>74217.162934168067</v>
      </c>
      <c r="L28" s="603">
        <v>77444.0119597702</v>
      </c>
      <c r="M28" s="603">
        <v>83167.432311517041</v>
      </c>
      <c r="N28" s="603">
        <v>96976.907237246516</v>
      </c>
      <c r="O28" s="603">
        <v>102432.95773247271</v>
      </c>
      <c r="P28" s="603">
        <v>114477.53119870936</v>
      </c>
      <c r="Q28" s="603">
        <v>124436.74676699509</v>
      </c>
      <c r="R28" s="603">
        <v>126959.6331987218</v>
      </c>
      <c r="S28" s="603">
        <v>144049.2145290327</v>
      </c>
      <c r="T28" s="603">
        <v>162428.00818730716</v>
      </c>
      <c r="U28" s="603">
        <v>183059.44497376555</v>
      </c>
      <c r="V28" s="603">
        <v>222688.64265819232</v>
      </c>
      <c r="W28" s="603">
        <v>284045.0904140799</v>
      </c>
      <c r="X28" s="603">
        <v>328414.07822574658</v>
      </c>
      <c r="Y28" s="603">
        <v>392113.32766871509</v>
      </c>
      <c r="Z28" s="603">
        <v>479621.64703150332</v>
      </c>
      <c r="AA28" s="603">
        <v>591910.34167971171</v>
      </c>
      <c r="AB28" s="603">
        <v>751661.18659449369</v>
      </c>
      <c r="AC28" s="603">
        <v>986849.15883817931</v>
      </c>
      <c r="AD28" s="603">
        <v>1220415.0963537907</v>
      </c>
      <c r="AE28" s="603">
        <v>1467838.3420685688</v>
      </c>
      <c r="AF28" s="603">
        <v>1847081.9203027897</v>
      </c>
      <c r="AG28" s="603">
        <v>2343762.6802822221</v>
      </c>
      <c r="AH28" s="603">
        <v>2776209.0106879002</v>
      </c>
      <c r="AI28" s="603">
        <v>3331322.2714645518</v>
      </c>
      <c r="AJ28" s="603">
        <v>3917452.9052645685</v>
      </c>
      <c r="AK28" s="603">
        <v>4764366.7577046417</v>
      </c>
      <c r="AL28" s="603">
        <v>5527752.5265986696</v>
      </c>
      <c r="AM28" s="603">
        <v>6590213.6553653553</v>
      </c>
      <c r="AN28" s="603">
        <v>7869454.2503317492</v>
      </c>
      <c r="AO28" s="603">
        <v>8788578.5041448511</v>
      </c>
      <c r="AP28" s="603">
        <v>9330587.8305399939</v>
      </c>
      <c r="AQ28" s="604">
        <v>10045188.547258144</v>
      </c>
      <c r="AR28" s="605">
        <v>10728194.553722728</v>
      </c>
      <c r="AT28" s="455"/>
      <c r="AU28" s="455"/>
    </row>
    <row r="29" spans="1:48" ht="13">
      <c r="A29" s="602" t="s">
        <v>1084</v>
      </c>
      <c r="B29" s="603">
        <v>212.83092422377942</v>
      </c>
      <c r="C29" s="603">
        <v>298.82353386675095</v>
      </c>
      <c r="D29" s="603">
        <v>348.93473810972921</v>
      </c>
      <c r="E29" s="603">
        <v>491.92569265253542</v>
      </c>
      <c r="F29" s="603">
        <v>640.1557468473718</v>
      </c>
      <c r="G29" s="603">
        <v>605.14802497542132</v>
      </c>
      <c r="H29" s="603">
        <v>609.39545788538112</v>
      </c>
      <c r="I29" s="603">
        <v>538.38610556348021</v>
      </c>
      <c r="J29" s="603">
        <v>685.22126018868221</v>
      </c>
      <c r="K29" s="603">
        <v>1226.6226818201376</v>
      </c>
      <c r="L29" s="603">
        <v>1924.8027903236882</v>
      </c>
      <c r="M29" s="603">
        <v>3263.1935550138633</v>
      </c>
      <c r="N29" s="603">
        <v>4092.0707595398953</v>
      </c>
      <c r="O29" s="603">
        <v>7410.3088110786075</v>
      </c>
      <c r="P29" s="603">
        <v>7838.5045848719492</v>
      </c>
      <c r="Q29" s="603">
        <v>5961.9795855846214</v>
      </c>
      <c r="R29" s="603">
        <v>4465.5214961126312</v>
      </c>
      <c r="S29" s="603">
        <v>5835.7409778748288</v>
      </c>
      <c r="T29" s="603">
        <v>8467.4189163263763</v>
      </c>
      <c r="U29" s="603">
        <v>9955.4678089729205</v>
      </c>
      <c r="V29" s="603">
        <v>11299.874234920369</v>
      </c>
      <c r="W29" s="603">
        <v>8731.0086057334211</v>
      </c>
      <c r="X29" s="603">
        <v>2214.6613623579697</v>
      </c>
      <c r="Y29" s="603">
        <v>8128.7255283768618</v>
      </c>
      <c r="Z29" s="603">
        <v>14215.416516941772</v>
      </c>
      <c r="AA29" s="603">
        <v>25866.219815483961</v>
      </c>
      <c r="AB29" s="603">
        <v>45667.148098347352</v>
      </c>
      <c r="AC29" s="603">
        <v>57314.710033980533</v>
      </c>
      <c r="AD29" s="603">
        <v>64391.242750533776</v>
      </c>
      <c r="AE29" s="603">
        <v>67307.195483640142</v>
      </c>
      <c r="AF29" s="603">
        <v>91113.478725719571</v>
      </c>
      <c r="AG29" s="603">
        <v>142923.3974352754</v>
      </c>
      <c r="AH29" s="603">
        <v>199840.20254567353</v>
      </c>
      <c r="AI29" s="603">
        <v>236850.51628603594</v>
      </c>
      <c r="AJ29" s="603">
        <v>319316.03827845521</v>
      </c>
      <c r="AK29" s="603">
        <v>361064.19405273348</v>
      </c>
      <c r="AL29" s="603">
        <v>441536.81288068846</v>
      </c>
      <c r="AM29" s="603">
        <v>510661.49080712011</v>
      </c>
      <c r="AN29" s="603">
        <v>550990.67615363991</v>
      </c>
      <c r="AO29" s="603">
        <v>500606.67082755989</v>
      </c>
      <c r="AP29" s="603">
        <v>378345.3</v>
      </c>
      <c r="AQ29" s="604">
        <v>423967.8</v>
      </c>
      <c r="AR29" s="605">
        <v>439994.92499999993</v>
      </c>
      <c r="AT29" s="455"/>
      <c r="AU29" s="455"/>
    </row>
    <row r="30" spans="1:48" ht="13">
      <c r="A30" s="602" t="s">
        <v>1085</v>
      </c>
      <c r="B30" s="603">
        <v>24.869</v>
      </c>
      <c r="C30" s="603">
        <v>30.802000000000003</v>
      </c>
      <c r="D30" s="603">
        <v>35.427</v>
      </c>
      <c r="E30" s="603">
        <v>38.18</v>
      </c>
      <c r="F30" s="603">
        <v>40.440200000000004</v>
      </c>
      <c r="G30" s="603">
        <v>42.700400000000009</v>
      </c>
      <c r="H30" s="603">
        <v>44.960600000000014</v>
      </c>
      <c r="I30" s="603">
        <v>49.48100000000003</v>
      </c>
      <c r="J30" s="603">
        <v>65.141000000000005</v>
      </c>
      <c r="K30" s="603">
        <v>62.346999999999987</v>
      </c>
      <c r="L30" s="603">
        <v>66.900000000000077</v>
      </c>
      <c r="M30" s="603">
        <v>86.328999999999951</v>
      </c>
      <c r="N30" s="603">
        <v>104.548</v>
      </c>
      <c r="O30" s="603">
        <v>87.087999999999965</v>
      </c>
      <c r="P30" s="603">
        <v>99.748000000000175</v>
      </c>
      <c r="Q30" s="603">
        <v>104.09800000000006</v>
      </c>
      <c r="R30" s="603">
        <v>124.66099999999999</v>
      </c>
      <c r="S30" s="603">
        <v>126.23399999999998</v>
      </c>
      <c r="T30" s="603">
        <v>136</v>
      </c>
      <c r="U30" s="603">
        <v>242</v>
      </c>
      <c r="V30" s="603">
        <v>386.4466666666666</v>
      </c>
      <c r="W30" s="603">
        <v>530.8933333333332</v>
      </c>
      <c r="X30" s="603">
        <v>675.34</v>
      </c>
      <c r="Y30" s="603">
        <v>469.49400000000003</v>
      </c>
      <c r="Z30" s="603">
        <v>703</v>
      </c>
      <c r="AA30" s="603">
        <v>897</v>
      </c>
      <c r="AB30" s="603">
        <v>1049</v>
      </c>
      <c r="AC30" s="603">
        <v>1462</v>
      </c>
      <c r="AD30" s="603">
        <v>1929.098</v>
      </c>
      <c r="AE30" s="603">
        <v>2956</v>
      </c>
      <c r="AF30" s="603">
        <v>3422</v>
      </c>
      <c r="AG30" s="603">
        <v>3451</v>
      </c>
      <c r="AH30" s="603">
        <v>3354.26</v>
      </c>
      <c r="AI30" s="603">
        <v>3328</v>
      </c>
      <c r="AJ30" s="603">
        <v>25241.254931067717</v>
      </c>
      <c r="AK30" s="603">
        <v>32725.712511375521</v>
      </c>
      <c r="AL30" s="603">
        <v>41244.259727576122</v>
      </c>
      <c r="AM30" s="603">
        <v>45802.464</v>
      </c>
      <c r="AN30" s="603">
        <v>67657.584000000003</v>
      </c>
      <c r="AO30" s="603">
        <v>132870.239</v>
      </c>
      <c r="AP30" s="603">
        <v>233698.47199999998</v>
      </c>
      <c r="AQ30" s="604">
        <v>147289.95799999998</v>
      </c>
      <c r="AR30" s="605">
        <v>313076.30900000001</v>
      </c>
      <c r="AT30" s="455"/>
      <c r="AU30" s="455"/>
    </row>
    <row r="31" spans="1:48" ht="13">
      <c r="A31" s="602" t="s">
        <v>1086</v>
      </c>
      <c r="B31" s="603">
        <v>1753.0637419628595</v>
      </c>
      <c r="C31" s="603">
        <v>3714.0283352084953</v>
      </c>
      <c r="D31" s="603">
        <v>3185.9781147259569</v>
      </c>
      <c r="E31" s="603">
        <v>5767.1329757755839</v>
      </c>
      <c r="F31" s="603">
        <v>3543.1752296654022</v>
      </c>
      <c r="G31" s="603">
        <v>4523.4914402629856</v>
      </c>
      <c r="H31" s="603">
        <v>4619.7318245739289</v>
      </c>
      <c r="I31" s="603">
        <v>4276.8268780530288</v>
      </c>
      <c r="J31" s="603">
        <v>5110.3431093503696</v>
      </c>
      <c r="K31" s="603">
        <v>7430.2848591314869</v>
      </c>
      <c r="L31" s="603">
        <v>10577.835773750277</v>
      </c>
      <c r="M31" s="603">
        <v>13336.182598112791</v>
      </c>
      <c r="N31" s="603">
        <v>11241.81542229494</v>
      </c>
      <c r="O31" s="603">
        <v>18998.915516401928</v>
      </c>
      <c r="P31" s="603">
        <v>24873.674236897852</v>
      </c>
      <c r="Q31" s="603">
        <v>24918.37595196268</v>
      </c>
      <c r="R31" s="603">
        <v>34634.186705322252</v>
      </c>
      <c r="S31" s="603">
        <v>39783.908677063904</v>
      </c>
      <c r="T31" s="603">
        <v>54236.062469981596</v>
      </c>
      <c r="U31" s="603">
        <v>75727.89734296895</v>
      </c>
      <c r="V31" s="603">
        <v>81002.489199148506</v>
      </c>
      <c r="W31" s="603">
        <v>80111.049782609669</v>
      </c>
      <c r="X31" s="603">
        <v>119243.26403850631</v>
      </c>
      <c r="Y31" s="603">
        <v>136810.16709718364</v>
      </c>
      <c r="Z31" s="603">
        <v>118523.23384571444</v>
      </c>
      <c r="AA31" s="603">
        <v>171295.7515172048</v>
      </c>
      <c r="AB31" s="603">
        <v>227678.69340636709</v>
      </c>
      <c r="AC31" s="603">
        <v>276851.18900848739</v>
      </c>
      <c r="AD31" s="603">
        <v>369634.4729504296</v>
      </c>
      <c r="AE31" s="603">
        <v>518235.26223050716</v>
      </c>
      <c r="AF31" s="603">
        <v>604373.50078225287</v>
      </c>
      <c r="AG31" s="603">
        <v>674815.71905050939</v>
      </c>
      <c r="AH31" s="603">
        <v>875072.02998444822</v>
      </c>
      <c r="AI31" s="603">
        <v>957074.11979048222</v>
      </c>
      <c r="AJ31" s="603">
        <v>1189561.8682089946</v>
      </c>
      <c r="AK31" s="603">
        <v>962104.87263080617</v>
      </c>
      <c r="AL31" s="603">
        <v>1357935.4781364484</v>
      </c>
      <c r="AM31" s="603">
        <v>1629434.0253946008</v>
      </c>
      <c r="AN31" s="603">
        <v>1749776.039022166</v>
      </c>
      <c r="AO31" s="603">
        <v>1905957.3189201567</v>
      </c>
      <c r="AP31" s="603">
        <v>1868785.6735670667</v>
      </c>
      <c r="AQ31" s="604">
        <v>1554188.7304693907</v>
      </c>
      <c r="AR31" s="605">
        <v>1864302.4986413894</v>
      </c>
      <c r="AT31" s="455"/>
      <c r="AU31" s="455"/>
    </row>
    <row r="32" spans="1:48" ht="13">
      <c r="A32" s="602" t="s">
        <v>1087</v>
      </c>
      <c r="B32" s="607">
        <v>3.6553748195168913E-2</v>
      </c>
      <c r="C32" s="607">
        <v>7.1427340575293402E-2</v>
      </c>
      <c r="D32" s="607">
        <v>5.8894816669374128E-2</v>
      </c>
      <c r="E32" s="607">
        <v>9.9228586030524105E-2</v>
      </c>
      <c r="F32" s="607">
        <v>5.9159445776408297E-2</v>
      </c>
      <c r="G32" s="607">
        <v>7.2778385689510949E-2</v>
      </c>
      <c r="H32" s="607">
        <v>6.9892613188330621E-2</v>
      </c>
      <c r="I32" s="607">
        <v>6.0727095535943063E-2</v>
      </c>
      <c r="J32" s="607">
        <v>6.9616486197808705E-2</v>
      </c>
      <c r="K32" s="607">
        <v>9.2464230704115968E-2</v>
      </c>
      <c r="L32" s="607">
        <v>0.12295499188958144</v>
      </c>
      <c r="M32" s="607">
        <v>0.14316260575375522</v>
      </c>
      <c r="N32" s="607">
        <v>0.10807140983325919</v>
      </c>
      <c r="O32" s="607">
        <v>0.16675299795470275</v>
      </c>
      <c r="P32" s="607">
        <v>0.18927871033497354</v>
      </c>
      <c r="Q32" s="607">
        <v>0.17390286835095248</v>
      </c>
      <c r="R32" s="607">
        <v>0.22059480453522679</v>
      </c>
      <c r="S32" s="607">
        <v>0.22366701442787237</v>
      </c>
      <c r="T32" s="607">
        <v>0.26067428904099582</v>
      </c>
      <c r="U32" s="607">
        <v>0.30462985466692666</v>
      </c>
      <c r="V32" s="607">
        <v>0.27740121450061472</v>
      </c>
      <c r="W32" s="607">
        <v>0.22573217918645361</v>
      </c>
      <c r="X32" s="607">
        <v>0.26810256300902396</v>
      </c>
      <c r="Y32" s="607">
        <v>0.26293200351401641</v>
      </c>
      <c r="Z32" s="607">
        <v>0.20321991728499339</v>
      </c>
      <c r="AA32" s="607">
        <v>0.23259883109559815</v>
      </c>
      <c r="AB32" s="607">
        <v>0.24412706391452435</v>
      </c>
      <c r="AC32" s="607">
        <v>0.22976658463689784</v>
      </c>
      <c r="AD32" s="607">
        <v>0.24258540561126085</v>
      </c>
      <c r="AE32" s="607">
        <v>0.27050446111258836</v>
      </c>
      <c r="AF32" s="607">
        <v>0.25642512922066552</v>
      </c>
      <c r="AG32" s="607">
        <v>0.23494700188590639</v>
      </c>
      <c r="AH32" s="607">
        <v>0.25378481953891935</v>
      </c>
      <c r="AI32" s="607">
        <v>0.23641862897456123</v>
      </c>
      <c r="AJ32" s="607">
        <v>0.24977900026165545</v>
      </c>
      <c r="AK32" s="607">
        <v>0.18041670635283921</v>
      </c>
      <c r="AL32" s="607">
        <v>0.21208108950060642</v>
      </c>
      <c r="AM32" s="607">
        <v>0.21263147063487609</v>
      </c>
      <c r="AN32" s="607">
        <v>0.19440698760873779</v>
      </c>
      <c r="AO32" s="607">
        <v>0.18943903771525156</v>
      </c>
      <c r="AP32" s="607">
        <v>0.17651152092673572</v>
      </c>
      <c r="AQ32" s="608">
        <v>0.14092962337678666</v>
      </c>
      <c r="AR32" s="609">
        <v>0.15746561761041419</v>
      </c>
      <c r="AT32" s="455"/>
      <c r="AU32" s="455"/>
    </row>
    <row r="33" spans="1:47" ht="13">
      <c r="A33" s="602"/>
      <c r="B33" s="603"/>
      <c r="C33" s="603"/>
      <c r="D33" s="603"/>
      <c r="E33" s="603"/>
      <c r="F33" s="603"/>
      <c r="G33" s="603"/>
      <c r="H33" s="603"/>
      <c r="I33" s="603"/>
      <c r="J33" s="603"/>
      <c r="K33" s="603"/>
      <c r="L33" s="603"/>
      <c r="M33" s="603"/>
      <c r="N33" s="603"/>
      <c r="O33" s="603"/>
      <c r="P33" s="603"/>
      <c r="Q33" s="603"/>
      <c r="R33" s="603"/>
      <c r="S33" s="603"/>
      <c r="T33" s="603"/>
      <c r="U33" s="603"/>
      <c r="V33" s="603"/>
      <c r="W33" s="603"/>
      <c r="X33" s="603"/>
      <c r="Y33" s="603"/>
      <c r="Z33" s="603"/>
      <c r="AA33" s="603"/>
      <c r="AB33" s="603"/>
      <c r="AC33" s="603"/>
      <c r="AD33" s="603"/>
      <c r="AE33" s="603"/>
      <c r="AF33" s="603"/>
      <c r="AG33" s="603"/>
      <c r="AH33" s="603"/>
      <c r="AI33" s="603"/>
      <c r="AJ33" s="603"/>
      <c r="AK33" s="603"/>
      <c r="AL33" s="603"/>
      <c r="AM33" s="603"/>
      <c r="AN33" s="603"/>
      <c r="AO33" s="603"/>
      <c r="AP33" s="603"/>
      <c r="AQ33" s="604"/>
      <c r="AR33" s="605"/>
      <c r="AT33" s="455"/>
      <c r="AU33" s="455"/>
    </row>
    <row r="34" spans="1:47" ht="13">
      <c r="A34" s="602" t="s">
        <v>1088</v>
      </c>
      <c r="B34" s="603" t="s">
        <v>640</v>
      </c>
      <c r="C34" s="603" t="s">
        <v>640</v>
      </c>
      <c r="D34" s="603" t="s">
        <v>640</v>
      </c>
      <c r="E34" s="603" t="s">
        <v>640</v>
      </c>
      <c r="F34" s="603" t="s">
        <v>640</v>
      </c>
      <c r="G34" s="603" t="s">
        <v>640</v>
      </c>
      <c r="H34" s="603" t="s">
        <v>640</v>
      </c>
      <c r="I34" s="603" t="s">
        <v>640</v>
      </c>
      <c r="J34" s="603" t="s">
        <v>640</v>
      </c>
      <c r="K34" s="603" t="s">
        <v>640</v>
      </c>
      <c r="L34" s="603" t="s">
        <v>640</v>
      </c>
      <c r="M34" s="603" t="s">
        <v>640</v>
      </c>
      <c r="N34" s="603" t="s">
        <v>640</v>
      </c>
      <c r="O34" s="603" t="s">
        <v>640</v>
      </c>
      <c r="P34" s="603" t="s">
        <v>640</v>
      </c>
      <c r="Q34" s="603" t="s">
        <v>640</v>
      </c>
      <c r="R34" s="603" t="s">
        <v>640</v>
      </c>
      <c r="S34" s="603" t="s">
        <v>640</v>
      </c>
      <c r="T34" s="603" t="s">
        <v>640</v>
      </c>
      <c r="U34" s="603" t="s">
        <v>640</v>
      </c>
      <c r="V34" s="603" t="s">
        <v>640</v>
      </c>
      <c r="W34" s="603" t="s">
        <v>640</v>
      </c>
      <c r="X34" s="603">
        <v>423792.3409018949</v>
      </c>
      <c r="Y34" s="603">
        <v>492702.27523752186</v>
      </c>
      <c r="Z34" s="603">
        <v>538254.464360276</v>
      </c>
      <c r="AA34" s="603">
        <v>662322.8733814325</v>
      </c>
      <c r="AB34" s="603">
        <v>812448.73190251342</v>
      </c>
      <c r="AC34" s="603">
        <v>1058334.6378126862</v>
      </c>
      <c r="AD34" s="603">
        <v>1348603.2285536865</v>
      </c>
      <c r="AE34" s="603">
        <v>1707430.4088154358</v>
      </c>
      <c r="AF34" s="603">
        <v>2117542.9423593231</v>
      </c>
      <c r="AG34" s="603">
        <v>2555506.0018974561</v>
      </c>
      <c r="AH34" s="603">
        <v>3094421.5781266754</v>
      </c>
      <c r="AI34" s="603">
        <v>3663095.8749689981</v>
      </c>
      <c r="AJ34" s="603">
        <v>4303516.4802640406</v>
      </c>
      <c r="AK34" s="603">
        <v>4843803.7237713393</v>
      </c>
      <c r="AL34" s="603">
        <v>5840987.9321268536</v>
      </c>
      <c r="AM34" s="603">
        <v>7059449.7259528358</v>
      </c>
      <c r="AN34" s="603">
        <v>8345505.0292002764</v>
      </c>
      <c r="AO34" s="603">
        <v>9438272.9132374488</v>
      </c>
      <c r="AP34" s="603">
        <v>9979961.73210706</v>
      </c>
      <c r="AQ34" s="604">
        <v>10474559.519727534</v>
      </c>
      <c r="AR34" s="605">
        <v>11334364.818364117</v>
      </c>
      <c r="AT34" s="455"/>
      <c r="AU34" s="455"/>
    </row>
    <row r="35" spans="1:47" ht="13">
      <c r="A35" s="602" t="s">
        <v>1089</v>
      </c>
      <c r="B35" s="603" t="s">
        <v>640</v>
      </c>
      <c r="C35" s="603" t="s">
        <v>640</v>
      </c>
      <c r="D35" s="603" t="s">
        <v>640</v>
      </c>
      <c r="E35" s="603" t="s">
        <v>640</v>
      </c>
      <c r="F35" s="603" t="s">
        <v>640</v>
      </c>
      <c r="G35" s="603" t="s">
        <v>640</v>
      </c>
      <c r="H35" s="603" t="s">
        <v>640</v>
      </c>
      <c r="I35" s="603" t="s">
        <v>640</v>
      </c>
      <c r="J35" s="603" t="s">
        <v>640</v>
      </c>
      <c r="K35" s="603" t="s">
        <v>640</v>
      </c>
      <c r="L35" s="603" t="s">
        <v>640</v>
      </c>
      <c r="M35" s="603" t="s">
        <v>640</v>
      </c>
      <c r="N35" s="603" t="s">
        <v>640</v>
      </c>
      <c r="O35" s="603" t="s">
        <v>640</v>
      </c>
      <c r="P35" s="603" t="s">
        <v>640</v>
      </c>
      <c r="Q35" s="603" t="s">
        <v>640</v>
      </c>
      <c r="R35" s="603" t="s">
        <v>640</v>
      </c>
      <c r="S35" s="603" t="s">
        <v>640</v>
      </c>
      <c r="T35" s="603" t="s">
        <v>640</v>
      </c>
      <c r="U35" s="603" t="s">
        <v>640</v>
      </c>
      <c r="V35" s="603" t="s">
        <v>640</v>
      </c>
      <c r="W35" s="603" t="s">
        <v>640</v>
      </c>
      <c r="X35" s="603">
        <v>97592.924038506288</v>
      </c>
      <c r="Y35" s="603">
        <v>108717.67309718365</v>
      </c>
      <c r="Z35" s="603">
        <v>72848.233845714451</v>
      </c>
      <c r="AA35" s="603">
        <v>96278.751517204801</v>
      </c>
      <c r="AB35" s="603">
        <v>106454.69340636714</v>
      </c>
      <c r="AC35" s="603">
        <v>128800.18900848745</v>
      </c>
      <c r="AD35" s="603">
        <v>192579.3749504296</v>
      </c>
      <c r="AE35" s="603">
        <v>306899.26223050704</v>
      </c>
      <c r="AF35" s="603">
        <v>361574.50078225293</v>
      </c>
      <c r="AG35" s="603">
        <v>354666.71905050951</v>
      </c>
      <c r="AH35" s="603">
        <v>518052.76998444833</v>
      </c>
      <c r="AI35" s="603">
        <v>568624.11979048233</v>
      </c>
      <c r="AJ35" s="603">
        <v>705379.61327792704</v>
      </c>
      <c r="AK35" s="603">
        <v>440501.16011943098</v>
      </c>
      <c r="AL35" s="603">
        <v>754772.21840887249</v>
      </c>
      <c r="AM35" s="603">
        <v>979897.56139460043</v>
      </c>
      <c r="AN35" s="603">
        <v>1027041.4550221667</v>
      </c>
      <c r="AO35" s="603">
        <v>1150301.0799201566</v>
      </c>
      <c r="AP35" s="603">
        <v>1027719.2015670661</v>
      </c>
      <c r="AQ35" s="604">
        <v>853338.77246939123</v>
      </c>
      <c r="AR35" s="605">
        <v>1046165.1896413895</v>
      </c>
      <c r="AT35" s="455"/>
      <c r="AU35" s="455"/>
    </row>
    <row r="36" spans="1:47" ht="13.5" thickBot="1">
      <c r="A36" s="610" t="s">
        <v>1090</v>
      </c>
      <c r="B36" s="611" t="s">
        <v>640</v>
      </c>
      <c r="C36" s="611" t="s">
        <v>640</v>
      </c>
      <c r="D36" s="611" t="s">
        <v>640</v>
      </c>
      <c r="E36" s="611" t="s">
        <v>640</v>
      </c>
      <c r="F36" s="611" t="s">
        <v>640</v>
      </c>
      <c r="G36" s="611" t="s">
        <v>640</v>
      </c>
      <c r="H36" s="611" t="s">
        <v>640</v>
      </c>
      <c r="I36" s="611" t="s">
        <v>640</v>
      </c>
      <c r="J36" s="611" t="s">
        <v>640</v>
      </c>
      <c r="K36" s="611" t="s">
        <v>640</v>
      </c>
      <c r="L36" s="611" t="s">
        <v>640</v>
      </c>
      <c r="M36" s="611" t="s">
        <v>640</v>
      </c>
      <c r="N36" s="611" t="s">
        <v>640</v>
      </c>
      <c r="O36" s="611" t="s">
        <v>640</v>
      </c>
      <c r="P36" s="611" t="s">
        <v>640</v>
      </c>
      <c r="Q36" s="611" t="s">
        <v>640</v>
      </c>
      <c r="R36" s="611" t="s">
        <v>640</v>
      </c>
      <c r="S36" s="611" t="s">
        <v>640</v>
      </c>
      <c r="T36" s="611" t="s">
        <v>640</v>
      </c>
      <c r="U36" s="611" t="s">
        <v>640</v>
      </c>
      <c r="V36" s="611" t="s">
        <v>640</v>
      </c>
      <c r="W36" s="611" t="s">
        <v>640</v>
      </c>
      <c r="X36" s="612">
        <v>0.23028477539450953</v>
      </c>
      <c r="Y36" s="612">
        <v>0.22065591851544231</v>
      </c>
      <c r="Z36" s="612">
        <v>0.1353416249548357</v>
      </c>
      <c r="AA36" s="612">
        <v>0.14536528238208338</v>
      </c>
      <c r="AB36" s="612">
        <v>0.13102942896726777</v>
      </c>
      <c r="AC36" s="612">
        <v>0.12170081598641175</v>
      </c>
      <c r="AD36" s="612">
        <v>0.14279913533720509</v>
      </c>
      <c r="AE36" s="612">
        <v>0.17974335038546288</v>
      </c>
      <c r="AF36" s="612">
        <v>0.1707519094651247</v>
      </c>
      <c r="AG36" s="612">
        <v>0.13878532031901725</v>
      </c>
      <c r="AH36" s="612">
        <v>0.1674150586482373</v>
      </c>
      <c r="AI36" s="612">
        <v>0.15523047695149253</v>
      </c>
      <c r="AJ36" s="612">
        <v>0.16390772906594026</v>
      </c>
      <c r="AK36" s="612">
        <v>9.0941166331252779E-2</v>
      </c>
      <c r="AL36" s="612">
        <v>0.12921995853774013</v>
      </c>
      <c r="AM36" s="612">
        <v>0.13880650750896034</v>
      </c>
      <c r="AN36" s="612">
        <v>0.12306522510364899</v>
      </c>
      <c r="AO36" s="612">
        <v>0.12187622571358647</v>
      </c>
      <c r="AP36" s="612">
        <v>0.10297827077439953</v>
      </c>
      <c r="AQ36" s="613">
        <v>8.1467747723637768E-2</v>
      </c>
      <c r="AR36" s="614">
        <v>9.2300292641575826E-2</v>
      </c>
      <c r="AT36" s="455"/>
      <c r="AU36" s="455"/>
    </row>
    <row r="37" spans="1:47" ht="13">
      <c r="A37" s="615" t="s">
        <v>1091</v>
      </c>
      <c r="B37" s="616"/>
      <c r="C37" s="616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17"/>
      <c r="P37" s="617"/>
      <c r="Q37" s="617"/>
      <c r="R37" s="617"/>
      <c r="S37" s="617"/>
      <c r="T37" s="617"/>
      <c r="U37" s="617"/>
      <c r="V37" s="617"/>
      <c r="W37" s="617"/>
      <c r="X37" s="617"/>
      <c r="Y37" s="617"/>
      <c r="Z37" s="617"/>
      <c r="AA37" s="617"/>
      <c r="AB37" s="617"/>
      <c r="AC37" s="617"/>
      <c r="AD37" s="617"/>
      <c r="AE37" s="617"/>
      <c r="AF37" s="617"/>
      <c r="AG37" s="617"/>
      <c r="AH37" s="617"/>
      <c r="AI37" s="617"/>
      <c r="AJ37" s="617"/>
      <c r="AK37" s="617"/>
      <c r="AL37" s="617"/>
      <c r="AM37" s="617"/>
      <c r="AN37" s="617"/>
      <c r="AO37" s="617"/>
      <c r="AP37" s="617"/>
      <c r="AQ37" s="618"/>
      <c r="AR37" s="618"/>
    </row>
    <row r="38" spans="1:47" ht="13">
      <c r="A38" s="615" t="s">
        <v>1092</v>
      </c>
      <c r="B38" s="616"/>
      <c r="C38" s="616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17"/>
      <c r="AD38" s="617"/>
      <c r="AE38" s="617"/>
      <c r="AF38" s="617"/>
      <c r="AG38" s="617"/>
      <c r="AH38" s="617"/>
      <c r="AI38" s="617"/>
      <c r="AJ38" s="617"/>
      <c r="AK38" s="617"/>
      <c r="AL38" s="617"/>
      <c r="AM38" s="617"/>
      <c r="AN38" s="617"/>
      <c r="AO38" s="617"/>
      <c r="AP38" s="617"/>
      <c r="AQ38" s="618"/>
      <c r="AR38" s="618"/>
    </row>
    <row r="39" spans="1:47" ht="26">
      <c r="A39" s="619" t="s">
        <v>1093</v>
      </c>
      <c r="B39" s="616"/>
      <c r="C39" s="616"/>
      <c r="D39" s="616"/>
      <c r="E39" s="616"/>
      <c r="F39" s="616"/>
      <c r="G39" s="616"/>
      <c r="H39" s="616"/>
      <c r="I39" s="616"/>
      <c r="J39" s="616"/>
      <c r="K39" s="616"/>
      <c r="L39" s="616"/>
      <c r="M39" s="616"/>
      <c r="N39" s="616"/>
      <c r="O39" s="616"/>
      <c r="P39" s="616"/>
      <c r="Q39" s="616"/>
      <c r="R39" s="616"/>
      <c r="S39" s="616"/>
      <c r="T39" s="616"/>
      <c r="U39" s="616"/>
      <c r="V39" s="616"/>
      <c r="W39" s="616"/>
      <c r="X39" s="616"/>
      <c r="Y39" s="616"/>
      <c r="Z39" s="616"/>
      <c r="AA39" s="616"/>
      <c r="AB39" s="616"/>
      <c r="AC39" s="616"/>
      <c r="AD39" s="616"/>
      <c r="AE39" s="616"/>
      <c r="AF39" s="616"/>
      <c r="AG39" s="616"/>
      <c r="AH39" s="616"/>
      <c r="AI39" s="616"/>
      <c r="AJ39" s="616"/>
      <c r="AK39" s="616"/>
      <c r="AL39" s="616"/>
      <c r="AM39" s="616"/>
      <c r="AN39" s="616"/>
      <c r="AO39" s="616"/>
      <c r="AP39" s="616"/>
      <c r="AQ39" s="620"/>
      <c r="AR39" s="620"/>
    </row>
    <row r="40" spans="1:47" ht="39">
      <c r="A40" s="619" t="s">
        <v>1094</v>
      </c>
      <c r="B40" s="616"/>
      <c r="C40" s="616"/>
      <c r="D40" s="616"/>
      <c r="E40" s="616"/>
      <c r="F40" s="616"/>
      <c r="G40" s="616"/>
      <c r="H40" s="616"/>
      <c r="I40" s="616"/>
      <c r="J40" s="616"/>
      <c r="K40" s="616"/>
      <c r="L40" s="616"/>
      <c r="M40" s="616"/>
      <c r="N40" s="616"/>
      <c r="O40" s="616"/>
      <c r="P40" s="616"/>
      <c r="Q40" s="616"/>
      <c r="R40" s="616"/>
      <c r="S40" s="616"/>
      <c r="T40" s="616"/>
      <c r="U40" s="616"/>
      <c r="V40" s="616"/>
      <c r="W40" s="616"/>
      <c r="X40" s="616"/>
      <c r="Y40" s="616"/>
      <c r="Z40" s="616"/>
      <c r="AA40" s="616"/>
      <c r="AB40" s="616"/>
      <c r="AC40" s="616"/>
      <c r="AD40" s="616"/>
      <c r="AE40" s="616"/>
      <c r="AF40" s="616"/>
      <c r="AG40" s="616"/>
      <c r="AH40" s="616"/>
      <c r="AI40" s="616"/>
      <c r="AJ40" s="616"/>
      <c r="AK40" s="616"/>
      <c r="AL40" s="616"/>
      <c r="AM40" s="616"/>
      <c r="AN40" s="616"/>
      <c r="AO40" s="616"/>
      <c r="AP40" s="616"/>
      <c r="AQ40" s="620"/>
      <c r="AR40" s="620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2" fitToWidth="3" orientation="landscape" horizontalDpi="4294967292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02FF-440B-4623-9F22-2023F6A4FA9E}">
  <sheetPr>
    <pageSetUpPr fitToPage="1"/>
  </sheetPr>
  <dimension ref="A1:AU1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23" sqref="M22:M23"/>
    </sheetView>
  </sheetViews>
  <sheetFormatPr defaultRowHeight="12.5"/>
  <cols>
    <col min="1" max="1" width="35.7265625" style="396" customWidth="1"/>
    <col min="2" max="256" width="8.7265625" style="396"/>
    <col min="257" max="257" width="35.7265625" style="396" customWidth="1"/>
    <col min="258" max="512" width="8.7265625" style="396"/>
    <col min="513" max="513" width="35.7265625" style="396" customWidth="1"/>
    <col min="514" max="768" width="8.7265625" style="396"/>
    <col min="769" max="769" width="35.7265625" style="396" customWidth="1"/>
    <col min="770" max="1024" width="8.7265625" style="396"/>
    <col min="1025" max="1025" width="35.7265625" style="396" customWidth="1"/>
    <col min="1026" max="1280" width="8.7265625" style="396"/>
    <col min="1281" max="1281" width="35.7265625" style="396" customWidth="1"/>
    <col min="1282" max="1536" width="8.7265625" style="396"/>
    <col min="1537" max="1537" width="35.7265625" style="396" customWidth="1"/>
    <col min="1538" max="1792" width="8.7265625" style="396"/>
    <col min="1793" max="1793" width="35.7265625" style="396" customWidth="1"/>
    <col min="1794" max="2048" width="8.7265625" style="396"/>
    <col min="2049" max="2049" width="35.7265625" style="396" customWidth="1"/>
    <col min="2050" max="2304" width="8.7265625" style="396"/>
    <col min="2305" max="2305" width="35.7265625" style="396" customWidth="1"/>
    <col min="2306" max="2560" width="8.7265625" style="396"/>
    <col min="2561" max="2561" width="35.7265625" style="396" customWidth="1"/>
    <col min="2562" max="2816" width="8.7265625" style="396"/>
    <col min="2817" max="2817" width="35.7265625" style="396" customWidth="1"/>
    <col min="2818" max="3072" width="8.7265625" style="396"/>
    <col min="3073" max="3073" width="35.7265625" style="396" customWidth="1"/>
    <col min="3074" max="3328" width="8.7265625" style="396"/>
    <col min="3329" max="3329" width="35.7265625" style="396" customWidth="1"/>
    <col min="3330" max="3584" width="8.7265625" style="396"/>
    <col min="3585" max="3585" width="35.7265625" style="396" customWidth="1"/>
    <col min="3586" max="3840" width="8.7265625" style="396"/>
    <col min="3841" max="3841" width="35.7265625" style="396" customWidth="1"/>
    <col min="3842" max="4096" width="8.7265625" style="396"/>
    <col min="4097" max="4097" width="35.7265625" style="396" customWidth="1"/>
    <col min="4098" max="4352" width="8.7265625" style="396"/>
    <col min="4353" max="4353" width="35.7265625" style="396" customWidth="1"/>
    <col min="4354" max="4608" width="8.7265625" style="396"/>
    <col min="4609" max="4609" width="35.7265625" style="396" customWidth="1"/>
    <col min="4610" max="4864" width="8.7265625" style="396"/>
    <col min="4865" max="4865" width="35.7265625" style="396" customWidth="1"/>
    <col min="4866" max="5120" width="8.7265625" style="396"/>
    <col min="5121" max="5121" width="35.7265625" style="396" customWidth="1"/>
    <col min="5122" max="5376" width="8.7265625" style="396"/>
    <col min="5377" max="5377" width="35.7265625" style="396" customWidth="1"/>
    <col min="5378" max="5632" width="8.7265625" style="396"/>
    <col min="5633" max="5633" width="35.7265625" style="396" customWidth="1"/>
    <col min="5634" max="5888" width="8.7265625" style="396"/>
    <col min="5889" max="5889" width="35.7265625" style="396" customWidth="1"/>
    <col min="5890" max="6144" width="8.7265625" style="396"/>
    <col min="6145" max="6145" width="35.7265625" style="396" customWidth="1"/>
    <col min="6146" max="6400" width="8.7265625" style="396"/>
    <col min="6401" max="6401" width="35.7265625" style="396" customWidth="1"/>
    <col min="6402" max="6656" width="8.7265625" style="396"/>
    <col min="6657" max="6657" width="35.7265625" style="396" customWidth="1"/>
    <col min="6658" max="6912" width="8.7265625" style="396"/>
    <col min="6913" max="6913" width="35.7265625" style="396" customWidth="1"/>
    <col min="6914" max="7168" width="8.7265625" style="396"/>
    <col min="7169" max="7169" width="35.7265625" style="396" customWidth="1"/>
    <col min="7170" max="7424" width="8.7265625" style="396"/>
    <col min="7425" max="7425" width="35.7265625" style="396" customWidth="1"/>
    <col min="7426" max="7680" width="8.7265625" style="396"/>
    <col min="7681" max="7681" width="35.7265625" style="396" customWidth="1"/>
    <col min="7682" max="7936" width="8.7265625" style="396"/>
    <col min="7937" max="7937" width="35.7265625" style="396" customWidth="1"/>
    <col min="7938" max="8192" width="8.7265625" style="396"/>
    <col min="8193" max="8193" width="35.7265625" style="396" customWidth="1"/>
    <col min="8194" max="8448" width="8.7265625" style="396"/>
    <col min="8449" max="8449" width="35.7265625" style="396" customWidth="1"/>
    <col min="8450" max="8704" width="8.7265625" style="396"/>
    <col min="8705" max="8705" width="35.7265625" style="396" customWidth="1"/>
    <col min="8706" max="8960" width="8.7265625" style="396"/>
    <col min="8961" max="8961" width="35.7265625" style="396" customWidth="1"/>
    <col min="8962" max="9216" width="8.7265625" style="396"/>
    <col min="9217" max="9217" width="35.7265625" style="396" customWidth="1"/>
    <col min="9218" max="9472" width="8.7265625" style="396"/>
    <col min="9473" max="9473" width="35.7265625" style="396" customWidth="1"/>
    <col min="9474" max="9728" width="8.7265625" style="396"/>
    <col min="9729" max="9729" width="35.7265625" style="396" customWidth="1"/>
    <col min="9730" max="9984" width="8.7265625" style="396"/>
    <col min="9985" max="9985" width="35.7265625" style="396" customWidth="1"/>
    <col min="9986" max="10240" width="8.7265625" style="396"/>
    <col min="10241" max="10241" width="35.7265625" style="396" customWidth="1"/>
    <col min="10242" max="10496" width="8.7265625" style="396"/>
    <col min="10497" max="10497" width="35.7265625" style="396" customWidth="1"/>
    <col min="10498" max="10752" width="8.7265625" style="396"/>
    <col min="10753" max="10753" width="35.7265625" style="396" customWidth="1"/>
    <col min="10754" max="11008" width="8.7265625" style="396"/>
    <col min="11009" max="11009" width="35.7265625" style="396" customWidth="1"/>
    <col min="11010" max="11264" width="8.7265625" style="396"/>
    <col min="11265" max="11265" width="35.7265625" style="396" customWidth="1"/>
    <col min="11266" max="11520" width="8.7265625" style="396"/>
    <col min="11521" max="11521" width="35.7265625" style="396" customWidth="1"/>
    <col min="11522" max="11776" width="8.7265625" style="396"/>
    <col min="11777" max="11777" width="35.7265625" style="396" customWidth="1"/>
    <col min="11778" max="12032" width="8.7265625" style="396"/>
    <col min="12033" max="12033" width="35.7265625" style="396" customWidth="1"/>
    <col min="12034" max="12288" width="8.7265625" style="396"/>
    <col min="12289" max="12289" width="35.7265625" style="396" customWidth="1"/>
    <col min="12290" max="12544" width="8.7265625" style="396"/>
    <col min="12545" max="12545" width="35.7265625" style="396" customWidth="1"/>
    <col min="12546" max="12800" width="8.7265625" style="396"/>
    <col min="12801" max="12801" width="35.7265625" style="396" customWidth="1"/>
    <col min="12802" max="13056" width="8.7265625" style="396"/>
    <col min="13057" max="13057" width="35.7265625" style="396" customWidth="1"/>
    <col min="13058" max="13312" width="8.7265625" style="396"/>
    <col min="13313" max="13313" width="35.7265625" style="396" customWidth="1"/>
    <col min="13314" max="13568" width="8.7265625" style="396"/>
    <col min="13569" max="13569" width="35.7265625" style="396" customWidth="1"/>
    <col min="13570" max="13824" width="8.7265625" style="396"/>
    <col min="13825" max="13825" width="35.7265625" style="396" customWidth="1"/>
    <col min="13826" max="14080" width="8.7265625" style="396"/>
    <col min="14081" max="14081" width="35.7265625" style="396" customWidth="1"/>
    <col min="14082" max="14336" width="8.7265625" style="396"/>
    <col min="14337" max="14337" width="35.7265625" style="396" customWidth="1"/>
    <col min="14338" max="14592" width="8.7265625" style="396"/>
    <col min="14593" max="14593" width="35.7265625" style="396" customWidth="1"/>
    <col min="14594" max="14848" width="8.7265625" style="396"/>
    <col min="14849" max="14849" width="35.7265625" style="396" customWidth="1"/>
    <col min="14850" max="15104" width="8.7265625" style="396"/>
    <col min="15105" max="15105" width="35.7265625" style="396" customWidth="1"/>
    <col min="15106" max="15360" width="8.7265625" style="396"/>
    <col min="15361" max="15361" width="35.7265625" style="396" customWidth="1"/>
    <col min="15362" max="15616" width="8.7265625" style="396"/>
    <col min="15617" max="15617" width="35.7265625" style="396" customWidth="1"/>
    <col min="15618" max="15872" width="8.7265625" style="396"/>
    <col min="15873" max="15873" width="35.7265625" style="396" customWidth="1"/>
    <col min="15874" max="16128" width="8.7265625" style="396"/>
    <col min="16129" max="16129" width="35.7265625" style="396" customWidth="1"/>
    <col min="16130" max="16384" width="8.7265625" style="396"/>
  </cols>
  <sheetData>
    <row r="1" spans="1:47" ht="13">
      <c r="A1" s="440" t="s">
        <v>1095</v>
      </c>
    </row>
    <row r="2" spans="1:47" ht="13">
      <c r="A2" s="441" t="s">
        <v>1096</v>
      </c>
    </row>
    <row r="3" spans="1:47" ht="13.5" thickBot="1">
      <c r="A3" s="441"/>
    </row>
    <row r="4" spans="1:47" ht="13.5" thickBot="1">
      <c r="A4" s="598"/>
      <c r="B4" s="599">
        <v>1953</v>
      </c>
      <c r="C4" s="599">
        <v>1954</v>
      </c>
      <c r="D4" s="599">
        <v>1955</v>
      </c>
      <c r="E4" s="599">
        <v>1956</v>
      </c>
      <c r="F4" s="599">
        <v>1957</v>
      </c>
      <c r="G4" s="599">
        <v>1958</v>
      </c>
      <c r="H4" s="599">
        <v>1959</v>
      </c>
      <c r="I4" s="599">
        <v>1960</v>
      </c>
      <c r="J4" s="599">
        <v>1961</v>
      </c>
      <c r="K4" s="599">
        <v>1962</v>
      </c>
      <c r="L4" s="599">
        <v>1963</v>
      </c>
      <c r="M4" s="599">
        <v>1964</v>
      </c>
      <c r="N4" s="599">
        <v>1965</v>
      </c>
      <c r="O4" s="599">
        <v>1966</v>
      </c>
      <c r="P4" s="599">
        <v>1967</v>
      </c>
      <c r="Q4" s="599">
        <v>1968</v>
      </c>
      <c r="R4" s="599">
        <v>1969</v>
      </c>
      <c r="S4" s="599">
        <v>1970</v>
      </c>
      <c r="T4" s="599">
        <v>1971</v>
      </c>
      <c r="U4" s="599">
        <v>1972</v>
      </c>
      <c r="V4" s="599">
        <v>1973</v>
      </c>
      <c r="W4" s="599">
        <v>1974</v>
      </c>
      <c r="X4" s="599">
        <v>1975</v>
      </c>
      <c r="Y4" s="599">
        <v>1976</v>
      </c>
      <c r="Z4" s="599">
        <v>1977</v>
      </c>
      <c r="AA4" s="599">
        <v>1978</v>
      </c>
      <c r="AB4" s="599">
        <v>1979</v>
      </c>
      <c r="AC4" s="599">
        <v>1980</v>
      </c>
      <c r="AD4" s="599">
        <v>1981</v>
      </c>
      <c r="AE4" s="599">
        <v>1982</v>
      </c>
      <c r="AF4" s="599">
        <v>1983</v>
      </c>
      <c r="AG4" s="599">
        <v>1984</v>
      </c>
      <c r="AH4" s="599">
        <v>1985</v>
      </c>
      <c r="AI4" s="599">
        <v>1986</v>
      </c>
      <c r="AJ4" s="599">
        <v>1987</v>
      </c>
      <c r="AK4" s="599">
        <v>1988</v>
      </c>
      <c r="AL4" s="599">
        <v>1989</v>
      </c>
      <c r="AM4" s="599">
        <v>1990</v>
      </c>
      <c r="AN4" s="599">
        <v>1991</v>
      </c>
      <c r="AO4" s="599">
        <v>1992</v>
      </c>
      <c r="AP4" s="599">
        <v>1993</v>
      </c>
      <c r="AQ4" s="600">
        <v>1994</v>
      </c>
      <c r="AR4" s="601">
        <v>1995</v>
      </c>
    </row>
    <row r="5" spans="1:47" ht="13">
      <c r="A5" s="602" t="s">
        <v>1097</v>
      </c>
      <c r="B5" s="458">
        <v>9218.4325740627064</v>
      </c>
      <c r="C5" s="458">
        <v>10112.474460968007</v>
      </c>
      <c r="D5" s="458">
        <v>10381.149964682772</v>
      </c>
      <c r="E5" s="458">
        <v>13812.679162043762</v>
      </c>
      <c r="F5" s="458">
        <v>14381.970121768636</v>
      </c>
      <c r="G5" s="458">
        <v>17957.295900935878</v>
      </c>
      <c r="H5" s="458">
        <v>18234.385260898584</v>
      </c>
      <c r="I5" s="458">
        <v>18067.862728804881</v>
      </c>
      <c r="J5" s="458">
        <v>16619.527492103818</v>
      </c>
      <c r="K5" s="458">
        <v>23532.547586583303</v>
      </c>
      <c r="L5" s="458">
        <v>24354.206997351528</v>
      </c>
      <c r="M5" s="458">
        <v>28735.776725346623</v>
      </c>
      <c r="N5" s="458">
        <v>34784.810891271663</v>
      </c>
      <c r="O5" s="458">
        <v>41338.645746079717</v>
      </c>
      <c r="P5" s="458">
        <v>46569.915413153685</v>
      </c>
      <c r="Q5" s="458">
        <v>47226.101560709052</v>
      </c>
      <c r="R5" s="458">
        <v>57120.1930773313</v>
      </c>
      <c r="S5" s="458">
        <v>62963.786255552594</v>
      </c>
      <c r="T5" s="458">
        <v>81811.025049430449</v>
      </c>
      <c r="U5" s="458">
        <v>107189.48062031729</v>
      </c>
      <c r="V5" s="458">
        <v>119761.35065828064</v>
      </c>
      <c r="W5" s="458">
        <v>108898.46010095063</v>
      </c>
      <c r="X5" s="458">
        <v>107770.27535584412</v>
      </c>
      <c r="Y5" s="458">
        <v>126604.66343866527</v>
      </c>
      <c r="Z5" s="458">
        <v>195077.47564816539</v>
      </c>
      <c r="AA5" s="458">
        <v>264427.84264828934</v>
      </c>
      <c r="AB5" s="458">
        <v>378635.1378453967</v>
      </c>
      <c r="AC5" s="458">
        <v>462750.29446693702</v>
      </c>
      <c r="AD5" s="458">
        <v>479754.08451873722</v>
      </c>
      <c r="AE5" s="458">
        <v>537999.29119003681</v>
      </c>
      <c r="AF5" s="458">
        <v>697712.84694555914</v>
      </c>
      <c r="AG5" s="458">
        <v>811984.73756620591</v>
      </c>
      <c r="AH5" s="458">
        <v>1119242.0553737183</v>
      </c>
      <c r="AI5" s="458">
        <v>1459974.4128407456</v>
      </c>
      <c r="AJ5" s="458">
        <v>1877086.7375386369</v>
      </c>
      <c r="AK5" s="458">
        <v>2083279.1810494286</v>
      </c>
      <c r="AL5" s="458">
        <v>2550849.475463198</v>
      </c>
      <c r="AM5" s="458">
        <v>3041617.3482302488</v>
      </c>
      <c r="AN5" s="458">
        <v>2867374.384213354</v>
      </c>
      <c r="AO5" s="458">
        <v>3157727.6346845767</v>
      </c>
      <c r="AP5" s="458">
        <v>2901042.4971486363</v>
      </c>
      <c r="AQ5" s="449">
        <v>3048121.1327173961</v>
      </c>
      <c r="AR5" s="450">
        <v>3442882.7594974218</v>
      </c>
      <c r="AT5" s="455"/>
      <c r="AU5" s="455"/>
    </row>
    <row r="6" spans="1:47" ht="13">
      <c r="A6" s="602" t="s">
        <v>1098</v>
      </c>
      <c r="B6" s="458">
        <v>1753.0637419628595</v>
      </c>
      <c r="C6" s="458">
        <v>3714.0283352084953</v>
      </c>
      <c r="D6" s="458">
        <v>3185.9781147259569</v>
      </c>
      <c r="E6" s="458">
        <v>5767.1329757755839</v>
      </c>
      <c r="F6" s="458">
        <v>3543.1752296654022</v>
      </c>
      <c r="G6" s="458">
        <v>4523.4914402629856</v>
      </c>
      <c r="H6" s="458">
        <v>4619.7318245739289</v>
      </c>
      <c r="I6" s="458">
        <v>4276.8268780530288</v>
      </c>
      <c r="J6" s="458">
        <v>5110.3431093503696</v>
      </c>
      <c r="K6" s="458">
        <v>7430.2848591314869</v>
      </c>
      <c r="L6" s="458">
        <v>10577.835773750277</v>
      </c>
      <c r="M6" s="458">
        <v>13336.182598112791</v>
      </c>
      <c r="N6" s="458">
        <v>11241.81542229494</v>
      </c>
      <c r="O6" s="458">
        <v>18998.915516401928</v>
      </c>
      <c r="P6" s="458">
        <v>24873.674236897852</v>
      </c>
      <c r="Q6" s="458">
        <v>24918.37595196268</v>
      </c>
      <c r="R6" s="458">
        <v>34634.186705322252</v>
      </c>
      <c r="S6" s="458">
        <v>39783.908677063904</v>
      </c>
      <c r="T6" s="458">
        <v>54236.062469981596</v>
      </c>
      <c r="U6" s="458">
        <v>75727.89734296895</v>
      </c>
      <c r="V6" s="458">
        <v>81002.489199148506</v>
      </c>
      <c r="W6" s="458">
        <v>80111.049782609669</v>
      </c>
      <c r="X6" s="458">
        <v>119243.26403850631</v>
      </c>
      <c r="Y6" s="458">
        <v>136810.16709718364</v>
      </c>
      <c r="Z6" s="458">
        <v>118523.23384571444</v>
      </c>
      <c r="AA6" s="458">
        <v>171295.7515172048</v>
      </c>
      <c r="AB6" s="458">
        <v>227678.69340636709</v>
      </c>
      <c r="AC6" s="458">
        <v>276851.18900848739</v>
      </c>
      <c r="AD6" s="458">
        <v>369634.4729504296</v>
      </c>
      <c r="AE6" s="458">
        <v>518235.26223050716</v>
      </c>
      <c r="AF6" s="458">
        <v>604373.50078225287</v>
      </c>
      <c r="AG6" s="458">
        <v>674815.71905050939</v>
      </c>
      <c r="AH6" s="458">
        <v>875072.02998444822</v>
      </c>
      <c r="AI6" s="458">
        <v>957074.11979048222</v>
      </c>
      <c r="AJ6" s="458">
        <v>1189561.8682089946</v>
      </c>
      <c r="AK6" s="458">
        <v>962104.87263080617</v>
      </c>
      <c r="AL6" s="458">
        <v>1357935.4781364484</v>
      </c>
      <c r="AM6" s="458">
        <v>1629434.0253946008</v>
      </c>
      <c r="AN6" s="458">
        <v>1749776.039022166</v>
      </c>
      <c r="AO6" s="458">
        <v>1905957.3189201567</v>
      </c>
      <c r="AP6" s="458">
        <v>1868785.6735670667</v>
      </c>
      <c r="AQ6" s="449">
        <v>1554188.7304693907</v>
      </c>
      <c r="AR6" s="450">
        <v>1864302.4986413894</v>
      </c>
      <c r="AT6" s="455"/>
      <c r="AU6" s="455"/>
    </row>
    <row r="7" spans="1:47" ht="13">
      <c r="A7" s="602" t="s">
        <v>1099</v>
      </c>
      <c r="B7" s="458">
        <v>5671.6185801580923</v>
      </c>
      <c r="C7" s="458">
        <v>5015.9274588480412</v>
      </c>
      <c r="D7" s="458">
        <v>5395.0358717671634</v>
      </c>
      <c r="E7" s="458">
        <v>5672.4907273757062</v>
      </c>
      <c r="F7" s="458">
        <v>8353.9834964230486</v>
      </c>
      <c r="G7" s="458">
        <v>10685.745897367713</v>
      </c>
      <c r="H7" s="458">
        <v>11013.090922567237</v>
      </c>
      <c r="I7" s="458">
        <v>11064.512432524283</v>
      </c>
      <c r="J7" s="458">
        <v>9711.4871507743483</v>
      </c>
      <c r="K7" s="458">
        <v>13670.993693757186</v>
      </c>
      <c r="L7" s="458">
        <v>11016.207935532255</v>
      </c>
      <c r="M7" s="458">
        <v>12155.648293245084</v>
      </c>
      <c r="N7" s="458">
        <v>19110.444701159471</v>
      </c>
      <c r="O7" s="458">
        <v>17187.397360518178</v>
      </c>
      <c r="P7" s="458">
        <v>16420.042968551959</v>
      </c>
      <c r="Q7" s="458">
        <v>16228.263470005444</v>
      </c>
      <c r="R7" s="458">
        <v>14198.786850760718</v>
      </c>
      <c r="S7" s="458">
        <v>12664.849325013773</v>
      </c>
      <c r="T7" s="458">
        <v>16972.016237161362</v>
      </c>
      <c r="U7" s="458">
        <v>21451.827762248755</v>
      </c>
      <c r="V7" s="458">
        <v>25250.084205398318</v>
      </c>
      <c r="W7" s="458">
        <v>22798.704511743592</v>
      </c>
      <c r="X7" s="458">
        <v>-9256.4075687022814</v>
      </c>
      <c r="Y7" s="458">
        <v>-2256.2033732774412</v>
      </c>
      <c r="Z7" s="458">
        <v>78024.30167927024</v>
      </c>
      <c r="AA7" s="458">
        <v>111153.40458857096</v>
      </c>
      <c r="AB7" s="458">
        <v>164443.7621544101</v>
      </c>
      <c r="AC7" s="458">
        <v>238177.85205980449</v>
      </c>
      <c r="AD7" s="458">
        <v>231398.06014780386</v>
      </c>
      <c r="AE7" s="458">
        <v>76314.939957898678</v>
      </c>
      <c r="AF7" s="458">
        <v>143120.12859403584</v>
      </c>
      <c r="AG7" s="458">
        <v>344989.4507871379</v>
      </c>
      <c r="AH7" s="458">
        <v>494954.24226741045</v>
      </c>
      <c r="AI7" s="458">
        <v>594057.13105026365</v>
      </c>
      <c r="AJ7" s="458">
        <v>812538.91532964248</v>
      </c>
      <c r="AK7" s="458">
        <v>1085356.2184186226</v>
      </c>
      <c r="AL7" s="458">
        <v>1085605.6783267497</v>
      </c>
      <c r="AM7" s="458">
        <v>1556478.4228356481</v>
      </c>
      <c r="AN7" s="458">
        <v>1416241.0451911881</v>
      </c>
      <c r="AO7" s="458">
        <v>1148394.4157644194</v>
      </c>
      <c r="AP7" s="458">
        <v>1317618.5235815691</v>
      </c>
      <c r="AQ7" s="449">
        <v>1918077.2395850781</v>
      </c>
      <c r="AR7" s="450">
        <v>1956930.6279242469</v>
      </c>
      <c r="AT7" s="455"/>
      <c r="AU7" s="455"/>
    </row>
    <row r="8" spans="1:47" ht="13">
      <c r="A8" s="602" t="s">
        <v>1100</v>
      </c>
      <c r="B8" s="458">
        <v>1793.7502519417549</v>
      </c>
      <c r="C8" s="458">
        <v>1382.5186669114719</v>
      </c>
      <c r="D8" s="458">
        <v>1800.1359781896508</v>
      </c>
      <c r="E8" s="458">
        <v>2373.0554588924697</v>
      </c>
      <c r="F8" s="458">
        <v>2484.8113956801863</v>
      </c>
      <c r="G8" s="458">
        <v>2748.0585633051796</v>
      </c>
      <c r="H8" s="458">
        <v>2601.5625137574189</v>
      </c>
      <c r="I8" s="458">
        <v>2726.5234182275672</v>
      </c>
      <c r="J8" s="458">
        <v>1797.6972319790984</v>
      </c>
      <c r="K8" s="458">
        <v>2431.2690336946307</v>
      </c>
      <c r="L8" s="458">
        <v>2760.1632880689995</v>
      </c>
      <c r="M8" s="458">
        <v>3243.945833988746</v>
      </c>
      <c r="N8" s="458">
        <v>4432.5507678172507</v>
      </c>
      <c r="O8" s="458">
        <v>5152.3328691596107</v>
      </c>
      <c r="P8" s="458">
        <v>5276.1982077038738</v>
      </c>
      <c r="Q8" s="458">
        <v>6079.4621387409316</v>
      </c>
      <c r="R8" s="458">
        <v>8287.2195212483311</v>
      </c>
      <c r="S8" s="458">
        <v>10515.028253474913</v>
      </c>
      <c r="T8" s="458">
        <v>10602.946342287498</v>
      </c>
      <c r="U8" s="458">
        <v>10009.755515099598</v>
      </c>
      <c r="V8" s="458">
        <v>13508.777253733831</v>
      </c>
      <c r="W8" s="458">
        <v>5988.7058065973688</v>
      </c>
      <c r="X8" s="458">
        <v>-2216.58111395991</v>
      </c>
      <c r="Y8" s="458">
        <v>-7949.3002852409263</v>
      </c>
      <c r="Z8" s="458">
        <v>-1470.0598768192867</v>
      </c>
      <c r="AA8" s="458">
        <v>-18021.313457486394</v>
      </c>
      <c r="AB8" s="458">
        <v>-13487.317715380515</v>
      </c>
      <c r="AC8" s="458">
        <v>-52278.746601354855</v>
      </c>
      <c r="AD8" s="458">
        <v>-121278.44857949624</v>
      </c>
      <c r="AE8" s="458">
        <v>-56550.910998368985</v>
      </c>
      <c r="AF8" s="458">
        <v>-49780.782430729596</v>
      </c>
      <c r="AG8" s="458">
        <v>-207820.43227144144</v>
      </c>
      <c r="AH8" s="458">
        <v>-250784.21687814035</v>
      </c>
      <c r="AI8" s="458">
        <v>-91156.838000000222</v>
      </c>
      <c r="AJ8" s="458">
        <v>-125014.04600000009</v>
      </c>
      <c r="AK8" s="458">
        <v>35818.089999999851</v>
      </c>
      <c r="AL8" s="458">
        <v>107308.31899999967</v>
      </c>
      <c r="AM8" s="458">
        <v>-144295.1</v>
      </c>
      <c r="AN8" s="458">
        <v>-298642.7</v>
      </c>
      <c r="AO8" s="458">
        <v>103375.9</v>
      </c>
      <c r="AP8" s="458">
        <v>-285361.69999999925</v>
      </c>
      <c r="AQ8" s="449">
        <v>-424144.837337073</v>
      </c>
      <c r="AR8" s="450">
        <v>-378350.36706821434</v>
      </c>
      <c r="AT8" s="455"/>
      <c r="AU8" s="455"/>
    </row>
    <row r="9" spans="1:47" ht="13">
      <c r="A9" s="602" t="s">
        <v>1101</v>
      </c>
      <c r="B9" s="458">
        <v>1558.594591074243</v>
      </c>
      <c r="C9" s="458">
        <v>1095.0660840744076</v>
      </c>
      <c r="D9" s="458">
        <v>1322.4024794735597</v>
      </c>
      <c r="E9" s="458">
        <v>814.1222390754665</v>
      </c>
      <c r="F9" s="458">
        <v>1723.0666540795683</v>
      </c>
      <c r="G9" s="458">
        <v>396.19032441421587</v>
      </c>
      <c r="H9" s="458">
        <v>820.42028650447355</v>
      </c>
      <c r="I9" s="458">
        <v>1619.4168624438644</v>
      </c>
      <c r="J9" s="458">
        <v>7921.8878808992158</v>
      </c>
      <c r="K9" s="458">
        <v>1107.7743521436387</v>
      </c>
      <c r="L9" s="458">
        <v>1292.7792801981595</v>
      </c>
      <c r="M9" s="458">
        <v>45.026397363380966</v>
      </c>
      <c r="N9" s="458">
        <v>459.91218007496354</v>
      </c>
      <c r="O9" s="458">
        <v>-1923.7221293299153</v>
      </c>
      <c r="P9" s="458">
        <v>-4866.0442938238994</v>
      </c>
      <c r="Q9" s="458">
        <v>-1193.2591616403515</v>
      </c>
      <c r="R9" s="458">
        <v>-4693.4521134160605</v>
      </c>
      <c r="S9" s="458">
        <v>-1713.2392375543423</v>
      </c>
      <c r="T9" s="458">
        <v>-3893.9916313235008</v>
      </c>
      <c r="U9" s="458">
        <v>-8627.4051241248526</v>
      </c>
      <c r="V9" s="458">
        <v>-6549.7942710227799</v>
      </c>
      <c r="W9" s="458">
        <v>24506.687313679649</v>
      </c>
      <c r="X9" s="458">
        <v>25100.92661921859</v>
      </c>
      <c r="Y9" s="458">
        <v>43958.965023942641</v>
      </c>
      <c r="Z9" s="458">
        <v>60517.917231032392</v>
      </c>
      <c r="AA9" s="458">
        <v>35718.768210914684</v>
      </c>
      <c r="AB9" s="458">
        <v>-1151.4246456939145</v>
      </c>
      <c r="AC9" s="458">
        <v>69179.104810729506</v>
      </c>
      <c r="AD9" s="458">
        <v>191703.01516585751</v>
      </c>
      <c r="AE9" s="458">
        <v>276462.65416638961</v>
      </c>
      <c r="AF9" s="458">
        <v>196300.74401776562</v>
      </c>
      <c r="AG9" s="458">
        <v>122847.69205936021</v>
      </c>
      <c r="AH9" s="458">
        <v>-21037.379742791178</v>
      </c>
      <c r="AI9" s="458">
        <v>-151825.57576368586</v>
      </c>
      <c r="AJ9" s="458">
        <v>-65370.913139114622</v>
      </c>
      <c r="AK9" s="458">
        <v>200747.61631403398</v>
      </c>
      <c r="AL9" s="458">
        <v>11083.029668679459</v>
      </c>
      <c r="AM9" s="458">
        <v>86513.516256812945</v>
      </c>
      <c r="AN9" s="458">
        <v>312700</v>
      </c>
      <c r="AO9" s="458">
        <v>400792</v>
      </c>
      <c r="AP9" s="458">
        <v>373005.39777070004</v>
      </c>
      <c r="AQ9" s="449">
        <v>634848.96827298601</v>
      </c>
      <c r="AR9" s="450">
        <v>462123.40051119018</v>
      </c>
      <c r="AT9" s="455"/>
      <c r="AU9" s="455"/>
    </row>
    <row r="10" spans="1:47" ht="13.5" thickBot="1">
      <c r="A10" s="610" t="s">
        <v>1102</v>
      </c>
      <c r="B10" s="621">
        <v>10777.027165136949</v>
      </c>
      <c r="C10" s="621">
        <v>11207.540545042415</v>
      </c>
      <c r="D10" s="621">
        <v>11703.552444156332</v>
      </c>
      <c r="E10" s="621">
        <v>14626.801401119226</v>
      </c>
      <c r="F10" s="621">
        <v>16105.036775848206</v>
      </c>
      <c r="G10" s="621">
        <v>18353.486225350098</v>
      </c>
      <c r="H10" s="621">
        <v>19054.805547403055</v>
      </c>
      <c r="I10" s="621">
        <v>19687.279591248742</v>
      </c>
      <c r="J10" s="621">
        <v>24541.415373003034</v>
      </c>
      <c r="K10" s="621">
        <v>24640.321938726942</v>
      </c>
      <c r="L10" s="621">
        <v>25646.986277549691</v>
      </c>
      <c r="M10" s="621">
        <v>28780.80312271</v>
      </c>
      <c r="N10" s="621">
        <v>35244.723071346627</v>
      </c>
      <c r="O10" s="621">
        <v>39414.923616749802</v>
      </c>
      <c r="P10" s="621">
        <v>41703.871119329793</v>
      </c>
      <c r="Q10" s="621">
        <v>46032.842399068708</v>
      </c>
      <c r="R10" s="621">
        <v>52426.740963915247</v>
      </c>
      <c r="S10" s="621">
        <v>61250.547017998251</v>
      </c>
      <c r="T10" s="621">
        <v>77917.033418106948</v>
      </c>
      <c r="U10" s="621">
        <v>98562.075496192454</v>
      </c>
      <c r="V10" s="621">
        <v>113211.55638725788</v>
      </c>
      <c r="W10" s="621">
        <v>133405.14741463028</v>
      </c>
      <c r="X10" s="621">
        <v>132871.20197506272</v>
      </c>
      <c r="Y10" s="621">
        <v>170563.62846260791</v>
      </c>
      <c r="Z10" s="621">
        <v>255595.39287919775</v>
      </c>
      <c r="AA10" s="621">
        <v>300146.61085920403</v>
      </c>
      <c r="AB10" s="621">
        <v>377483.71319970279</v>
      </c>
      <c r="AC10" s="621">
        <v>531929.39927766658</v>
      </c>
      <c r="AD10" s="621">
        <v>671457.09968459466</v>
      </c>
      <c r="AE10" s="621">
        <v>814461.94535642641</v>
      </c>
      <c r="AF10" s="621">
        <v>894013.59096332476</v>
      </c>
      <c r="AG10" s="621">
        <v>934832.42962556623</v>
      </c>
      <c r="AH10" s="621">
        <v>1098204.6756309271</v>
      </c>
      <c r="AI10" s="621">
        <v>1308148.8370770596</v>
      </c>
      <c r="AJ10" s="621">
        <v>1811715.8243995223</v>
      </c>
      <c r="AK10" s="621">
        <v>2284026.7973634629</v>
      </c>
      <c r="AL10" s="621">
        <v>2561932.5051318775</v>
      </c>
      <c r="AM10" s="621">
        <v>3128130.8644870617</v>
      </c>
      <c r="AN10" s="621">
        <v>3180074.384213354</v>
      </c>
      <c r="AO10" s="621">
        <v>3558519.6346845767</v>
      </c>
      <c r="AP10" s="621">
        <v>3274047.8949193363</v>
      </c>
      <c r="AQ10" s="453">
        <v>3682970.100990382</v>
      </c>
      <c r="AR10" s="454">
        <v>3905006.1600086121</v>
      </c>
      <c r="AT10" s="455"/>
      <c r="AU10" s="455"/>
    </row>
    <row r="11" spans="1:47" ht="39">
      <c r="A11" s="622" t="s">
        <v>1103</v>
      </c>
      <c r="AQ11" s="455"/>
    </row>
    <row r="13" spans="1:47">
      <c r="B13" s="455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fitToWidth="3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2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42</vt:i4>
      </vt:variant>
    </vt:vector>
  </HeadingPairs>
  <TitlesOfParts>
    <vt:vector size="88" baseType="lpstr">
      <vt:lpstr>Índice</vt:lpstr>
      <vt:lpstr>BALBP4795</vt:lpstr>
      <vt:lpstr>Sm4795</vt:lpstr>
      <vt:lpstr>TJURO4775</vt:lpstr>
      <vt:lpstr>TXJUA9095</vt:lpstr>
      <vt:lpstr>TXJUP9095</vt:lpstr>
      <vt:lpstr>DIVLONG1</vt:lpstr>
      <vt:lpstr>DIVLONG2</vt:lpstr>
      <vt:lpstr>TAXASDIV</vt:lpstr>
      <vt:lpstr>Quadro resumo</vt:lpstr>
      <vt:lpstr>btc</vt:lpstr>
      <vt:lpstr>BCNM</vt:lpstr>
      <vt:lpstr>RESERVAS</vt:lpstr>
      <vt:lpstr>ULTRAMAR</vt:lpstr>
      <vt:lpstr>RDAP</vt:lpstr>
      <vt:lpstr>RDAC</vt:lpstr>
      <vt:lpstr>RDE</vt:lpstr>
      <vt:lpstr>RDSA</vt:lpstr>
      <vt:lpstr>RDSS</vt:lpstr>
      <vt:lpstr>RDFA</vt:lpstr>
      <vt:lpstr>RDIPSFL</vt:lpstr>
      <vt:lpstr>RDARL</vt:lpstr>
      <vt:lpstr>RDAR</vt:lpstr>
      <vt:lpstr>RDAL</vt:lpstr>
      <vt:lpstr>ICSRP</vt:lpstr>
      <vt:lpstr>ILPI</vt:lpstr>
      <vt:lpstr>CSF</vt:lpstr>
      <vt:lpstr>TRK</vt:lpstr>
      <vt:lpstr>PopEmpDes</vt:lpstr>
      <vt:lpstr>emprego_total</vt:lpstr>
      <vt:lpstr>TCO</vt:lpstr>
      <vt:lpstr>PIBpm</vt:lpstr>
      <vt:lpstr>PIBpc</vt:lpstr>
      <vt:lpstr>Despesa_Nacional</vt:lpstr>
      <vt:lpstr>Despesa_Nacional_p</vt:lpstr>
      <vt:lpstr>Consumo_Privado</vt:lpstr>
      <vt:lpstr>Consumo_Privado_p</vt:lpstr>
      <vt:lpstr>FBCF</vt:lpstr>
      <vt:lpstr>FBCF_p</vt:lpstr>
      <vt:lpstr>Export</vt:lpstr>
      <vt:lpstr>Export_p</vt:lpstr>
      <vt:lpstr>Import</vt:lpstr>
      <vt:lpstr>Import_p</vt:lpstr>
      <vt:lpstr>Rend_nacional</vt:lpstr>
      <vt:lpstr>Rend_poup</vt:lpstr>
      <vt:lpstr>poup_inv</vt:lpstr>
      <vt:lpstr>BCNM!Print_Area</vt:lpstr>
      <vt:lpstr>btc!Print_Area</vt:lpstr>
      <vt:lpstr>Consumo_Privado!Print_Area</vt:lpstr>
      <vt:lpstr>CSF!Print_Area</vt:lpstr>
      <vt:lpstr>Despesa_Nacional!Print_Area</vt:lpstr>
      <vt:lpstr>DIVLONG1!Print_Area</vt:lpstr>
      <vt:lpstr>FBCF!Print_Area</vt:lpstr>
      <vt:lpstr>ICSRP!Print_Area</vt:lpstr>
      <vt:lpstr>ILPI!Print_Area</vt:lpstr>
      <vt:lpstr>poup_inv!Print_Area</vt:lpstr>
      <vt:lpstr>'Quadro resumo'!Print_Area</vt:lpstr>
      <vt:lpstr>RDAC!Print_Area</vt:lpstr>
      <vt:lpstr>RDAL!Print_Area</vt:lpstr>
      <vt:lpstr>RDAP!Print_Area</vt:lpstr>
      <vt:lpstr>RDAR!Print_Area</vt:lpstr>
      <vt:lpstr>RDARL!Print_Area</vt:lpstr>
      <vt:lpstr>RDE!Print_Area</vt:lpstr>
      <vt:lpstr>RDFA!Print_Area</vt:lpstr>
      <vt:lpstr>RDIPSFL!Print_Area</vt:lpstr>
      <vt:lpstr>RDSA!Print_Area</vt:lpstr>
      <vt:lpstr>RDSS!Print_Area</vt:lpstr>
      <vt:lpstr>Rend_nacional!Print_Area</vt:lpstr>
      <vt:lpstr>Rend_poup!Print_Area</vt:lpstr>
      <vt:lpstr>RESERVAS!Print_Area</vt:lpstr>
      <vt:lpstr>TAXASDIV!Print_Area</vt:lpstr>
      <vt:lpstr>TJURO4775!Print_Area</vt:lpstr>
      <vt:lpstr>TRK!Print_Area</vt:lpstr>
      <vt:lpstr>TAXASDIV!Print_Area_MI</vt:lpstr>
      <vt:lpstr>Print_Area_MI</vt:lpstr>
      <vt:lpstr>BALBP4795!Print_Titles</vt:lpstr>
      <vt:lpstr>Consumo_Privado!Print_Titles</vt:lpstr>
      <vt:lpstr>CSF!Print_Titles</vt:lpstr>
      <vt:lpstr>Despesa_Nacional!Print_Titles</vt:lpstr>
      <vt:lpstr>FBCF!Print_Titles</vt:lpstr>
      <vt:lpstr>ICSRP!Print_Titles</vt:lpstr>
      <vt:lpstr>ILPI!Print_Titles</vt:lpstr>
      <vt:lpstr>poup_inv!Print_Titles</vt:lpstr>
      <vt:lpstr>RDAP!Print_Titles</vt:lpstr>
      <vt:lpstr>Rend_nacional!Print_Titles</vt:lpstr>
      <vt:lpstr>Rend_poup!Print_Titles</vt:lpstr>
      <vt:lpstr>'Sm4795'!Print_Titles</vt:lpstr>
      <vt:lpstr>TRK!Print_Titles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2023-11-28T12:46:45Z</dcterms:created>
  <dcterms:modified xsi:type="dcterms:W3CDTF">2023-11-28T12:50:36Z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2023-11-28T12:48:29Z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3b7d0142-39a5-43ef-a4fd-4f92b4ff1eff</vt:lpwstr>
  </property>
  <property fmtid="{D5CDD505-2E9C-101B-9397-08002B2CF9AE}" pid="8" name="MSIP_Label_f9d4c66a-7c8a-4c88-a41a-dc132491a08a_ContentBits">
    <vt:lpwstr>0</vt:lpwstr>
  </property>
</Properties>
</file>